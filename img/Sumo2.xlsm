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Full plant models\"/>
    </mc:Choice>
  </mc:AlternateContent>
  <bookViews>
    <workbookView xWindow="14400" yWindow="0" windowWidth="14400" windowHeight="15600" tabRatio="762"/>
  </bookViews>
  <sheets>
    <sheet name="Help" sheetId="29" r:id="rId1"/>
    <sheet name="Parameters" sheetId="9" r:id="rId2"/>
    <sheet name="PU parameters" sheetId="37" r:id="rId3"/>
    <sheet name="Model" sheetId="1" r:id="rId4"/>
    <sheet name="pH" sheetId="4" r:id="rId5"/>
    <sheet name="Species" sheetId="20" r:id="rId6"/>
    <sheet name="Tableau" sheetId="17" state="hidden" r:id="rId7"/>
    <sheet name="Components" sheetId="2" r:id="rId8"/>
    <sheet name="Algebraic model" sheetId="13" state="hidden" r:id="rId9"/>
    <sheet name="Expert knowledge" sheetId="14" state="hidden" r:id="rId10"/>
    <sheet name="Calculated variables" sheetId="5" r:id="rId11"/>
    <sheet name="systemcode_constants" sheetId="36" state="hidden"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other parameters" sheetId="27" state="hidden" r:id="rId18"/>
  </sheets>
  <functionGroups builtInGroupCount="18"/>
  <definedNames>
    <definedName name="µ_AMETO">Parameters!$D$131</definedName>
    <definedName name="µ_AMETO_T">'Calculated variables'!$E$449</definedName>
    <definedName name="µ_AMX">Parameters!$D$116</definedName>
    <definedName name="µ_AMX_T">'Calculated variables'!$E$447</definedName>
    <definedName name="µ_AOB">Parameters!$D$84</definedName>
    <definedName name="µ_AOB_T">'Calculated variables'!$E$443</definedName>
    <definedName name="µ_CASTO">Parameters!$D$34</definedName>
    <definedName name="µ_CASTO_T">'Calculated variables'!$E$434</definedName>
    <definedName name="µ_FERM_OHO">Parameters!$D$8</definedName>
    <definedName name="µ_FERM_OHO_T">'Calculated variables'!$E$430</definedName>
    <definedName name="µ_FERM_PAO">Parameters!$D$36</definedName>
    <definedName name="µ_FERM_PAO_T">'Calculated variables'!$E$436</definedName>
    <definedName name="µ_HMETO">Parameters!$D$145</definedName>
    <definedName name="µ_HMETO_T">'Calculated variables'!$E$451</definedName>
    <definedName name="µ_MEOLO">Parameters!$D$24</definedName>
    <definedName name="µ_MEOLO_T">'Calculated variables'!$E$432</definedName>
    <definedName name="µ_NOB">Parameters!$D$102</definedName>
    <definedName name="µ_NOB_T">'Calculated variables'!$E$445</definedName>
    <definedName name="µ_OHO">Parameters!$D$7</definedName>
    <definedName name="µ_OHO_T">'Calculated variables'!$E$429</definedName>
    <definedName name="µ_PAO_lim">Parameters!$D$37</definedName>
    <definedName name="µ_PAO_lim_T">'Calculated variables'!$E$435</definedName>
    <definedName name="A_Davies">'Calculated variables'!$E$464</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u">systemcode_constants!$D$106</definedName>
    <definedName name="A_MCs">systemcode_constants!$D$132</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Parameters!$D$366</definedName>
    <definedName name="A_SFHAO_L">Parameters!$D$367</definedName>
    <definedName name="A_SFHFO_H">Parameters!$D$359</definedName>
    <definedName name="A_SFHFO_L">Parameters!$D$360</definedName>
    <definedName name="A_UR">'Calculated variables'!$E$118</definedName>
    <definedName name="actferm_PAO_ORP">'Calculated variables'!$E$66</definedName>
    <definedName name="actGAO">'Calculated variables'!$E$61</definedName>
    <definedName name="actPAO">'Calculated variables'!$E$60</definedName>
    <definedName name="actsto_GAO_ORP">'Calculated variables'!$E$64</definedName>
    <definedName name="actsto_PAO_ORP">'Calculated variables'!$E$65</definedName>
    <definedName name="b_AMETO">Parameters!$D$132</definedName>
    <definedName name="b_AMETO_T">'Calculated variables'!$E$450</definedName>
    <definedName name="b_AMX">Parameters!$D$117</definedName>
    <definedName name="b_AMX_T">'Calculated variables'!$E$448</definedName>
    <definedName name="b_AOB">Parameters!$D$85</definedName>
    <definedName name="b_AOB_T">'Calculated variables'!$E$444</definedName>
    <definedName name="b_CASTO">Parameters!$D$38</definedName>
    <definedName name="b_CASTO_T">'Calculated variables'!$E$442</definedName>
    <definedName name="B_ellinhpH">'Calculated variables'!$E$305</definedName>
    <definedName name="B_ellinhpH_AMETO">'Calculated variables'!$E$307</definedName>
    <definedName name="B_ellinhpH_HMETO">'Calculated variables'!$E$309</definedName>
    <definedName name="B_H2O">systemcode_constants!$D$38</definedName>
    <definedName name="b_HMETO">Parameters!$D$146</definedName>
    <definedName name="b_HMETO_T">'Calculated variables'!$E$452</definedName>
    <definedName name="b_MEOLO">Parameters!$D$25</definedName>
    <definedName name="b_MEOLO_T">'Calculated variables'!$E$433</definedName>
    <definedName name="b_NOB">Parameters!$D$103</definedName>
    <definedName name="b_NOB_T">'Calculated variables'!$E$446</definedName>
    <definedName name="b_OHO">Parameters!$D$9</definedName>
    <definedName name="b_OHO_T">'Calculated variables'!$E$431</definedName>
    <definedName name="b_PP_ana">Parameters!$D$40</definedName>
    <definedName name="b_PP_ana_T">'Calculated variables'!$E$441</definedName>
    <definedName name="b_STC">Parameters!$D$39</definedName>
    <definedName name="b_STC_T">'Calculated variables'!$E$440</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pH!$Z$20</definedName>
    <definedName name="c_hargebalanceerror">'Calculated variables'!$E$561</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Parameters!$D$384</definedName>
    <definedName name="c_oefflead_TSS_α_mech">Parameters!$D$389</definedName>
    <definedName name="c_oefflin_TSS_α_mech">Parameters!$D$390</definedName>
    <definedName name="c_onstTSS_α_mech">Parameters!$D$391</definedName>
    <definedName name="c_orrh_diff_α">'Calculated variables'!$E$618</definedName>
    <definedName name="c_orrTSS_α">'Calculated variables'!$E$619</definedName>
    <definedName name="C_OUR">'Calculated variables'!$E$114</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Components!$E$10</definedName>
    <definedName name="c_W_kW">systemcode_constants!$D$382</definedName>
    <definedName name="conc_Acm_I">Species!$D$19</definedName>
    <definedName name="conc_Acm_Ieq">'Calculated variables'!$E$513</definedName>
    <definedName name="conc_ANm_I">Species!$D$24</definedName>
    <definedName name="conc_Ca2p_I">Species!$D$20</definedName>
    <definedName name="conc_CATp_I">Species!$D$22</definedName>
    <definedName name="conc_CO32m_I">Species!$D$13</definedName>
    <definedName name="conc_Fe2p_I">Species!$D$25</definedName>
    <definedName name="conc_H2CO3_I">Species!$D$11</definedName>
    <definedName name="conc_H2PO4m_I">Species!$D$15</definedName>
    <definedName name="conc_H2PO4m_Ieq">'Calculated variables'!$E$512</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variables'!$E$511</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variables'!$E$514</definedName>
    <definedName name="conc_NO3m_I">Species!$D$10</definedName>
    <definedName name="conc_OHm_I">Species!$D$5</definedName>
    <definedName name="conc_PO43m_I">Species!$D$17</definedName>
    <definedName name="d_ampALPHA">'Calculated variables'!$E$617</definedName>
    <definedName name="D_CB">systemcode_constants!$D$479</definedName>
    <definedName name="D_CU">systemcode_constants!$D$480</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variables'!$E$51</definedName>
    <definedName name="F__">systemcode_constants!$D$64</definedName>
    <definedName name="f_Ar_air">systemcode_constants!$D$48</definedName>
    <definedName name="f_bw_floc">'Calculated variables'!$E$55</definedName>
    <definedName name="f_C_BOD5_BODult">Parameters!$D$354</definedName>
    <definedName name="f_CO2_air">systemcode_constants!$D$49</definedName>
    <definedName name="f_di">'Calculated variables'!$E$474</definedName>
    <definedName name="f_di_IS_an">systemcode_constants!$D$346</definedName>
    <definedName name="f_di_IS_cat">systemcode_constants!$D$345</definedName>
    <definedName name="f_di_ISlim">'Calculated variables'!$E$471</definedName>
    <definedName name="f_E">Parameters!$D$307</definedName>
    <definedName name="f_H2O_HAO_TSS">Parameters!$D$368</definedName>
    <definedName name="f_H2O_HAO_VSS">Parameters!$D$369</definedName>
    <definedName name="f_H2O_HFO_TSS">Parameters!$D$361</definedName>
    <definedName name="f_H2O_HFO_VSS">Parameters!$D$362</definedName>
    <definedName name="f_kL_GCH4">Parameters!$D$377</definedName>
    <definedName name="f_kL_GCO2">Parameters!$D$376</definedName>
    <definedName name="f_kL_GH2">Parameters!$D$378</definedName>
    <definedName name="f_kL_GN2">Parameters!$D$375</definedName>
    <definedName name="f_kL_GNH3">Parameters!$D$379</definedName>
    <definedName name="f_KS">'other parameters'!$D$4</definedName>
    <definedName name="f_KS_biofilm">Parameters!$D$238</definedName>
    <definedName name="f_mono">'Calculated variables'!$E$473</definedName>
    <definedName name="f_mono_IS_an">systemcode_constants!$D$344</definedName>
    <definedName name="f_mono_IS_cat">systemcode_constants!$D$343</definedName>
    <definedName name="f_mono_ISlim">'Calculated variables'!$E$470</definedName>
    <definedName name="f_N2_air">systemcode_constants!$D$47</definedName>
    <definedName name="f_Na">Parameters!$D$345</definedName>
    <definedName name="f_O2_air">systemcode_constants!$D$46</definedName>
    <definedName name="f_O2_max_ALPHA">Parameters!$D$383</definedName>
    <definedName name="f_P_VFA">Parameters!$D$294</definedName>
    <definedName name="f_S_BOD5_BODult">Parameters!$D$353</definedName>
    <definedName name="f_SO2_max_ALPHA">Parameters!$D$383</definedName>
    <definedName name="f_TOC_1">Parameters!$D$412</definedName>
    <definedName name="f_TOC_2">Parameters!$D$413</definedName>
    <definedName name="f_tri">'Calculated variables'!$E$475</definedName>
    <definedName name="f_tri_IS_an">systemcode_constants!$D$348</definedName>
    <definedName name="f_tri_IS_cat">systemcode_constants!$D$347</definedName>
    <definedName name="f_tri_ISlim">'Calculated variables'!$E$472</definedName>
    <definedName name="f_VFA_DM">Parameters!$D$348</definedName>
    <definedName name="f_X_BOD5_BODult">Parameters!$D$355</definedName>
    <definedName name="G_CH4">Components!$E$70</definedName>
    <definedName name="G_CH4_atm">Components!$E$76</definedName>
    <definedName name="G_CO2">Components!$E$69</definedName>
    <definedName name="G_CO2_atm">Components!$E$75</definedName>
    <definedName name="g_grav">systemcode_constants!$D$65</definedName>
    <definedName name="G_H2">Components!$E$71</definedName>
    <definedName name="G_H2_atm">Components!$E$77</definedName>
    <definedName name="G_N2">Components!$E$74</definedName>
    <definedName name="G_N2_atm">Components!$E$80</definedName>
    <definedName name="G_NH3">Components!$E$73</definedName>
    <definedName name="G_NH3_atm">Components!$E$79</definedName>
    <definedName name="G_O2">Components!$E$72</definedName>
    <definedName name="G_O2_atm">Components!$E$78</definedName>
    <definedName name="H__">Components!$E$66</definedName>
    <definedName name="H_Acm">systemcode_constants!$D$417</definedName>
    <definedName name="H_Ca2p">systemcode_constants!$D$424</definedName>
    <definedName name="H_CO32m">systemcode_constants!$D$411</definedName>
    <definedName name="h_diff">'other parameters'!$D$8</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VFA_AMETO">'Calculated variables'!$E$401</definedName>
    <definedName name="H_SO42m">systemcode_constants!$D$423</definedName>
    <definedName name="H_STP">systemcode_constants!$D$70</definedName>
    <definedName name="i_Ca_INORG">Parameters!$D$346</definedName>
    <definedName name="i_Ca_PP">Parameters!$D$342</definedName>
    <definedName name="i_CIT_BIO">Parameters!$D$334</definedName>
    <definedName name="i_CIT_CH4">Parameters!$D$337</definedName>
    <definedName name="i_CIT_GLY">Parameters!$D$340</definedName>
    <definedName name="i_CIT_MEOL">Parameters!$D$336</definedName>
    <definedName name="i_CIT_PHA">Parameters!$D$339</definedName>
    <definedName name="i_CIT_SB">Parameters!$D$335</definedName>
    <definedName name="i_CIT_STC">'Calculated variables'!$E$69</definedName>
    <definedName name="i_CIT_VFA">Parameters!$D$338</definedName>
    <definedName name="i_CV_BIO">Parameters!$D$324</definedName>
    <definedName name="i_CV_CB">Parameters!$D$330</definedName>
    <definedName name="i_CV_CU">Parameters!$D$331</definedName>
    <definedName name="i_CV_GLY">Parameters!$D$333</definedName>
    <definedName name="i_CV_MEOL">Parameters!$D$328</definedName>
    <definedName name="i_CV_PHA">Parameters!$D$332</definedName>
    <definedName name="i_CV_SB">Parameters!$D$327</definedName>
    <definedName name="i_CV_SU">Parameters!$D$329</definedName>
    <definedName name="i_CV_VFA">Parameters!$D$326</definedName>
    <definedName name="i_CV_XB">Parameters!$D$322</definedName>
    <definedName name="i_CV_XE">Parameters!$D$325</definedName>
    <definedName name="i_CV_XU">Parameters!$D$323</definedName>
    <definedName name="i_INORG">Parameters!$D$341</definedName>
    <definedName name="i_iw_BIO">Parameters!$D$417</definedName>
    <definedName name="i_K_PP">Parameters!$D$344</definedName>
    <definedName name="i_Mg_INORG">Parameters!$D$347</definedName>
    <definedName name="i_Mg_PP">Parameters!$D$343</definedName>
    <definedName name="i_N_BIO">Parameters!$D$308</definedName>
    <definedName name="i_N_CB">Parameters!$D$310</definedName>
    <definedName name="i_N_CU">Parameters!$D$311</definedName>
    <definedName name="i_N_SU">Parameters!$D$312</definedName>
    <definedName name="i_N_XE">Parameters!$D$309</definedName>
    <definedName name="i_N_XSTR">Parameters!$D$313</definedName>
    <definedName name="i_P_BIO">Parameters!$D$314</definedName>
    <definedName name="i_P_CB">Parameters!$D$315</definedName>
    <definedName name="i_P_CU">Parameters!$D$316</definedName>
    <definedName name="i_P_SU">Parameters!$D$317</definedName>
    <definedName name="i_P_XACP">Parameters!$D$319</definedName>
    <definedName name="i_P_XBSH">Parameters!$D$320</definedName>
    <definedName name="i_P_XSTR">Parameters!$D$318</definedName>
    <definedName name="i_P_XVivi">Parameters!$D$321</definedName>
    <definedName name="I_S">'Calculated variables'!$E$519</definedName>
    <definedName name="I_Scalc">pH!$Z$21</definedName>
    <definedName name="I_Serror">'Calculated variables'!$E$562</definedName>
    <definedName name="I_Sinput_AS">Parameters!$D$406</definedName>
    <definedName name="I_Sinput_DIG">Parameters!$D$407</definedName>
    <definedName name="I_Sinput_sidestream">Parameters!$D$408</definedName>
    <definedName name="I_Slim">Parameters!$D$404</definedName>
    <definedName name="i_TSS_PP">Parameters!$D$295</definedName>
    <definedName name="i_vw_BIO">Parameters!$D$423</definedName>
    <definedName name="i_vw_CB">Parameters!$D$425</definedName>
    <definedName name="i_vw_CU">Parameters!$D$426</definedName>
    <definedName name="i_vw_EPS">Parameters!$D$429</definedName>
    <definedName name="i_vw_GLY">Parameters!$D$428</definedName>
    <definedName name="i_vw_PHA">Parameters!$D$427</definedName>
    <definedName name="i_vw_XB">Parameters!$D$421</definedName>
    <definedName name="i_vw_XE">Parameters!$D$424</definedName>
    <definedName name="i_vw_XU">Parameters!$D$422</definedName>
    <definedName name="i_wh_BIO">Parameters!$D$435</definedName>
    <definedName name="i_wh_EPS">Parameters!$D$439</definedName>
    <definedName name="i_wh_GLY">Parameters!$D$438</definedName>
    <definedName name="i_wh_PHA">Parameters!$D$437</definedName>
    <definedName name="i_wh_XB">Parameters!$D$433</definedName>
    <definedName name="i_wh_XE">Parameters!$D$436</definedName>
    <definedName name="i_wh_XU">Parameters!$D$434</definedName>
    <definedName name="K_Ac">'Calculated variables'!$E$497</definedName>
    <definedName name="K_Ac_param">systemcode_constants!$D$301</definedName>
    <definedName name="K_Ac_T">'Calculated variables'!$E$485</definedName>
    <definedName name="K_ACP_DISS">Parameters!$D$166</definedName>
    <definedName name="K_AN">'Calculated variables'!$E$262</definedName>
    <definedName name="K_AN_AS">Parameters!$D$209</definedName>
    <definedName name="K_BSH_DISS">Parameters!$D$167</definedName>
    <definedName name="K_But_param">systemcode_constants!$D$303</definedName>
    <definedName name="K_C1">'Calculated variables'!$E$492</definedName>
    <definedName name="K_C1_param">systemcode_constants!$D$296</definedName>
    <definedName name="K_C1_T">'Calculated variables'!$E$480</definedName>
    <definedName name="K_C2">'Calculated variables'!$E$493</definedName>
    <definedName name="K_C2_param">systemcode_constants!$D$297</definedName>
    <definedName name="K_C2_T">'Calculated variables'!$E$481</definedName>
    <definedName name="K_Ca_BIO">'Calculated variables'!$E$266</definedName>
    <definedName name="K_Ca_BIO_AS">Parameters!$D$211</definedName>
    <definedName name="K_Ca_PAO">'Calculated variables'!$E$223</definedName>
    <definedName name="K_Ca_PAO_AS">Parameters!$D$67</definedName>
    <definedName name="K_CaCO3_DISS">Parameters!$D$168</definedName>
    <definedName name="K_CAT">'Calculated variables'!$E$260</definedName>
    <definedName name="K_CAT_AS">Parameters!$D$208</definedName>
    <definedName name="K_CO2_AMX">'Calculated variables'!$E$167</definedName>
    <definedName name="K_CO2_AMX_AS">Parameters!$D$120</definedName>
    <definedName name="K_CO2_AMX_pH">'Calculated variables'!$E$168</definedName>
    <definedName name="K_CO2_AMX_pH_AS">Parameters!$D$122</definedName>
    <definedName name="K_CO2_AOB">'Calculated variables'!$E$135</definedName>
    <definedName name="K_CO2_AOB_AS">Parameters!$D$87</definedName>
    <definedName name="K_CO2_AOB_pH">'Calculated variables'!$E$137</definedName>
    <definedName name="K_CO2_AOB_pH_AS">Parameters!$D$91</definedName>
    <definedName name="K_CO2_AOB_pH_sidestream">Parameters!$D$93</definedName>
    <definedName name="K_CO2_AOB_sidestream">Parameters!$D$89</definedName>
    <definedName name="K_CO2_BIO">'Calculated variables'!$E$258</definedName>
    <definedName name="K_CO2_BIO_AS">Parameters!$D$207</definedName>
    <definedName name="K_CO2_NOB">'Calculated variables'!$E$151</definedName>
    <definedName name="K_CO2_NOB_AS">Parameters!$D$105</definedName>
    <definedName name="K_CO2_NOB_pH">'Calculated variables'!$E$152</definedName>
    <definedName name="K_CO2_NOB_pH_AS">Parameters!$D$107</definedName>
    <definedName name="K_FLOC">'Calculated variables'!$E$268</definedName>
    <definedName name="K_FLOC_AS">Parameters!$D$226</definedName>
    <definedName name="K_GLY">Parameters!$D$73</definedName>
    <definedName name="K_H2_HMETO">'Calculated variables'!$E$245</definedName>
    <definedName name="K_H2_HMETO_AS">Parameters!$D$147</definedName>
    <definedName name="K_H2S_param">systemcode_constants!$D$309</definedName>
    <definedName name="K_HYD">'Calculated variables'!$E$270</definedName>
    <definedName name="K_HYD_AS">Parameters!$D$227</definedName>
    <definedName name="K_iGLY_GAO_max">Parameters!$D$74</definedName>
    <definedName name="K_iHNO2_AMX_pH">'Calculated variables'!$E$173</definedName>
    <definedName name="K_iHNO2_AMX_pH_AS">Parameters!$D$126</definedName>
    <definedName name="K_iHNO2_AOB_pH">'Calculated variables'!$E$144</definedName>
    <definedName name="K_iHNO2_AOB_pH_AS">Parameters!$D$98</definedName>
    <definedName name="K_iNH3_AMETO_pH">'Calculated variables'!$E$236</definedName>
    <definedName name="K_iNH3_AMETO_pH_AS">Parameters!$D$136</definedName>
    <definedName name="K_iNH3_NOB_pH">'Calculated variables'!$E$158</definedName>
    <definedName name="K_iNH3_NOB_pH_AS">Parameters!$D$112</definedName>
    <definedName name="K_iNHx_AMETO">'Calculated variables'!$E$234</definedName>
    <definedName name="K_iNHx_AMETO_AS">Parameters!$D$135</definedName>
    <definedName name="K_iNHx_ASSIM">'Calculated variables'!$E$272</definedName>
    <definedName name="K_iNHx_ASSIM_AS">Parameters!$D$232</definedName>
    <definedName name="K_iO2_AMETO">'Calculated variables'!$E$238</definedName>
    <definedName name="K_iO2_AMETO_AS">Parameters!$D$138</definedName>
    <definedName name="K_iO2_AMX">'Calculated variables'!$E$169</definedName>
    <definedName name="K_iO2_AMX_AS">Parameters!$D$124</definedName>
    <definedName name="K_iO2_HMETO">'Calculated variables'!$E$247</definedName>
    <definedName name="K_iO2_HMETO_AS">Parameters!$D$148</definedName>
    <definedName name="K_iO2_MEOLO">'Calculated variables'!$E$200</definedName>
    <definedName name="K_iO2_MEOLO_AS">Parameters!$D$28</definedName>
    <definedName name="K_iP_HAO_DESORP">Parameters!$D$201</definedName>
    <definedName name="K_iP_HAO_DISS">Parameters!$D$199</definedName>
    <definedName name="K_iP_HFO_DESORP">Parameters!$D$186</definedName>
    <definedName name="K_iP_HFO_DISS">Parameters!$D$184</definedName>
    <definedName name="K_iPHA_PAO_max">Parameters!$D$63</definedName>
    <definedName name="K_iPO4_lim">'Calculated variables'!$E$225</definedName>
    <definedName name="K_iPO4_lim_AS">Parameters!$D$69</definedName>
    <definedName name="K_iPP_PAO_max">Parameters!$D$60</definedName>
    <definedName name="K_iVFA_AMETO">'Calculated variables'!$E$232</definedName>
    <definedName name="K_iVFA_AMETO_AS">Parameters!$D$134</definedName>
    <definedName name="K_K_PAO">'Calculated variables'!$E$221</definedName>
    <definedName name="K_K_PAO_AS">Parameters!$D$66</definedName>
    <definedName name="k_L_GCH4_bub">'Calculated variables'!$E$605</definedName>
    <definedName name="k_L_GCH4_sur">'Calculated variables'!$E$610</definedName>
    <definedName name="k_L_GCO2_bub">'Calculated variables'!$E$604</definedName>
    <definedName name="k_L_GCO2_sur">'Calculated variables'!$E$609</definedName>
    <definedName name="k_L_GH2_bub">'Calculated variables'!$E$606</definedName>
    <definedName name="k_L_GH2_sur">'Calculated variables'!$E$611</definedName>
    <definedName name="k_L_GN2_bub">'Calculated variables'!$E$603</definedName>
    <definedName name="k_L_GN2_sur">'Calculated variables'!$E$608</definedName>
    <definedName name="k_L_GNH3_bub">'Calculated variables'!$E$607</definedName>
    <definedName name="k_L_GNH3_sur">'Calculated variables'!$E$612</definedName>
    <definedName name="k_L_GO2_bub">Parameters!$D$373</definedName>
    <definedName name="k_L_GO2_sur">Parameters!$D$374</definedName>
    <definedName name="k_LaGCH4_bub">'other parameters'!$D$12</definedName>
    <definedName name="k_LaGCH4_sur">'other parameters'!$D$29</definedName>
    <definedName name="k_LaGCO2_bub">'other parameters'!$D$11</definedName>
    <definedName name="k_LaGCO2_sur">'other parameters'!$D$28</definedName>
    <definedName name="k_LaGH2_bub">'other parameters'!$D$13</definedName>
    <definedName name="k_LaGH2_sur">'other parameters'!$D$30</definedName>
    <definedName name="k_LaGH2S_bub">'other parameters'!$D$9</definedName>
    <definedName name="k_LaGH2S_sur">'other parameters'!$D$26</definedName>
    <definedName name="k_LaGN2_bub">'other parameters'!$D$15</definedName>
    <definedName name="k_LaGN2_sur">'other parameters'!$D$32</definedName>
    <definedName name="k_LaGNH3_bub">'other parameters'!$D$14</definedName>
    <definedName name="k_LaGNH3_sur">'other parameters'!$D$31</definedName>
    <definedName name="k_LaGO2_bub">'other parameters'!$D$10</definedName>
    <definedName name="k_LaGO2_sur">'other parameters'!$D$27</definedName>
    <definedName name="K_MEOL">'Calculated variables'!$E$198</definedName>
    <definedName name="K_MEOL_AS">Parameters!$D$27</definedName>
    <definedName name="K_MEOL_OHO">'Calculated variables'!$E$184</definedName>
    <definedName name="K_MEOL_OHO_AS">Parameters!$D$14</definedName>
    <definedName name="K_Mg_BIO">'Calculated variables'!$E$264</definedName>
    <definedName name="K_Mg_BIO_AS">Parameters!$D$210</definedName>
    <definedName name="K_Mg_PAO">'Calculated variables'!$E$219</definedName>
    <definedName name="K_Mg_PAO_AS">Parameters!$D$65</definedName>
    <definedName name="K_NH3">'Calculated variables'!$E$499</definedName>
    <definedName name="K_NH3_param">systemcode_constants!$D$294</definedName>
    <definedName name="K_NH3_T">'Calculated variables'!$E$487</definedName>
    <definedName name="K_NHx_AMX">'Calculated variables'!$E$163</definedName>
    <definedName name="K_NHx_AMX_AS">Parameters!$D$118</definedName>
    <definedName name="K_NHx_AOB">'Calculated variables'!$E$133</definedName>
    <definedName name="K_NHx_AOB_AS">Parameters!$D$86</definedName>
    <definedName name="K_NHx_BIO">'Calculated variables'!$E$254</definedName>
    <definedName name="K_NHx_BIO_AS">Parameters!$D$205</definedName>
    <definedName name="K_NO2">'Calculated variables'!$E$498</definedName>
    <definedName name="K_NO2_AMX">'Calculated variables'!$E$165</definedName>
    <definedName name="K_NO2_AMX_AS">Parameters!$D$119</definedName>
    <definedName name="K_NO2_ASSIM">'Calculated variables'!$E$274</definedName>
    <definedName name="K_NO2_ASSIM_AS">Parameters!$D$233</definedName>
    <definedName name="K_NO2_CASTO">'Calculated variables'!$E$211</definedName>
    <definedName name="K_NO2_CASTO_AS">Parameters!$D$57</definedName>
    <definedName name="K_NO2_MEOLO">'Calculated variables'!$E$202</definedName>
    <definedName name="K_NO2_MEOLO_AS">Parameters!$D$30</definedName>
    <definedName name="K_NO2_NOB">'Calculated variables'!$E$149</definedName>
    <definedName name="K_NO2_NOB_AS">Parameters!$D$104</definedName>
    <definedName name="K_NO2_OHO">'Calculated variables'!$E$186</definedName>
    <definedName name="K_NO2_OHO_AS">Parameters!$D$16</definedName>
    <definedName name="K_NO2_param">systemcode_constants!$D$295</definedName>
    <definedName name="K_NO2_T">'Calculated variables'!$E$486</definedName>
    <definedName name="K_NO3_ASSIM">'Calculated variables'!$E$276</definedName>
    <definedName name="K_NO3_ASSIM_AS">Parameters!$D$234</definedName>
    <definedName name="K_NO3_CASTO">'Calculated variables'!$E$213</definedName>
    <definedName name="K_NO3_CASTO_AS">Parameters!$D$56</definedName>
    <definedName name="K_NO3_MEOLO">'Calculated variables'!$E$204</definedName>
    <definedName name="K_NO3_MEOLO_AS">Parameters!$D$29</definedName>
    <definedName name="K_NO3_OHO">'Calculated variables'!$E$188</definedName>
    <definedName name="K_NO3_OHO_AS">Parameters!$D$15</definedName>
    <definedName name="K_NOx_AMETO">'Calculated variables'!$E$240</definedName>
    <definedName name="K_NOx_AMETO_AS">Parameters!$D$139</definedName>
    <definedName name="K_NOx_AMX">'Calculated variables'!$E$171</definedName>
    <definedName name="K_NOx_AMX_AS">Parameters!$D$125</definedName>
    <definedName name="K_NOx_AOB">'Calculated variables'!$E$142</definedName>
    <definedName name="K_NOx_AOB_AS">Parameters!$D$97</definedName>
    <definedName name="K_NOx_HMETO">'Calculated variables'!$E$249</definedName>
    <definedName name="K_NOx_HMETO_AS">Parameters!$D$149</definedName>
    <definedName name="K_NOx_NOB">'Calculated variables'!$E$156</definedName>
    <definedName name="K_NOx_NOB_AS">Parameters!$D$111</definedName>
    <definedName name="K_O2_ALPHA">Parameters!$D$382</definedName>
    <definedName name="K_O2_AOB">'Calculated variables'!$E$139</definedName>
    <definedName name="K_O2_AOB_AS">Parameters!$D$96</definedName>
    <definedName name="K_O2_AOB_sidestream">Parameters!$D$95</definedName>
    <definedName name="K_O2_CASTO">'Calculated variables'!$E$209</definedName>
    <definedName name="K_O2_CASTO_AS">Parameters!$D$55</definedName>
    <definedName name="K_O2_NOB">'Calculated variables'!$E$153</definedName>
    <definedName name="K_O2_NOB_AS">Parameters!$D$110</definedName>
    <definedName name="K_O2_NOB_sidestream">Parameters!$D$109</definedName>
    <definedName name="K_O2_OHO">'Calculated variables'!$E$182</definedName>
    <definedName name="K_O2_OHO_AS">Parameters!$D$12</definedName>
    <definedName name="K_ORP_H2_CH4">Parameters!$D$400</definedName>
    <definedName name="K_ORP_SNOx">Parameters!$D$399</definedName>
    <definedName name="K_ORP_SO2">Parameters!$D$398</definedName>
    <definedName name="k_ORPswitch">Parameters!$D$79</definedName>
    <definedName name="K_P_HAO_BIND">Parameters!$D$198</definedName>
    <definedName name="K_P_HFO_BIND">Parameters!$D$187</definedName>
    <definedName name="K_P1">'Calculated variables'!$E$494</definedName>
    <definedName name="K_P1_param">systemcode_constants!$D$298</definedName>
    <definedName name="K_P1_T">'Calculated variables'!$E$482</definedName>
    <definedName name="K_P2">'Calculated variables'!$E$495</definedName>
    <definedName name="K_P2_param">systemcode_constants!$D$299</definedName>
    <definedName name="K_P2_T">'Calculated variables'!$E$483</definedName>
    <definedName name="K_P3">'Calculated variables'!$E$496</definedName>
    <definedName name="K_P3_param">systemcode_constants!$D$300</definedName>
    <definedName name="K_P3_T">'Calculated variables'!$E$484</definedName>
    <definedName name="K_PHA">Parameters!$D$53</definedName>
    <definedName name="K_PHA_cle">Parameters!$D$52</definedName>
    <definedName name="K_PO4_BIO">'Calculated variables'!$E$256</definedName>
    <definedName name="K_PO4_BIO_AS">Parameters!$D$206</definedName>
    <definedName name="K_PO4_PAO">'Calculated variables'!$E$217</definedName>
    <definedName name="K_PO4_PAO_AS">Parameters!$D$49</definedName>
    <definedName name="K_PP">Parameters!$D$59</definedName>
    <definedName name="K_PP_lim">Parameters!$D$68</definedName>
    <definedName name="K_Prop_param">systemcode_constants!$D$302</definedName>
    <definedName name="K_S1_param">systemcode_constants!$D$305</definedName>
    <definedName name="K_S2_param">systemcode_constants!$D$306</definedName>
    <definedName name="K_SB">'Calculated variables'!$E$178</definedName>
    <definedName name="K_SB_ana">'Calculated variables'!$E$192</definedName>
    <definedName name="K_SB_ana_AS">Parameters!$D$19</definedName>
    <definedName name="K_SB_ana_DIG">Parameters!$D$20</definedName>
    <definedName name="K_SB_AS">Parameters!$D$11</definedName>
    <definedName name="K_SO2_ALPHA">Parameters!$D$382</definedName>
    <definedName name="K_SO41_param">systemcode_constants!$D$307</definedName>
    <definedName name="K_SO42_param">systemcode_constants!$D$308</definedName>
    <definedName name="K_sp_ACP">'Calculated variables'!$E$506</definedName>
    <definedName name="K_sp_ACP_param">systemcode_constants!$D$315</definedName>
    <definedName name="K_sp_BSH">'Calculated variables'!$E$507</definedName>
    <definedName name="K_sp_BSH_param">systemcode_constants!$D$316</definedName>
    <definedName name="K_sp_CaCO3">'Calculated variables'!$E$503</definedName>
    <definedName name="K_sp_CaCO3_param">systemcode_constants!$D$313</definedName>
    <definedName name="K_sp_FeS_param">systemcode_constants!$D$318</definedName>
    <definedName name="K_sp_HDP_param">systemcode_constants!$D$319</definedName>
    <definedName name="K_sp_MKP_param">systemcode_constants!$D$320</definedName>
    <definedName name="K_sp_STR">'Calculated variables'!$E$504</definedName>
    <definedName name="K_sp_STR_param">systemcode_constants!$D$314</definedName>
    <definedName name="K_sp_Vivi">'Calculated variables'!$E$505</definedName>
    <definedName name="K_sp_Vivi_param">systemcode_constants!$D$317</definedName>
    <definedName name="K_STC">Parameters!$D$54</definedName>
    <definedName name="K_STR_DISS">Parameters!$D$165</definedName>
    <definedName name="k_transfer_GCO2_bub">'Calculated variables'!$E$589</definedName>
    <definedName name="k_transfer_GCO2_sur">'Calculated variables'!$E$596</definedName>
    <definedName name="k_transfer_GNH3_bub">'Calculated variables'!$E$591</definedName>
    <definedName name="k_transfer_GNH3_sur">'Calculated variables'!$E$598</definedName>
    <definedName name="K_Val_param">systemcode_constants!$D$304</definedName>
    <definedName name="K_VFA">'Calculated variables'!$E$180</definedName>
    <definedName name="K_VFA_AMETO">'Calculated variables'!$E$230</definedName>
    <definedName name="K_VFA_AMETO_AS">Parameters!$D$133</definedName>
    <definedName name="K_VFA_AS">Parameters!$D$13</definedName>
    <definedName name="K_VFA_CASTO">'Calculated variables'!$E$215</definedName>
    <definedName name="K_VFA_CASTO_AS">Parameters!$D$58</definedName>
    <definedName name="K_VFA_FERM">'Calculated variables'!$E$190</definedName>
    <definedName name="K_VFA_FERM_AS">Parameters!$D$17</definedName>
    <definedName name="K_Vivi_DISS">Parameters!$D$169</definedName>
    <definedName name="K_W">'Calculated variables'!$E$491</definedName>
    <definedName name="K_W_param">systemcode_constants!$D$293</definedName>
    <definedName name="K_W_T">'Calculated variables'!$E$479</definedName>
    <definedName name="L_oginhORP_HFO">'Calculated variables'!$E$86</definedName>
    <definedName name="L_oginhORP_PAO">'Calculated variables'!$E$81</definedName>
    <definedName name="L_oginhpHNH3_AMETO">'Calculated variables'!$E$323</definedName>
    <definedName name="L_oginhSPO4_KiP_HAO_DISS">'Calculated variables'!$E$418</definedName>
    <definedName name="L_oginhSPO4_KiP_HFO_DISS">'Calculated variables'!$E$415</definedName>
    <definedName name="L_oginhSVFA_KVFA_FERM">'Calculated variables'!$E$347</definedName>
    <definedName name="L_oginhXGLY_XGAO_max">'Calculated variables'!$E$394</definedName>
    <definedName name="L_oginhXPHA_XPAO_max">'Calculated variables'!$E$392</definedName>
    <definedName name="L_oginhXPP_XPAO_max">'Calculated variables'!$E$393</definedName>
    <definedName name="L_ograngeCO2_AMX_AS">Parameters!$D$121</definedName>
    <definedName name="L_ograngeCO2_AMX_pH_AS">Parameters!$D$123</definedName>
    <definedName name="L_ograngeCO2_AOB_AS">Parameters!$D$88</definedName>
    <definedName name="L_ograngeCO2_AOB_pH_AS">Parameters!$D$92</definedName>
    <definedName name="L_ograngeCO2_AOB_pH_sidestream">Parameters!$D$94</definedName>
    <definedName name="L_ograngeCO2_AOB_sidestream">Parameters!$D$90</definedName>
    <definedName name="L_ograngeCO2_NOB_AS">Parameters!$D$106</definedName>
    <definedName name="L_ograngeCO2_NOB_pH_AS">Parameters!$D$108</definedName>
    <definedName name="L_ograngeGLY_GAO_inh">Parameters!$D$75</definedName>
    <definedName name="L_ograngeNH3_AMETO">Parameters!$D$137</definedName>
    <definedName name="L_ograngeP_HAO_DISS">Parameters!$D$200</definedName>
    <definedName name="L_ograngeP_HFO_DISS">Parameters!$D$185</definedName>
    <definedName name="L_ograngePHA_PAO_inh">Parameters!$D$64</definedName>
    <definedName name="L_ograngePO4_PAO_AS_sat">Parameters!$D$50</definedName>
    <definedName name="L_ograngePP_PAO_AS_sat">Parameters!$D$51</definedName>
    <definedName name="L_ograngePP_PAO_inh">Parameters!$D$61</definedName>
    <definedName name="L_ograngeVFA_FERM_AS">Parameters!$D$18</definedName>
    <definedName name="L_ogsatORP_GAO_Half_15">Parameters!$D$76</definedName>
    <definedName name="L_ogsatORP_GAO_Half_25">Parameters!$D$77</definedName>
    <definedName name="L_ogsatORP_GAO_Half_T">'Calculated variables'!$E$84</definedName>
    <definedName name="L_ogsatORP_GAO_Slope">Parameters!$D$78</definedName>
    <definedName name="L_ogsatORP_GAO_T">'Calculated variables'!$E$85</definedName>
    <definedName name="L_ogsatORP_HFO_Half">Parameters!$D$181</definedName>
    <definedName name="L_ogsatORP_HFO_Slope">Parameters!$D$182</definedName>
    <definedName name="L_ogsatORP_PAO_Half">Parameters!$D$70</definedName>
    <definedName name="L_ogsatORP_PAO_Slope">Parameters!$D$71</definedName>
    <definedName name="L_ogsatpHCO2_AMX">'Calculated variables'!$E$319</definedName>
    <definedName name="L_ogsatpHCO2_AOB">'Calculated variables'!$E$313</definedName>
    <definedName name="L_ogsatpHCO2_NOB">'Calculated variables'!$E$317</definedName>
    <definedName name="L_ogsatSPO4_KPO4_PAO">'Calculated variables'!$E$387</definedName>
    <definedName name="L_ogsatSVFA_KVFA_FERM">'Calculated variables'!$E$346</definedName>
    <definedName name="L_ogsatXPP_KPO4_PAO">'Calculated variables'!$E$390</definedName>
    <definedName name="L_ogslopeCO2_AMX">'Calculated variables'!$E$287</definedName>
    <definedName name="L_ogslopeCO2_AMX_pH">'Calculated variables'!$E$288</definedName>
    <definedName name="L_ogslopeCO2_AOB">'Calculated variables'!$E$281</definedName>
    <definedName name="L_ogslopeCO2_AOB_pH">'Calculated variables'!$E$283</definedName>
    <definedName name="L_ogslopeCO2_NOB">'Calculated variables'!$E$285</definedName>
    <definedName name="L_ogslopeCO2_NOB_pH">'Calculated variables'!$E$286</definedName>
    <definedName name="L_ogslopeGLY_GAO_inh">'Calculated variables'!$E$297</definedName>
    <definedName name="L_ogslopeNH3_AMETO_pH">'Calculated variables'!$E$299</definedName>
    <definedName name="L_ogslopeNHx_AMETO">'Calculated variables'!$E$298</definedName>
    <definedName name="L_ogslopeP_HAO_DISS">'Calculated variables'!$E$301</definedName>
    <definedName name="L_ogslopeP_HFO_DISS">'Calculated variables'!$E$300</definedName>
    <definedName name="L_ogslopePHA_PAO_inh">'Calculated variables'!$E$295</definedName>
    <definedName name="L_ogslopePO4_PAO_sat">'Calculated variables'!$E$291</definedName>
    <definedName name="L_ogslopePP_PAO_inh">'Calculated variables'!$E$296</definedName>
    <definedName name="L_ogslopePP_PAO_sat">'Calculated variables'!$E$293</definedName>
    <definedName name="L_ogslopeVFA_FERM">'Calculated variables'!$E$289</definedName>
    <definedName name="M_inhpHHNO2_AMX">'Calculated variables'!$E$321</definedName>
    <definedName name="M_inhpHHNO2_AOB">'Calculated variables'!$E$311</definedName>
    <definedName name="M_inhpHNH3_NOB">'Calculated variables'!$E$315</definedName>
    <definedName name="M_inhSNHx_KiNHx_ASSIM">'Calculated variables'!$E$407</definedName>
    <definedName name="M_inhSNO2_KNO2_ASSIM">'Calculated variables'!$E$414</definedName>
    <definedName name="M_inhSNO2_KNO2_CASTO">'Calculated variables'!$E$371</definedName>
    <definedName name="M_inhSNO2_KNO2_MEOLO">'Calculated variables'!$E$349</definedName>
    <definedName name="M_inhSNO2_KNO2_OHO">'Calculated variables'!$E$335</definedName>
    <definedName name="M_inhSNO3_KNO3_CASTO">'Calculated variables'!$E$372</definedName>
    <definedName name="M_inhSNO3_KNO3_MEOLO">'Calculated variables'!$E$350</definedName>
    <definedName name="M_inhSNO3_KNO3_OHO">'Calculated variables'!$E$336</definedName>
    <definedName name="M_inhSNOx_KNO3_AMETO">'Calculated variables'!$E$397</definedName>
    <definedName name="M_inhSNOx_KNO3_HMETO">'Calculated variables'!$E$402</definedName>
    <definedName name="M_inhSNOx_KNOx_AMX">'Calculated variables'!$E$365</definedName>
    <definedName name="M_inhSNOx_KNOx_AOB">'Calculated variables'!$E$355</definedName>
    <definedName name="M_inhSNOx_KNOx_NOB">'Calculated variables'!$E$360</definedName>
    <definedName name="M_inhSO2_KiO2_AMETO">'Calculated variables'!$E$398</definedName>
    <definedName name="M_inhSO2_KiO2_AMX">'Calculated variables'!$E$366</definedName>
    <definedName name="M_inhSO2_KiO2_HMETO">'Calculated variables'!$E$403</definedName>
    <definedName name="M_inhSO2_KiO2_MEOLO">'Calculated variables'!$E$348</definedName>
    <definedName name="M_inhSO2_KO2_AOB">'Calculated variables'!$E$356</definedName>
    <definedName name="M_inhSO2_KO2_CASTO">'Calculated variables'!$E$373</definedName>
    <definedName name="M_inhSO2_KO2_NOB">'Calculated variables'!$E$361</definedName>
    <definedName name="M_inhSO2_KO2_OHO">'Calculated variables'!$E$337</definedName>
    <definedName name="M_inhSPO4_KiP_HAO_DESORP">'Calculated variables'!$E$419</definedName>
    <definedName name="M_inhSPO4_KiP_HFO_DESORP">'Calculated variables'!$E$416</definedName>
    <definedName name="M_inhSPO4_KiPO4_lim">'Calculated variables'!$E$374</definedName>
    <definedName name="M_inhSVFA_KVFA">'Calculated variables'!$E$338</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GLY_XGAO_KGLY">'Calculated variables'!$E$395</definedName>
    <definedName name="M_RinhXPHA_XPAO_KPHA_cle">'Calculated variables'!$E$377</definedName>
    <definedName name="M_RinhXPP_XPAO_KPP">'Calculated variables'!$E$379</definedName>
    <definedName name="M_RinhXSTC_XCASTO_KSTC">'Calculated variables'!$E$378</definedName>
    <definedName name="M_RsatCB_XBIO_KFLOC">'Calculated variables'!$E$408</definedName>
    <definedName name="M_RsatCU_XBIO_KFLOC">'Calculated variables'!$E$409</definedName>
    <definedName name="M_RsatXB_XBIO_KHYD">'Calculated variables'!$E$410</definedName>
    <definedName name="M_RsatXEana_XBIO_KHYD">'Calculated variables'!$E$411</definedName>
    <definedName name="M_RsatXGLY_XGAO_KGLY">'Calculated variables'!$E$396</definedName>
    <definedName name="M_RsatXPHA_XPAO_KPHA">'Calculated variables'!$E$376</definedName>
    <definedName name="M_RsatXPP_XPAO_KPP">'Calculated variables'!$E$380</definedName>
    <definedName name="M_RsatXSTC_XCASTO_KSTC">'Calculated variables'!$E$375</definedName>
    <definedName name="M_satSAN_KAN">'Calculated variables'!$E$328</definedName>
    <definedName name="M_satSB_KSB">'Calculated variables'!$E$339</definedName>
    <definedName name="M_satSB_KSB_ana">'Calculated variables'!$E$340</definedName>
    <definedName name="M_satSCa_KCa">'Calculated variables'!$E$330</definedName>
    <definedName name="M_satSCa_KCa_PAO">'Calculated variables'!$E$381</definedName>
    <definedName name="M_satSCAT_KCAT">'Calculated variables'!$E$329</definedName>
    <definedName name="M_satSCO2_KCO2_BIO">'Calculated variables'!$E$332</definedName>
    <definedName name="M_satSH2_KH2_HMETO">'Calculated variables'!$E$404</definedName>
    <definedName name="M_satSK_KK_PAO">'Calculated variables'!$E$382</definedName>
    <definedName name="M_satSMEOL_KMEOL">'Calculated variables'!$E$351</definedName>
    <definedName name="M_satSMEOL_KMEOL_OHO">'Calculated variables'!$E$341</definedName>
    <definedName name="M_satSMg_KMg">'Calculated variables'!$E$331</definedName>
    <definedName name="M_satSMg_KMg_PAO">'Calculated variables'!$E$383</definedName>
    <definedName name="M_satSNHx_KNHx_AMX">'Calculated variables'!$E$367</definedName>
    <definedName name="M_satSNHx_KNHx_AOB">'Calculated variables'!$E$357</definedName>
    <definedName name="M_satSNHx_KNHx_BIO">'Calculated variables'!$E$333</definedName>
    <definedName name="M_satSNO2_KNO2_AMX">'Calculated variables'!$E$368</definedName>
    <definedName name="M_satSNO2_KNO2_ASSIM">'Calculated variables'!$E$412</definedName>
    <definedName name="M_satSNO2_KNO2_CASTO">'Calculated variables'!$E$384</definedName>
    <definedName name="M_satSNO2_KNO2_MEOLO">'Calculated variables'!$E$352</definedName>
    <definedName name="M_satSNO2_KNO2_NOB">'Calculated variables'!$E$362</definedName>
    <definedName name="M_satSNO2_KNO2_OHO">'Calculated variables'!$E$342</definedName>
    <definedName name="M_satSNO3_KNO3_ASSIM">'Calculated variables'!$E$413</definedName>
    <definedName name="M_satSNO3_KNO3_CASTO">'Calculated variables'!$E$385</definedName>
    <definedName name="M_satSNO3_KNO3_MEOLO">'Calculated variables'!$E$353</definedName>
    <definedName name="M_satSNO3_KNO3_OHO">'Calculated variables'!$E$343</definedName>
    <definedName name="M_satSNOx_KNO3_AMETO">'Calculated variables'!$E$399</definedName>
    <definedName name="M_satSNOx_KNO3_HMETO">'Calculated variables'!$E$405</definedName>
    <definedName name="M_satSNOx_KNOx_AMX">'Calculated variables'!$E$369</definedName>
    <definedName name="M_satSNOx_KNOx_AOB">'Calculated variables'!$E$358</definedName>
    <definedName name="M_satSNOx_KNOx_NOB">'Calculated variables'!$E$363</definedName>
    <definedName name="M_satSO2_KiO2_AMETO">'Calculated variables'!$E$400</definedName>
    <definedName name="M_satSO2_KiO2_AMX">'Calculated variables'!$E$370</definedName>
    <definedName name="M_satSO2_KiO2_HMETO">'Calculated variables'!$E$406</definedName>
    <definedName name="M_satSO2_KiO2_MEOLO">'Calculated variables'!$E$354</definedName>
    <definedName name="M_satSO2_KO2_AOB">'Calculated variables'!$E$359</definedName>
    <definedName name="M_satSO2_KO2_CASTO">'Calculated variables'!$E$386</definedName>
    <definedName name="M_satSO2_KO2_NOB">'Calculated variables'!$E$364</definedName>
    <definedName name="M_satSO2_KO2_OHO">'Calculated variables'!$E$344</definedName>
    <definedName name="M_satSPO4_KP_HAO_BIND">'Calculated variables'!$E$420</definedName>
    <definedName name="M_satSPO4_KP_HFO_BIND">'Calculated variables'!$E$417</definedName>
    <definedName name="M_satSPO4_KPO4_BIO">'Calculated variables'!$E$334</definedName>
    <definedName name="M_satSPO4_KPO4_PAO">'Calculated variables'!$E$388</definedName>
    <definedName name="M_satSVFA_KVFA">'Calculated variables'!$E$345</definedName>
    <definedName name="M_satSVFA_KVFA_CASTO">'Calculated variables'!$E$389</definedName>
    <definedName name="M_satXACP_KACP_DISS">'Calculated variables'!$E$421</definedName>
    <definedName name="M_satXBSH_KBSH_DISS">'Calculated variables'!$E$422</definedName>
    <definedName name="M_satXCaCO3_KCaCO3_DISS">'Calculated variables'!$E$423</definedName>
    <definedName name="M_satXPP_KPP_lim">'Calculated variables'!$E$391</definedName>
    <definedName name="M_satXSTR_KSTR_DISS">'Calculated variables'!$E$424</definedName>
    <definedName name="M_satXVivi_KVivi_DISS">'Calculated variables'!$E$425</definedName>
    <definedName name="m_tox_aer">Parameters!$D$215</definedName>
    <definedName name="m_tox_ana">'Calculated variables'!$E$129</definedName>
    <definedName name="m_tox_ana_max">Parameters!$D$216</definedName>
    <definedName name="m_tox_anox">Parameters!$D$214</definedName>
    <definedName name="N_2UR">'Calculated variables'!$E$117</definedName>
    <definedName name="N_3UR">'Calculated variables'!$E$116</definedName>
    <definedName name="N_OUR">'Calculated variables'!$E$115</definedName>
    <definedName name="N_URAMX">'Calculated variables'!$E$119</definedName>
    <definedName name="o_ffsetORPswitch">Parameters!$D$80</definedName>
    <definedName name="O_RP">'Calculated variables'!$E$77</definedName>
    <definedName name="O_RPbase">Parameters!$D$395</definedName>
    <definedName name="O_RPH2_CH4">'Calculated variables'!$E$76</definedName>
    <definedName name="O_RPmax_SNOx">Parameters!$D$397</definedName>
    <definedName name="O_RPmax_SO2">Parameters!$D$396</definedName>
    <definedName name="O_RPNOx">'Calculated variables'!$E$74</definedName>
    <definedName name="O_RPO2">'Calculated variables'!$E$73</definedName>
    <definedName name="O_UR">'Calculated variables'!$E$113</definedName>
    <definedName name="p_H">'Calculated variables'!$E$531</definedName>
    <definedName name="p_Hhigh">Parameters!$D$218</definedName>
    <definedName name="p_Hhigh_AMETO">Parameters!$D$141</definedName>
    <definedName name="p_Hhigh_HMETO">Parameters!$D$151</definedName>
    <definedName name="p_Hlow">Parameters!$D$217</definedName>
    <definedName name="p_Hlow_AMETO">Parameters!$D$140</definedName>
    <definedName name="p_Hlow_HMETO">Parameters!$D$150</definedName>
    <definedName name="p_i">systemcode_constants!$D$74</definedName>
    <definedName name="p_NTP">systemcode_constants!$D$52</definedName>
    <definedName name="p_owdamp_ALPHA">Parameters!$D$385</definedName>
    <definedName name="P_recipDrivingForceACP">'Calculated variables'!$E$94</definedName>
    <definedName name="P_recipDrivingForceBSH">'Calculated variables'!$E$98</definedName>
    <definedName name="P_recipDrivingForceCaCO3">'Calculated variables'!$E$102</definedName>
    <definedName name="P_recipDrivingForceSTR">'Calculated variables'!$E$90</definedName>
    <definedName name="P_recipDrivingForceVivi">'Calculated variables'!$E$106</definedName>
    <definedName name="P_RR">'Calculated variables'!$E$124</definedName>
    <definedName name="p_STP">systemcode_constants!$D$51</definedName>
    <definedName name="P_UR">'Calculated variables'!$E$120</definedName>
    <definedName name="P_URBIO">'Calculated variables'!$E$121</definedName>
    <definedName name="P_URBIOP">'Calculated variables'!$E$122</definedName>
    <definedName name="P_URCHEM">'Calculated variables'!$E$123</definedName>
    <definedName name="q_ACP">'Calculated variables'!$E$97</definedName>
    <definedName name="q_ACP_DISS">Parameters!$D$160</definedName>
    <definedName name="q_ACP_PREC">Parameters!$D$159</definedName>
    <definedName name="q_ALPHA">Parameters!$D$380</definedName>
    <definedName name="q_ALPHA_O2">'Calculated variables'!$E$616</definedName>
    <definedName name="q_ALPHA_SO2">'Calculated variables'!#REF!</definedName>
    <definedName name="q_AMMON">Parameters!$D$228</definedName>
    <definedName name="q_AMMON_T">'Calculated variables'!$E$455</definedName>
    <definedName name="q_ASSIM">Parameters!$D$231</definedName>
    <definedName name="q_ASSIM_T">'Calculated variables'!$E$458</definedName>
    <definedName name="q_BSH">'Calculated variables'!$E$101</definedName>
    <definedName name="q_BSH_DISS">Parameters!$D$162</definedName>
    <definedName name="q_BSH_PREC">Parameters!$D$161</definedName>
    <definedName name="q_CaCO3">'Calculated variables'!$E$105</definedName>
    <definedName name="q_CaCO3_DISS">Parameters!$D$156</definedName>
    <definedName name="q_CaCO3_PREC">Parameters!$D$155</definedName>
    <definedName name="q_Fe2_OX">Parameters!$D$183</definedName>
    <definedName name="q_Fe2_OX_T">'Calculated variables'!$E$459</definedName>
    <definedName name="q_FLOC">Parameters!$D$225</definedName>
    <definedName name="q_FLOC_T">'Calculated variables'!$E$453</definedName>
    <definedName name="q_GAO_GLY">Parameters!$D$42</definedName>
    <definedName name="q_GAO_GLY_T">'Calculated variables'!$E$439</definedName>
    <definedName name="q_HAO_DISS">Parameters!$D$197</definedName>
    <definedName name="q_HAOH_AGING">Parameters!$D$191</definedName>
    <definedName name="q_HAOH_DESORP">Parameters!$D$195</definedName>
    <definedName name="q_HAOL_AGING">Parameters!$D$192</definedName>
    <definedName name="q_HAOL_DESORP">Parameters!$D$196</definedName>
    <definedName name="q_HFO_DISS">Parameters!$D$179</definedName>
    <definedName name="q_HFO_RED">Parameters!$D$180</definedName>
    <definedName name="q_HFO_RED_T">'Calculated variables'!$E$460</definedName>
    <definedName name="q_HFOH_AGING">Parameters!$D$173</definedName>
    <definedName name="q_HFOH_DESORP">Parameters!$D$177</definedName>
    <definedName name="q_HFOL_AGING">Parameters!$D$174</definedName>
    <definedName name="q_HFOL_DESORP">Parameters!$D$178</definedName>
    <definedName name="q_HYD">Parameters!$D$222</definedName>
    <definedName name="q_HYD_T">'Calculated variables'!$E$454</definedName>
    <definedName name="q_MEOL">Parameters!$D$26</definedName>
    <definedName name="q_P_HAO_BIND">Parameters!$D$194</definedName>
    <definedName name="q_P_HAO_COPREC">Parameters!$D$193</definedName>
    <definedName name="q_P_HFO_BIND">Parameters!$D$176</definedName>
    <definedName name="q_P_HFO_COPREC">Parameters!$D$175</definedName>
    <definedName name="q_PAO_PHA">Parameters!$D$41</definedName>
    <definedName name="q_PAO_PHA_T">'Calculated variables'!$E$438</definedName>
    <definedName name="q_PAO_PP">Parameters!$D$35</definedName>
    <definedName name="q_PAO_PP_T">'Calculated variables'!$E$437</definedName>
    <definedName name="q_SPB">Parameters!$D$229</definedName>
    <definedName name="q_SPB_T">'Calculated variables'!$E$456</definedName>
    <definedName name="q_STR">'Calculated variables'!$E$93</definedName>
    <definedName name="q_STR_DISS">Parameters!$D$158</definedName>
    <definedName name="q_STR_PREC">Parameters!$D$157</definedName>
    <definedName name="q_Vivi">'Calculated variables'!$E$109</definedName>
    <definedName name="q_Vivi_DISS">Parameters!$D$164</definedName>
    <definedName name="q_Vivi_PREC">Parameters!$D$163</definedName>
    <definedName name="q_XE">Parameters!$D$230</definedName>
    <definedName name="q_XE_T">'Calculated variables'!$E$457</definedName>
    <definedName name="R__">systemcode_constants!$D$60</definedName>
    <definedName name="r_1">Model!$CD$120</definedName>
    <definedName name="r_10">Model!$CD$129</definedName>
    <definedName name="r_11">Model!$CD$130</definedName>
    <definedName name="r_12">Model!$CD$131</definedName>
    <definedName name="r_13">Model!$CD$132</definedName>
    <definedName name="r_14">Model!$CD$133</definedName>
    <definedName name="r_15">Model!$CD$134</definedName>
    <definedName name="r_16">Model!$CD$135</definedName>
    <definedName name="r_17">Model!$CD$136</definedName>
    <definedName name="r_18">Model!$CD$137</definedName>
    <definedName name="r_19">Model!$CD$138</definedName>
    <definedName name="r_2">Model!$CD$121</definedName>
    <definedName name="r_20">Model!$CD$139</definedName>
    <definedName name="r_21">Model!$CD$140</definedName>
    <definedName name="r_22">Model!$CD$141</definedName>
    <definedName name="r_23">Model!$CD$142</definedName>
    <definedName name="r_24">Model!$CD$143</definedName>
    <definedName name="r_25">Model!$CD$144</definedName>
    <definedName name="r_26">Model!$CD$145</definedName>
    <definedName name="r_27">Model!$CD$146</definedName>
    <definedName name="r_28">Model!$CD$147</definedName>
    <definedName name="r_29">Model!$CD$148</definedName>
    <definedName name="r_3">Model!$CD$122</definedName>
    <definedName name="r_30">Model!$CD$149</definedName>
    <definedName name="r_31">Model!$CD$150</definedName>
    <definedName name="r_32">Model!$CD$151</definedName>
    <definedName name="r_33">Model!$CD$152</definedName>
    <definedName name="r_34">Model!$CD$153</definedName>
    <definedName name="r_35">Model!$CD$154</definedName>
    <definedName name="r_36">Model!$CD$155</definedName>
    <definedName name="r_37">Model!$CD$156</definedName>
    <definedName name="r_38">Model!$CD$157</definedName>
    <definedName name="r_39">Model!$CD$158</definedName>
    <definedName name="r_4">Model!$CD$123</definedName>
    <definedName name="r_40">Model!$CD$159</definedName>
    <definedName name="r_41">Model!$CD$160</definedName>
    <definedName name="r_42">Model!$CD$161</definedName>
    <definedName name="r_43">Model!$CD$162</definedName>
    <definedName name="r_44">Model!$CD$163</definedName>
    <definedName name="r_45">Model!$CD$164</definedName>
    <definedName name="r_46">Model!$CD$165</definedName>
    <definedName name="r_47">Model!$CD$166</definedName>
    <definedName name="r_48">Model!$CD$167</definedName>
    <definedName name="r_49">Model!$CD$168</definedName>
    <definedName name="r_5">Model!$CD$124</definedName>
    <definedName name="r_50">Model!$CD$169</definedName>
    <definedName name="r_51">Model!$CD$170</definedName>
    <definedName name="r_52">Model!$CD$171</definedName>
    <definedName name="r_53">Model!$CD$172</definedName>
    <definedName name="r_54">Model!$CD$173</definedName>
    <definedName name="r_55">Model!$CD$174</definedName>
    <definedName name="r_56">Model!$CD$175</definedName>
    <definedName name="r_57">Model!$CD$176</definedName>
    <definedName name="r_58">Model!$CD$177</definedName>
    <definedName name="r_59">Model!$CD$178</definedName>
    <definedName name="r_6">Model!$CD$125</definedName>
    <definedName name="r_60">Model!$CD$179</definedName>
    <definedName name="r_61">Model!$CD$180</definedName>
    <definedName name="r_62">Model!$CD$181</definedName>
    <definedName name="r_63">Model!$CD$182</definedName>
    <definedName name="r_64">Model!$CD$183</definedName>
    <definedName name="r_65">Model!$CD$184</definedName>
    <definedName name="r_66">Model!$CD$185</definedName>
    <definedName name="r_67">Model!$CD$186</definedName>
    <definedName name="r_68">Model!$CD$187</definedName>
    <definedName name="r_69">Model!$CD$188</definedName>
    <definedName name="r_7">Model!$CD$126</definedName>
    <definedName name="r_70">Model!$CD$189</definedName>
    <definedName name="r_71">Model!$CD$190</definedName>
    <definedName name="r_72">Model!$CD$191</definedName>
    <definedName name="r_73">Model!$CD$192</definedName>
    <definedName name="r_74">Model!$CD$193</definedName>
    <definedName name="r_75">Model!$CD$194</definedName>
    <definedName name="r_76">Model!$CD$195</definedName>
    <definedName name="r_77">Model!$CD$196</definedName>
    <definedName name="r_78">Model!$CD$197</definedName>
    <definedName name="r_79">Model!$CD$198</definedName>
    <definedName name="r_8">Model!$CD$127</definedName>
    <definedName name="r_80">Model!$CD$199</definedName>
    <definedName name="r_81">Model!$CD$200</definedName>
    <definedName name="r_82">Model!$CD$201</definedName>
    <definedName name="r_83">Model!$CD$202</definedName>
    <definedName name="r_84">Model!$CD$203</definedName>
    <definedName name="r_85">Model!$CD$204</definedName>
    <definedName name="r_86">Model!$CD$205</definedName>
    <definedName name="r_87">Model!$CD$206</definedName>
    <definedName name="r_88">Model!$CD$207</definedName>
    <definedName name="r_89">Model!$CD$208</definedName>
    <definedName name="r_9">Model!$CD$128</definedName>
    <definedName name="r_90">Model!$CD$209</definedName>
    <definedName name="r_91">Model!$CD$210</definedName>
    <definedName name="r_92">Model!$CD$211</definedName>
    <definedName name="r_93">Model!$CD$212</definedName>
    <definedName name="r_94">Model!$CD$213</definedName>
    <definedName name="r_95">Model!$CD$214</definedName>
    <definedName name="r_96">Model!$CD$215</definedName>
    <definedName name="r_97">Model!$CD$216</definedName>
    <definedName name="R_air">systemcode_constants!$D$61</definedName>
    <definedName name="r_ateFLOC_CB_polymer">'other parameters'!$D$43</definedName>
    <definedName name="r_ateFLOC_CU_polymer">'other parameters'!$D$44</definedName>
    <definedName name="r_atioVSS_TSS">'Calculated variables'!$E$52</definedName>
    <definedName name="S_ALK">'Calculated variables'!$E$515</definedName>
    <definedName name="S_ALK_calc">'Calculated variables'!$E$53</definedName>
    <definedName name="S_ALK_input">'other parameters'!$D$45</definedName>
    <definedName name="S_ALPHA">Components!$E$67</definedName>
    <definedName name="S_ALPHA_sat">Parameters!$D$381</definedName>
    <definedName name="S_AN">Components!$E$42</definedName>
    <definedName name="S_AN_ini">'other parameters'!$D$47</definedName>
    <definedName name="S_AN_ini_corr">'Calculated variables'!$E$548</definedName>
    <definedName name="S_B">Components!$E$5</definedName>
    <definedName name="S_BOD_5">'Calculated variables'!$E$27</definedName>
    <definedName name="S_BOD_ult">'Calculated variables'!$E$24</definedName>
    <definedName name="S_Ca">Components!$E$43</definedName>
    <definedName name="S_CAT">Components!$E$41</definedName>
    <definedName name="S_CAT_ini">'other parameters'!$D$46</definedName>
    <definedName name="S_CAT_ini_corr">'Calculated variables'!$E$547</definedName>
    <definedName name="S_CCOD">'Calculated variables'!$E$31</definedName>
    <definedName name="S_CH4">Components!$E$37</definedName>
    <definedName name="S_CO2">Components!$E$39</definedName>
    <definedName name="S_COD">'Calculated variables'!$E$30</definedName>
    <definedName name="S_Fe2">Components!$E$46</definedName>
    <definedName name="S_GCH4_bub_sat">'other parameters'!$D$19</definedName>
    <definedName name="S_GCH4_sur_sat">'other parameters'!$D$36</definedName>
    <definedName name="S_GCO2_bub_sat">'other parameters'!$D$18</definedName>
    <definedName name="S_GCO2_sur_sat">'other parameters'!$D$35</definedName>
    <definedName name="S_GH2_bub_sat">'other parameters'!$D$20</definedName>
    <definedName name="S_GH2_sur_sat">'other parameters'!$D$37</definedName>
    <definedName name="S_GH2S_bub_sat">'other parameters'!$D$16</definedName>
    <definedName name="S_GH2S_sur_sat">'other parameters'!$D$33</definedName>
    <definedName name="S_GN2_bub_sat">'other parameters'!$D$22</definedName>
    <definedName name="S_GN2_sur_sat">'other parameters'!$D$39</definedName>
    <definedName name="S_GNH3_bub_sat">'other parameters'!$D$21</definedName>
    <definedName name="S_GNH3_sur_sat">'other parameters'!$D$38</definedName>
    <definedName name="S_GO2_bub_sat">'other parameters'!$D$17</definedName>
    <definedName name="S_GO2_sur_sat">'other parameters'!$D$34</definedName>
    <definedName name="S_H2">Components!$E$38</definedName>
    <definedName name="S_H2_CH4">'Calculated variables'!$E$75</definedName>
    <definedName name="S_IC">'Calculated variables'!$E$536</definedName>
    <definedName name="S_K">Components!$E$45</definedName>
    <definedName name="S_KN">'Calculated variables'!$E$40</definedName>
    <definedName name="s_lh_diff_α">Parameters!$D$386</definedName>
    <definedName name="S_lopeIS_corr">Parameters!$D$405</definedName>
    <definedName name="s_lORP_GAO_Half_T">'Calculated variables'!$E$82</definedName>
    <definedName name="s_lTSS_α_coarse">Parameters!$D$388</definedName>
    <definedName name="s_lTSS_α_def">Parameters!$D$387</definedName>
    <definedName name="S_MEOL">Components!$E$6</definedName>
    <definedName name="S_Mg">Components!$E$44</definedName>
    <definedName name="S_N_B">Components!$E$28</definedName>
    <definedName name="S_N2">Components!$E$27</definedName>
    <definedName name="S_NHx">Components!$E$24</definedName>
    <definedName name="S_NO2">Components!$E$25</definedName>
    <definedName name="S_NO3">Components!$E$26</definedName>
    <definedName name="S_NOx">'Calculated variables'!$E$36</definedName>
    <definedName name="S_O2">Components!$E$36</definedName>
    <definedName name="S_ORPswitch">Components!$E$68</definedName>
    <definedName name="S_P">'Calculated variables'!$E$42</definedName>
    <definedName name="S_P_B">Components!$E$33</definedName>
    <definedName name="S_PO4">Components!$E$31</definedName>
    <definedName name="S_rbCOD">'Calculated variables'!$E$6</definedName>
    <definedName name="S_U">Components!$E$9</definedName>
    <definedName name="S_U_N">'Calculated variables'!$E$41</definedName>
    <definedName name="S_umo__pHEffects">'other parameters'!$D$51</definedName>
    <definedName name="S_VFA">Components!$E$4</definedName>
    <definedName name="T__">'Calculated variables'!$E$629</definedName>
    <definedName name="T_Al">'Calculated variables'!$E$46</definedName>
    <definedName name="T_base">Parameters!$D$274</definedName>
    <definedName name="T_BOD_5">'Calculated variables'!$E$29</definedName>
    <definedName name="T_BOD_ult">'Calculated variables'!$E$26</definedName>
    <definedName name="T_Ca">'Calculated variables'!$E$47</definedName>
    <definedName name="T_COD">'Calculated variables'!$E$32</definedName>
    <definedName name="T_COD_Th">'Calculated variables'!$E$33</definedName>
    <definedName name="T_Fe">'Calculated variables'!$E$45</definedName>
    <definedName name="T_IN">'Calculated variables'!$E$37</definedName>
    <definedName name="T_K">'Calculated variables'!$E$628</definedName>
    <definedName name="T_KN">'Calculated variables'!$E$34</definedName>
    <definedName name="T_KN_B">'Calculated variables'!$E$35</definedName>
    <definedName name="T_Mg">'Calculated variables'!$E$48</definedName>
    <definedName name="T_N">'Calculated variables'!$E$38</definedName>
    <definedName name="T_NTP_K">systemcode_constants!$D$68</definedName>
    <definedName name="T_OC">'Calculated variables'!$E$54</definedName>
    <definedName name="T_P">'Calculated variables'!$E$39</definedName>
    <definedName name="T_st_K">systemcode_constants!$D$67</definedName>
    <definedName name="T_STP_K">systemcode_constants!$D$69</definedName>
    <definedName name="v_1_CB">Model!$H$120</definedName>
    <definedName name="v_1_CU">Model!$K$120</definedName>
    <definedName name="v_1_GCH4">Model!$BS$120</definedName>
    <definedName name="v_1_GCH4_atm">Model!$BY$120</definedName>
    <definedName name="v_1_GCO2">Model!$BR$120</definedName>
    <definedName name="v_1_GCO2_atm">Model!$BX$120</definedName>
    <definedName name="v_1_GH2">Model!$BT$120</definedName>
    <definedName name="v_1_GH2_atm">Model!$BZ$120</definedName>
    <definedName name="v_1_GN2">Model!$BW$120</definedName>
    <definedName name="v_1_GN2_atm">Model!$CC$120</definedName>
    <definedName name="v_1_GNH3">Model!$BV$120</definedName>
    <definedName name="v_1_GNH3_atm">Model!$CB$120</definedName>
    <definedName name="v_1_GO2">Model!$BU$120</definedName>
    <definedName name="v_1_GO2_atm">Model!$CA$120</definedName>
    <definedName name="v_1_H">Model!$BO$120</definedName>
    <definedName name="v_1_SALPHA">Model!$BP$120</definedName>
    <definedName name="v_1_SAN">Model!$AQ$120</definedName>
    <definedName name="v_1_SB">Model!$F$120</definedName>
    <definedName name="v_1_SCa">Model!$AR$120</definedName>
    <definedName name="v_1_SCAT">Model!$AP$120</definedName>
    <definedName name="v_1_SCH4">Model!$AL$120</definedName>
    <definedName name="v_1_SCO2">Model!$AN$120</definedName>
    <definedName name="v_1_SFe2">Model!$AU$120</definedName>
    <definedName name="v_1_SH2">Model!$AM$120</definedName>
    <definedName name="v_1_SK">Model!$AT$120</definedName>
    <definedName name="v_1_SMEOL">Model!$G$120</definedName>
    <definedName name="v_1_SMg">Model!$AS$120</definedName>
    <definedName name="v_1_SN_B">Model!$AC$120</definedName>
    <definedName name="v_1_SN2">Model!$AB$120</definedName>
    <definedName name="v_1_SNHx">Model!$Y$120</definedName>
    <definedName name="v_1_SNO2">Model!$Z$120</definedName>
    <definedName name="v_1_SNO3">Model!$AA$120</definedName>
    <definedName name="v_1_SO2">Model!$AK$120</definedName>
    <definedName name="v_1_SORPswitch">Model!$BQ$120</definedName>
    <definedName name="v_1_SP_B">Model!$AH$120</definedName>
    <definedName name="v_1_SPO4">Model!$AF$120</definedName>
    <definedName name="v_1_SU">Model!$J$120</definedName>
    <definedName name="v_1_SVFA">Model!$E$120</definedName>
    <definedName name="v_1_XACP">Model!$BK$120</definedName>
    <definedName name="v_1_XAMETO">Model!$W$120</definedName>
    <definedName name="v_1_XAMX">Model!$V$120</definedName>
    <definedName name="v_1_XAOB">Model!$T$120</definedName>
    <definedName name="v_1_XB">Model!$I$120</definedName>
    <definedName name="v_1_XBSH">Model!$BL$120</definedName>
    <definedName name="v_1_XCaCO3">Model!$BJ$120</definedName>
    <definedName name="v_1_XCASTO">Model!$R$120</definedName>
    <definedName name="v_1_XE">Model!$O$120</definedName>
    <definedName name="v_1_XE_ana">Model!$P$120</definedName>
    <definedName name="v_1_XGLY">Model!$N$120</definedName>
    <definedName name="v_1_XHAO_H">Model!$BC$120</definedName>
    <definedName name="v_1_XHAO_H_P">Model!$BF$120</definedName>
    <definedName name="v_1_XHAO_H_P_old">Model!$BH$120</definedName>
    <definedName name="v_1_XHAO_L">Model!$BD$120</definedName>
    <definedName name="v_1_XHAO_L_P">Model!$BG$120</definedName>
    <definedName name="v_1_XHAO_L_P_old">Model!$BI$120</definedName>
    <definedName name="v_1_XHAO_old">Model!$BE$120</definedName>
    <definedName name="v_1_XHFO_H">Model!$AV$120</definedName>
    <definedName name="v_1_XHFO_H_P">Model!$AY$120</definedName>
    <definedName name="v_1_XHFO_H_P_old">Model!$BA$120</definedName>
    <definedName name="v_1_XHFO_L">Model!$AW$120</definedName>
    <definedName name="v_1_XHFO_L_P">Model!$AZ$120</definedName>
    <definedName name="v_1_XHFO_L_P_old">Model!$BB$120</definedName>
    <definedName name="v_1_XHFO_old">Model!$AX$120</definedName>
    <definedName name="v_1_XHMETO">Model!$X$120</definedName>
    <definedName name="v_1_XINORG">Model!$AO$120</definedName>
    <definedName name="v_1_XMEOLO">Model!$S$120</definedName>
    <definedName name="v_1_XN_B">Model!$AD$120</definedName>
    <definedName name="v_1_XN_U">Model!$AE$120</definedName>
    <definedName name="v_1_XNOB">Model!$U$120</definedName>
    <definedName name="v_1_XOHO">Model!$Q$120</definedName>
    <definedName name="v_1_XP_B">Model!$AI$120</definedName>
    <definedName name="v_1_XP_U">Model!$AJ$120</definedName>
    <definedName name="v_1_XPHA">Model!$M$120</definedName>
    <definedName name="v_1_XPP">Model!$AG$120</definedName>
    <definedName name="v_1_XSTR">Model!$BM$120</definedName>
    <definedName name="v_1_XU">Model!$L$120</definedName>
    <definedName name="v_1_XVivi">Model!$BN$120</definedName>
    <definedName name="v_10_CB">Model!$H$129</definedName>
    <definedName name="v_10_CU">Model!$K$129</definedName>
    <definedName name="v_10_GCH4">Model!$BS$129</definedName>
    <definedName name="v_10_GCH4_atm">Model!$BY$129</definedName>
    <definedName name="v_10_GCO2">Model!$BR$129</definedName>
    <definedName name="v_10_GCO2_atm">Model!$BX$129</definedName>
    <definedName name="v_10_GH2">Model!$BT$129</definedName>
    <definedName name="v_10_GH2_atm">Model!$BZ$129</definedName>
    <definedName name="v_10_GN2">Model!$BW$129</definedName>
    <definedName name="v_10_GN2_atm">Model!$CC$129</definedName>
    <definedName name="v_10_GNH3">Model!$BV$129</definedName>
    <definedName name="v_10_GNH3_atm">Model!$CB$129</definedName>
    <definedName name="v_10_GO2">Model!$BU$129</definedName>
    <definedName name="v_10_GO2_atm">Model!$CA$129</definedName>
    <definedName name="v_10_H">Model!$BO$129</definedName>
    <definedName name="v_10_SALPHA">Model!$BP$129</definedName>
    <definedName name="v_10_SAN">Model!$AQ$129</definedName>
    <definedName name="v_10_SB">Model!$F$129</definedName>
    <definedName name="v_10_SCa">Model!$AR$129</definedName>
    <definedName name="v_10_SCAT">Model!$AP$129</definedName>
    <definedName name="v_10_SCH4">Model!$AL$129</definedName>
    <definedName name="v_10_SCO2">Model!$AN$129</definedName>
    <definedName name="v_10_SFe2">Model!$AU$129</definedName>
    <definedName name="v_10_SH2">Model!$AM$129</definedName>
    <definedName name="v_10_SK">Model!$AT$129</definedName>
    <definedName name="v_10_SMEOL">Model!$G$129</definedName>
    <definedName name="v_10_SMg">Model!$AS$129</definedName>
    <definedName name="v_10_SN_B">Model!$AC$129</definedName>
    <definedName name="v_10_SN2">Model!$AB$129</definedName>
    <definedName name="v_10_SNHx">Model!$Y$129</definedName>
    <definedName name="v_10_SNO2">Model!$Z$129</definedName>
    <definedName name="v_10_SNO3">Model!$AA$129</definedName>
    <definedName name="v_10_SO2">Model!$AK$129</definedName>
    <definedName name="v_10_SORPswitch">Model!$BQ$129</definedName>
    <definedName name="v_10_SP_B">Model!$AH$129</definedName>
    <definedName name="v_10_SPO4">Model!$AF$129</definedName>
    <definedName name="v_10_SU">Model!$J$129</definedName>
    <definedName name="v_10_SVFA">Model!$E$129</definedName>
    <definedName name="v_10_XACP">Model!$BK$129</definedName>
    <definedName name="v_10_XAMETO">Model!$W$129</definedName>
    <definedName name="v_10_XAMX">Model!$V$129</definedName>
    <definedName name="v_10_XAOB">Model!$T$129</definedName>
    <definedName name="v_10_XB">Model!$I$129</definedName>
    <definedName name="v_10_XBSH">Model!$BL$129</definedName>
    <definedName name="v_10_XCaCO3">Model!$BJ$129</definedName>
    <definedName name="v_10_XCASTO">Model!$R$129</definedName>
    <definedName name="v_10_XE">Model!$O$129</definedName>
    <definedName name="v_10_XE_ana">Model!$P$129</definedName>
    <definedName name="v_10_XGLY">Model!$N$129</definedName>
    <definedName name="v_10_XHAO_H">Model!$BC$129</definedName>
    <definedName name="v_10_XHAO_H_P">Model!$BF$129</definedName>
    <definedName name="v_10_XHAO_H_P_old">Model!$BH$129</definedName>
    <definedName name="v_10_XHAO_L">Model!$BD$129</definedName>
    <definedName name="v_10_XHAO_L_P">Model!$BG$129</definedName>
    <definedName name="v_10_XHAO_L_P_old">Model!$BI$129</definedName>
    <definedName name="v_10_XHAO_old">Model!$BE$129</definedName>
    <definedName name="v_10_XHFO_H">Model!$AV$129</definedName>
    <definedName name="v_10_XHFO_H_P">Model!$AY$129</definedName>
    <definedName name="v_10_XHFO_H_P_old">Model!$BA$129</definedName>
    <definedName name="v_10_XHFO_L">Model!$AW$129</definedName>
    <definedName name="v_10_XHFO_L_P">Model!$AZ$129</definedName>
    <definedName name="v_10_XHFO_L_P_old">Model!$BB$129</definedName>
    <definedName name="v_10_XHFO_old">Model!$AX$129</definedName>
    <definedName name="v_10_XHMETO">Model!$X$129</definedName>
    <definedName name="v_10_XINORG">Model!$AO$129</definedName>
    <definedName name="v_10_XMEOLO">Model!$S$129</definedName>
    <definedName name="v_10_XN_B">Model!$AD$129</definedName>
    <definedName name="v_10_XN_U">Model!$AE$129</definedName>
    <definedName name="v_10_XNOB">Model!$U$129</definedName>
    <definedName name="v_10_XOHO">Model!$Q$129</definedName>
    <definedName name="v_10_XP_B">Model!$AI$129</definedName>
    <definedName name="v_10_XP_U">Model!$AJ$129</definedName>
    <definedName name="v_10_XPHA">Model!$M$129</definedName>
    <definedName name="v_10_XPP">Model!$AG$129</definedName>
    <definedName name="v_10_XSTR">Model!$BM$129</definedName>
    <definedName name="v_10_XU">Model!$L$129</definedName>
    <definedName name="v_10_XVivi">Model!$BN$129</definedName>
    <definedName name="v_11_CB">Model!$H$130</definedName>
    <definedName name="v_11_CU">Model!$K$130</definedName>
    <definedName name="v_11_GCH4">Model!$BS$130</definedName>
    <definedName name="v_11_GCH4_atm">Model!$BY$130</definedName>
    <definedName name="v_11_GCO2">Model!$BR$130</definedName>
    <definedName name="v_11_GCO2_atm">Model!$BX$130</definedName>
    <definedName name="v_11_GH2">Model!$BT$130</definedName>
    <definedName name="v_11_GH2_atm">Model!$BZ$130</definedName>
    <definedName name="v_11_GN2">Model!$BW$130</definedName>
    <definedName name="v_11_GN2_atm">Model!$CC$130</definedName>
    <definedName name="v_11_GNH3">Model!$BV$130</definedName>
    <definedName name="v_11_GNH3_atm">Model!$CB$130</definedName>
    <definedName name="v_11_GO2">Model!$BU$130</definedName>
    <definedName name="v_11_GO2_atm">Model!$CA$130</definedName>
    <definedName name="v_11_H">Model!$BO$130</definedName>
    <definedName name="v_11_SALPHA">Model!$BP$130</definedName>
    <definedName name="v_11_SAN">Model!$AQ$130</definedName>
    <definedName name="v_11_SB">Model!$F$130</definedName>
    <definedName name="v_11_SCa">Model!$AR$130</definedName>
    <definedName name="v_11_SCAT">Model!$AP$130</definedName>
    <definedName name="v_11_SCH4">Model!$AL$130</definedName>
    <definedName name="v_11_SCO2">Model!$AN$130</definedName>
    <definedName name="v_11_SFe2">Model!$AU$130</definedName>
    <definedName name="v_11_SH2">Model!$AM$130</definedName>
    <definedName name="v_11_SK">Model!$AT$130</definedName>
    <definedName name="v_11_SMEOL">Model!$G$130</definedName>
    <definedName name="v_11_SMg">Model!$AS$130</definedName>
    <definedName name="v_11_SN_B">Model!$AC$130</definedName>
    <definedName name="v_11_SN2">Model!$AB$130</definedName>
    <definedName name="v_11_SNHx">Model!$Y$130</definedName>
    <definedName name="v_11_SNO2">Model!$Z$130</definedName>
    <definedName name="v_11_SNO3">Model!$AA$130</definedName>
    <definedName name="v_11_SO2">Model!$AK$130</definedName>
    <definedName name="v_11_SORPswitch">Model!$BQ$130</definedName>
    <definedName name="v_11_SP_B">Model!$AH$130</definedName>
    <definedName name="v_11_SPO4">Model!$AF$130</definedName>
    <definedName name="v_11_SU">Model!$J$130</definedName>
    <definedName name="v_11_SVFA">Model!$E$130</definedName>
    <definedName name="v_11_XACP">Model!$BK$130</definedName>
    <definedName name="v_11_XAMETO">Model!$W$130</definedName>
    <definedName name="v_11_XAMX">Model!$V$130</definedName>
    <definedName name="v_11_XAOB">Model!$T$130</definedName>
    <definedName name="v_11_XB">Model!$I$130</definedName>
    <definedName name="v_11_XBSH">Model!$BL$130</definedName>
    <definedName name="v_11_XCaCO3">Model!$BJ$130</definedName>
    <definedName name="v_11_XCASTO">Model!$R$130</definedName>
    <definedName name="v_11_XE">Model!$O$130</definedName>
    <definedName name="v_11_XE_ana">Model!$P$130</definedName>
    <definedName name="v_11_XGLY">Model!$N$130</definedName>
    <definedName name="v_11_XHAO_H">Model!$BC$130</definedName>
    <definedName name="v_11_XHAO_H_P">Model!$BF$130</definedName>
    <definedName name="v_11_XHAO_H_P_old">Model!$BH$130</definedName>
    <definedName name="v_11_XHAO_L">Model!$BD$130</definedName>
    <definedName name="v_11_XHAO_L_P">Model!$BG$130</definedName>
    <definedName name="v_11_XHAO_L_P_old">Model!$BI$130</definedName>
    <definedName name="v_11_XHAO_old">Model!$BE$130</definedName>
    <definedName name="v_11_XHFO_H">Model!$AV$130</definedName>
    <definedName name="v_11_XHFO_H_P">Model!$AY$130</definedName>
    <definedName name="v_11_XHFO_H_P_old">Model!$BA$130</definedName>
    <definedName name="v_11_XHFO_L">Model!$AW$130</definedName>
    <definedName name="v_11_XHFO_L_P">Model!$AZ$130</definedName>
    <definedName name="v_11_XHFO_L_P_old">Model!$BB$130</definedName>
    <definedName name="v_11_XHFO_old">Model!$AX$130</definedName>
    <definedName name="v_11_XHMETO">Model!$X$130</definedName>
    <definedName name="v_11_XINORG">Model!$AO$130</definedName>
    <definedName name="v_11_XMEOLO">Model!$S$130</definedName>
    <definedName name="v_11_XN_B">Model!$AD$130</definedName>
    <definedName name="v_11_XN_U">Model!$AE$130</definedName>
    <definedName name="v_11_XNOB">Model!$U$130</definedName>
    <definedName name="v_11_XOHO">Model!$Q$130</definedName>
    <definedName name="v_11_XP_B">Model!$AI$130</definedName>
    <definedName name="v_11_XP_U">Model!$AJ$130</definedName>
    <definedName name="v_11_XPHA">Model!$M$130</definedName>
    <definedName name="v_11_XPP">Model!$AG$130</definedName>
    <definedName name="v_11_XSTR">Model!$BM$130</definedName>
    <definedName name="v_11_XU">Model!$L$130</definedName>
    <definedName name="v_11_XVivi">Model!$BN$130</definedName>
    <definedName name="v_12_CB">Model!$H$131</definedName>
    <definedName name="v_12_CU">Model!$K$131</definedName>
    <definedName name="v_12_GCH4">Model!$BS$131</definedName>
    <definedName name="v_12_GCH4_atm">Model!$BY$131</definedName>
    <definedName name="v_12_GCO2">Model!$BR$131</definedName>
    <definedName name="v_12_GCO2_atm">Model!$BX$131</definedName>
    <definedName name="v_12_GH2">Model!$BT$131</definedName>
    <definedName name="v_12_GH2_atm">Model!$BZ$131</definedName>
    <definedName name="v_12_GN2">Model!$BW$131</definedName>
    <definedName name="v_12_GN2_atm">Model!$CC$131</definedName>
    <definedName name="v_12_GNH3">Model!$BV$131</definedName>
    <definedName name="v_12_GNH3_atm">Model!$CB$131</definedName>
    <definedName name="v_12_GO2">Model!$BU$131</definedName>
    <definedName name="v_12_GO2_atm">Model!$CA$131</definedName>
    <definedName name="v_12_H">Model!$BO$131</definedName>
    <definedName name="v_12_SALPHA">Model!$BP$131</definedName>
    <definedName name="v_12_SAN">Model!$AQ$131</definedName>
    <definedName name="v_12_SB">Model!$F$131</definedName>
    <definedName name="v_12_SCa">Model!$AR$131</definedName>
    <definedName name="v_12_SCAT">Model!$AP$131</definedName>
    <definedName name="v_12_SCH4">Model!$AL$131</definedName>
    <definedName name="v_12_SCO2">Model!$AN$131</definedName>
    <definedName name="v_12_SFe2">Model!$AU$131</definedName>
    <definedName name="v_12_SH2">Model!$AM$131</definedName>
    <definedName name="v_12_SK">Model!$AT$131</definedName>
    <definedName name="v_12_SMEOL">Model!$G$131</definedName>
    <definedName name="v_12_SMg">Model!$AS$131</definedName>
    <definedName name="v_12_SN_B">Model!$AC$131</definedName>
    <definedName name="v_12_SN2">Model!$AB$131</definedName>
    <definedName name="v_12_SNHx">Model!$Y$131</definedName>
    <definedName name="v_12_SNO2">Model!$Z$131</definedName>
    <definedName name="v_12_SNO3">Model!$AA$131</definedName>
    <definedName name="v_12_SO2">Model!$AK$131</definedName>
    <definedName name="v_12_SORPswitch">Model!$BQ$131</definedName>
    <definedName name="v_12_SP_B">Model!$AH$131</definedName>
    <definedName name="v_12_SPO4">Model!$AF$131</definedName>
    <definedName name="v_12_SU">Model!$J$131</definedName>
    <definedName name="v_12_SVFA">Model!$E$131</definedName>
    <definedName name="v_12_XACP">Model!$BK$131</definedName>
    <definedName name="v_12_XAMETO">Model!$W$131</definedName>
    <definedName name="v_12_XAMX">Model!$V$131</definedName>
    <definedName name="v_12_XAOB">Model!$T$131</definedName>
    <definedName name="v_12_XB">Model!$I$131</definedName>
    <definedName name="v_12_XBSH">Model!$BL$131</definedName>
    <definedName name="v_12_XCaCO3">Model!$BJ$131</definedName>
    <definedName name="v_12_XCASTO">Model!$R$131</definedName>
    <definedName name="v_12_XE">Model!$O$131</definedName>
    <definedName name="v_12_XE_ana">Model!$P$131</definedName>
    <definedName name="v_12_XGLY">Model!$N$131</definedName>
    <definedName name="v_12_XHAO_H">Model!$BC$131</definedName>
    <definedName name="v_12_XHAO_H_P">Model!$BF$131</definedName>
    <definedName name="v_12_XHAO_H_P_old">Model!$BH$131</definedName>
    <definedName name="v_12_XHAO_L">Model!$BD$131</definedName>
    <definedName name="v_12_XHAO_L_P">Model!$BG$131</definedName>
    <definedName name="v_12_XHAO_L_P_old">Model!$BI$131</definedName>
    <definedName name="v_12_XHAO_old">Model!$BE$131</definedName>
    <definedName name="v_12_XHFO_H">Model!$AV$131</definedName>
    <definedName name="v_12_XHFO_H_P">Model!$AY$131</definedName>
    <definedName name="v_12_XHFO_H_P_old">Model!$BA$131</definedName>
    <definedName name="v_12_XHFO_L">Model!$AW$131</definedName>
    <definedName name="v_12_XHFO_L_P">Model!$AZ$131</definedName>
    <definedName name="v_12_XHFO_L_P_old">Model!$BB$131</definedName>
    <definedName name="v_12_XHFO_old">Model!$AX$131</definedName>
    <definedName name="v_12_XHMETO">Model!$X$131</definedName>
    <definedName name="v_12_XINORG">Model!$AO$131</definedName>
    <definedName name="v_12_XMEOLO">Model!$S$131</definedName>
    <definedName name="v_12_XN_B">Model!$AD$131</definedName>
    <definedName name="v_12_XN_U">Model!$AE$131</definedName>
    <definedName name="v_12_XNOB">Model!$U$131</definedName>
    <definedName name="v_12_XOHO">Model!$Q$131</definedName>
    <definedName name="v_12_XP_B">Model!$AI$131</definedName>
    <definedName name="v_12_XP_U">Model!$AJ$131</definedName>
    <definedName name="v_12_XPHA">Model!$M$131</definedName>
    <definedName name="v_12_XPP">Model!$AG$131</definedName>
    <definedName name="v_12_XSTR">Model!$BM$131</definedName>
    <definedName name="v_12_XU">Model!$L$131</definedName>
    <definedName name="v_12_XVivi">Model!$BN$131</definedName>
    <definedName name="v_13_CB">Model!$H$132</definedName>
    <definedName name="v_13_CU">Model!$K$132</definedName>
    <definedName name="v_13_GCH4">Model!$BS$132</definedName>
    <definedName name="v_13_GCH4_atm">Model!$BY$132</definedName>
    <definedName name="v_13_GCO2">Model!$BR$132</definedName>
    <definedName name="v_13_GCO2_atm">Model!$BX$132</definedName>
    <definedName name="v_13_GH2">Model!$BT$132</definedName>
    <definedName name="v_13_GH2_atm">Model!$BZ$132</definedName>
    <definedName name="v_13_GN2">Model!$BW$132</definedName>
    <definedName name="v_13_GN2_atm">Model!$CC$132</definedName>
    <definedName name="v_13_GNH3">Model!$BV$132</definedName>
    <definedName name="v_13_GNH3_atm">Model!$CB$132</definedName>
    <definedName name="v_13_GO2">Model!$BU$132</definedName>
    <definedName name="v_13_GO2_atm">Model!$CA$132</definedName>
    <definedName name="v_13_H">Model!$BO$132</definedName>
    <definedName name="v_13_SALPHA">Model!$BP$132</definedName>
    <definedName name="v_13_SAN">Model!$AQ$132</definedName>
    <definedName name="v_13_SB">Model!$F$132</definedName>
    <definedName name="v_13_SCa">Model!$AR$132</definedName>
    <definedName name="v_13_SCAT">Model!$AP$132</definedName>
    <definedName name="v_13_SCH4">Model!$AL$132</definedName>
    <definedName name="v_13_SCO2">Model!$AN$132</definedName>
    <definedName name="v_13_SFe2">Model!$AU$132</definedName>
    <definedName name="v_13_SH2">Model!$AM$132</definedName>
    <definedName name="v_13_SK">Model!$AT$132</definedName>
    <definedName name="v_13_SMEOL">Model!$G$132</definedName>
    <definedName name="v_13_SMg">Model!$AS$132</definedName>
    <definedName name="v_13_SN_B">Model!$AC$132</definedName>
    <definedName name="v_13_SN2">Model!$AB$132</definedName>
    <definedName name="v_13_SNHx">Model!$Y$132</definedName>
    <definedName name="v_13_SNO2">Model!$Z$132</definedName>
    <definedName name="v_13_SNO3">Model!$AA$132</definedName>
    <definedName name="v_13_SO2">Model!$AK$132</definedName>
    <definedName name="v_13_SORPswitch">Model!$BQ$132</definedName>
    <definedName name="v_13_SP_B">Model!$AH$132</definedName>
    <definedName name="v_13_SPO4">Model!$AF$132</definedName>
    <definedName name="v_13_SU">Model!$J$132</definedName>
    <definedName name="v_13_SVFA">Model!$E$132</definedName>
    <definedName name="v_13_XACP">Model!$BK$132</definedName>
    <definedName name="v_13_XAMETO">Model!$W$132</definedName>
    <definedName name="v_13_XAMX">Model!$V$132</definedName>
    <definedName name="v_13_XAOB">Model!$T$132</definedName>
    <definedName name="v_13_XB">Model!$I$132</definedName>
    <definedName name="v_13_XBSH">Model!$BL$132</definedName>
    <definedName name="v_13_XCaCO3">Model!$BJ$132</definedName>
    <definedName name="v_13_XCASTO">Model!$R$132</definedName>
    <definedName name="v_13_XE">Model!$O$132</definedName>
    <definedName name="v_13_XE_ana">Model!$P$132</definedName>
    <definedName name="v_13_XGLY">Model!$N$132</definedName>
    <definedName name="v_13_XHAO_H">Model!$BC$132</definedName>
    <definedName name="v_13_XHAO_H_P">Model!$BF$132</definedName>
    <definedName name="v_13_XHAO_H_P_old">Model!$BH$132</definedName>
    <definedName name="v_13_XHAO_L">Model!$BD$132</definedName>
    <definedName name="v_13_XHAO_L_P">Model!$BG$132</definedName>
    <definedName name="v_13_XHAO_L_P_old">Model!$BI$132</definedName>
    <definedName name="v_13_XHAO_old">Model!$BE$132</definedName>
    <definedName name="v_13_XHFO_H">Model!$AV$132</definedName>
    <definedName name="v_13_XHFO_H_P">Model!$AY$132</definedName>
    <definedName name="v_13_XHFO_H_P_old">Model!$BA$132</definedName>
    <definedName name="v_13_XHFO_L">Model!$AW$132</definedName>
    <definedName name="v_13_XHFO_L_P">Model!$AZ$132</definedName>
    <definedName name="v_13_XHFO_L_P_old">Model!$BB$132</definedName>
    <definedName name="v_13_XHFO_old">Model!$AX$132</definedName>
    <definedName name="v_13_XHMETO">Model!$X$132</definedName>
    <definedName name="v_13_XINORG">Model!$AO$132</definedName>
    <definedName name="v_13_XMEOLO">Model!$S$132</definedName>
    <definedName name="v_13_XN_B">Model!$AD$132</definedName>
    <definedName name="v_13_XN_U">Model!$AE$132</definedName>
    <definedName name="v_13_XNOB">Model!$U$132</definedName>
    <definedName name="v_13_XOHO">Model!$Q$132</definedName>
    <definedName name="v_13_XP_B">Model!$AI$132</definedName>
    <definedName name="v_13_XP_U">Model!$AJ$132</definedName>
    <definedName name="v_13_XPHA">Model!$M$132</definedName>
    <definedName name="v_13_XPP">Model!$AG$132</definedName>
    <definedName name="v_13_XSTR">Model!$BM$132</definedName>
    <definedName name="v_13_XU">Model!$L$132</definedName>
    <definedName name="v_13_XVivi">Model!$BN$132</definedName>
    <definedName name="v_14_CB">Model!$H$133</definedName>
    <definedName name="v_14_CU">Model!$K$133</definedName>
    <definedName name="v_14_GCH4">Model!$BS$133</definedName>
    <definedName name="v_14_GCH4_atm">Model!$BY$133</definedName>
    <definedName name="v_14_GCO2">Model!$BR$133</definedName>
    <definedName name="v_14_GCO2_atm">Model!$BX$133</definedName>
    <definedName name="v_14_GH2">Model!$BT$133</definedName>
    <definedName name="v_14_GH2_atm">Model!$BZ$133</definedName>
    <definedName name="v_14_GN2">Model!$BW$133</definedName>
    <definedName name="v_14_GN2_atm">Model!$CC$133</definedName>
    <definedName name="v_14_GNH3">Model!$BV$133</definedName>
    <definedName name="v_14_GNH3_atm">Model!$CB$133</definedName>
    <definedName name="v_14_GO2">Model!$BU$133</definedName>
    <definedName name="v_14_GO2_atm">Model!$CA$133</definedName>
    <definedName name="v_14_H">Model!$BO$133</definedName>
    <definedName name="v_14_SALPHA">Model!$BP$133</definedName>
    <definedName name="v_14_SAN">Model!$AQ$133</definedName>
    <definedName name="v_14_SB">Model!$F$133</definedName>
    <definedName name="v_14_SCa">Model!$AR$133</definedName>
    <definedName name="v_14_SCAT">Model!$AP$133</definedName>
    <definedName name="v_14_SCH4">Model!$AL$133</definedName>
    <definedName name="v_14_SCO2">Model!$AN$133</definedName>
    <definedName name="v_14_SFe2">Model!$AU$133</definedName>
    <definedName name="v_14_SH2">Model!$AM$133</definedName>
    <definedName name="v_14_SK">Model!$AT$133</definedName>
    <definedName name="v_14_SMEOL">Model!$G$133</definedName>
    <definedName name="v_14_SMg">Model!$AS$133</definedName>
    <definedName name="v_14_SN_B">Model!$AC$133</definedName>
    <definedName name="v_14_SN2">Model!$AB$133</definedName>
    <definedName name="v_14_SNHx">Model!$Y$133</definedName>
    <definedName name="v_14_SNO2">Model!$Z$133</definedName>
    <definedName name="v_14_SNO3">Model!$AA$133</definedName>
    <definedName name="v_14_SO2">Model!$AK$133</definedName>
    <definedName name="v_14_SORPswitch">Model!$BQ$133</definedName>
    <definedName name="v_14_SP_B">Model!$AH$133</definedName>
    <definedName name="v_14_SPO4">Model!$AF$133</definedName>
    <definedName name="v_14_SU">Model!$J$133</definedName>
    <definedName name="v_14_SVFA">Model!$E$133</definedName>
    <definedName name="v_14_XACP">Model!$BK$133</definedName>
    <definedName name="v_14_XAMETO">Model!$W$133</definedName>
    <definedName name="v_14_XAMX">Model!$V$133</definedName>
    <definedName name="v_14_XAOB">Model!$T$133</definedName>
    <definedName name="v_14_XB">Model!$I$133</definedName>
    <definedName name="v_14_XBSH">Model!$BL$133</definedName>
    <definedName name="v_14_XCaCO3">Model!$BJ$133</definedName>
    <definedName name="v_14_XCASTO">Model!$R$133</definedName>
    <definedName name="v_14_XE">Model!$O$133</definedName>
    <definedName name="v_14_XE_ana">Model!$P$133</definedName>
    <definedName name="v_14_XGLY">Model!$N$133</definedName>
    <definedName name="v_14_XHAO_H">Model!$BC$133</definedName>
    <definedName name="v_14_XHAO_H_P">Model!$BF$133</definedName>
    <definedName name="v_14_XHAO_H_P_old">Model!$BH$133</definedName>
    <definedName name="v_14_XHAO_L">Model!$BD$133</definedName>
    <definedName name="v_14_XHAO_L_P">Model!$BG$133</definedName>
    <definedName name="v_14_XHAO_L_P_old">Model!$BI$133</definedName>
    <definedName name="v_14_XHAO_old">Model!$BE$133</definedName>
    <definedName name="v_14_XHFO_H">Model!$AV$133</definedName>
    <definedName name="v_14_XHFO_H_P">Model!$AY$133</definedName>
    <definedName name="v_14_XHFO_H_P_old">Model!$BA$133</definedName>
    <definedName name="v_14_XHFO_L">Model!$AW$133</definedName>
    <definedName name="v_14_XHFO_L_P">Model!$AZ$133</definedName>
    <definedName name="v_14_XHFO_L_P_old">Model!$BB$133</definedName>
    <definedName name="v_14_XHFO_old">Model!$AX$133</definedName>
    <definedName name="v_14_XHMETO">Model!$X$133</definedName>
    <definedName name="v_14_XINORG">Model!$AO$133</definedName>
    <definedName name="v_14_XMEOLO">Model!$S$133</definedName>
    <definedName name="v_14_XN_B">Model!$AD$133</definedName>
    <definedName name="v_14_XN_U">Model!$AE$133</definedName>
    <definedName name="v_14_XNOB">Model!$U$133</definedName>
    <definedName name="v_14_XOHO">Model!$Q$133</definedName>
    <definedName name="v_14_XP_B">Model!$AI$133</definedName>
    <definedName name="v_14_XP_U">Model!$AJ$133</definedName>
    <definedName name="v_14_XPHA">Model!$M$133</definedName>
    <definedName name="v_14_XPP">Model!$AG$133</definedName>
    <definedName name="v_14_XSTR">Model!$BM$133</definedName>
    <definedName name="v_14_XU">Model!$L$133</definedName>
    <definedName name="v_14_XVivi">Model!$BN$133</definedName>
    <definedName name="v_15_CB">Model!$H$134</definedName>
    <definedName name="v_15_CU">Model!$K$134</definedName>
    <definedName name="v_15_GCH4">Model!$BS$134</definedName>
    <definedName name="v_15_GCH4_atm">Model!$BY$134</definedName>
    <definedName name="v_15_GCO2">Model!$BR$134</definedName>
    <definedName name="v_15_GCO2_atm">Model!$BX$134</definedName>
    <definedName name="v_15_GH2">Model!$BT$134</definedName>
    <definedName name="v_15_GH2_atm">Model!$BZ$134</definedName>
    <definedName name="v_15_GN2">Model!$BW$134</definedName>
    <definedName name="v_15_GN2_atm">Model!$CC$134</definedName>
    <definedName name="v_15_GNH3">Model!$BV$134</definedName>
    <definedName name="v_15_GNH3_atm">Model!$CB$134</definedName>
    <definedName name="v_15_GO2">Model!$BU$134</definedName>
    <definedName name="v_15_GO2_atm">Model!$CA$134</definedName>
    <definedName name="v_15_H">Model!$BO$134</definedName>
    <definedName name="v_15_SALPHA">Model!$BP$134</definedName>
    <definedName name="v_15_SAN">Model!$AQ$134</definedName>
    <definedName name="v_15_SB">Model!$F$134</definedName>
    <definedName name="v_15_SCa">Model!$AR$134</definedName>
    <definedName name="v_15_SCAT">Model!$AP$134</definedName>
    <definedName name="v_15_SCH4">Model!$AL$134</definedName>
    <definedName name="v_15_SCO2">Model!$AN$134</definedName>
    <definedName name="v_15_SFe2">Model!$AU$134</definedName>
    <definedName name="v_15_SH2">Model!$AM$134</definedName>
    <definedName name="v_15_SK">Model!$AT$134</definedName>
    <definedName name="v_15_SMEOL">Model!$G$134</definedName>
    <definedName name="v_15_SMg">Model!$AS$134</definedName>
    <definedName name="v_15_SN_B">Model!$AC$134</definedName>
    <definedName name="v_15_SN2">Model!$AB$134</definedName>
    <definedName name="v_15_SNHx">Model!$Y$134</definedName>
    <definedName name="v_15_SNO2">Model!$Z$134</definedName>
    <definedName name="v_15_SNO3">Model!$AA$134</definedName>
    <definedName name="v_15_SO2">Model!$AK$134</definedName>
    <definedName name="v_15_SORPswitch">Model!$BQ$134</definedName>
    <definedName name="v_15_SP_B">Model!$AH$134</definedName>
    <definedName name="v_15_SPO4">Model!$AF$134</definedName>
    <definedName name="v_15_SU">Model!$J$134</definedName>
    <definedName name="v_15_SVFA">Model!$E$134</definedName>
    <definedName name="v_15_XACP">Model!$BK$134</definedName>
    <definedName name="v_15_XAMETO">Model!$W$134</definedName>
    <definedName name="v_15_XAMX">Model!$V$134</definedName>
    <definedName name="v_15_XAOB">Model!$T$134</definedName>
    <definedName name="v_15_XB">Model!$I$134</definedName>
    <definedName name="v_15_XBSH">Model!$BL$134</definedName>
    <definedName name="v_15_XCaCO3">Model!$BJ$134</definedName>
    <definedName name="v_15_XCASTO">Model!$R$134</definedName>
    <definedName name="v_15_XE">Model!$O$134</definedName>
    <definedName name="v_15_XE_ana">Model!$P$134</definedName>
    <definedName name="v_15_XGLY">Model!$N$134</definedName>
    <definedName name="v_15_XHAO_H">Model!$BC$134</definedName>
    <definedName name="v_15_XHAO_H_P">Model!$BF$134</definedName>
    <definedName name="v_15_XHAO_H_P_old">Model!$BH$134</definedName>
    <definedName name="v_15_XHAO_L">Model!$BD$134</definedName>
    <definedName name="v_15_XHAO_L_P">Model!$BG$134</definedName>
    <definedName name="v_15_XHAO_L_P_old">Model!$BI$134</definedName>
    <definedName name="v_15_XHAO_old">Model!$BE$134</definedName>
    <definedName name="v_15_XHFO_H">Model!$AV$134</definedName>
    <definedName name="v_15_XHFO_H_P">Model!$AY$134</definedName>
    <definedName name="v_15_XHFO_H_P_old">Model!$BA$134</definedName>
    <definedName name="v_15_XHFO_L">Model!$AW$134</definedName>
    <definedName name="v_15_XHFO_L_P">Model!$AZ$134</definedName>
    <definedName name="v_15_XHFO_L_P_old">Model!$BB$134</definedName>
    <definedName name="v_15_XHFO_old">Model!$AX$134</definedName>
    <definedName name="v_15_XHMETO">Model!$X$134</definedName>
    <definedName name="v_15_XINORG">Model!$AO$134</definedName>
    <definedName name="v_15_XMEOLO">Model!$S$134</definedName>
    <definedName name="v_15_XN_B">Model!$AD$134</definedName>
    <definedName name="v_15_XN_U">Model!$AE$134</definedName>
    <definedName name="v_15_XNOB">Model!$U$134</definedName>
    <definedName name="v_15_XOHO">Model!$Q$134</definedName>
    <definedName name="v_15_XP_B">Model!$AI$134</definedName>
    <definedName name="v_15_XP_U">Model!$AJ$134</definedName>
    <definedName name="v_15_XPHA">Model!$M$134</definedName>
    <definedName name="v_15_XPP">Model!$AG$134</definedName>
    <definedName name="v_15_XSTR">Model!$BM$134</definedName>
    <definedName name="v_15_XU">Model!$L$134</definedName>
    <definedName name="v_15_XVivi">Model!$BN$134</definedName>
    <definedName name="v_16_CB">Model!$H$135</definedName>
    <definedName name="v_16_CU">Model!$K$135</definedName>
    <definedName name="v_16_GCH4">Model!$BS$135</definedName>
    <definedName name="v_16_GCH4_atm">Model!$BY$135</definedName>
    <definedName name="v_16_GCO2">Model!$BR$135</definedName>
    <definedName name="v_16_GCO2_atm">Model!$BX$135</definedName>
    <definedName name="v_16_GH2">Model!$BT$135</definedName>
    <definedName name="v_16_GH2_atm">Model!$BZ$135</definedName>
    <definedName name="v_16_GN2">Model!$BW$135</definedName>
    <definedName name="v_16_GN2_atm">Model!$CC$135</definedName>
    <definedName name="v_16_GNH3">Model!$BV$135</definedName>
    <definedName name="v_16_GNH3_atm">Model!$CB$135</definedName>
    <definedName name="v_16_GO2">Model!$BU$135</definedName>
    <definedName name="v_16_GO2_atm">Model!$CA$135</definedName>
    <definedName name="v_16_H">Model!$BO$135</definedName>
    <definedName name="v_16_SALPHA">Model!$BP$135</definedName>
    <definedName name="v_16_SAN">Model!$AQ$135</definedName>
    <definedName name="v_16_SB">Model!$F$135</definedName>
    <definedName name="v_16_SCa">Model!$AR$135</definedName>
    <definedName name="v_16_SCAT">Model!$AP$135</definedName>
    <definedName name="v_16_SCH4">Model!$AL$135</definedName>
    <definedName name="v_16_SCO2">Model!$AN$135</definedName>
    <definedName name="v_16_SFe2">Model!$AU$135</definedName>
    <definedName name="v_16_SH2">Model!$AM$135</definedName>
    <definedName name="v_16_SK">Model!$AT$135</definedName>
    <definedName name="v_16_SMEOL">Model!$G$135</definedName>
    <definedName name="v_16_SMg">Model!$AS$135</definedName>
    <definedName name="v_16_SN_B">Model!$AC$135</definedName>
    <definedName name="v_16_SN2">Model!$AB$135</definedName>
    <definedName name="v_16_SNHx">Model!$Y$135</definedName>
    <definedName name="v_16_SNO2">Model!$Z$135</definedName>
    <definedName name="v_16_SNO3">Model!$AA$135</definedName>
    <definedName name="v_16_SO2">Model!$AK$135</definedName>
    <definedName name="v_16_SORPswitch">Model!$BQ$135</definedName>
    <definedName name="v_16_SP_B">Model!$AH$135</definedName>
    <definedName name="v_16_SPO4">Model!$AF$135</definedName>
    <definedName name="v_16_SU">Model!$J$135</definedName>
    <definedName name="v_16_SVFA">Model!$E$135</definedName>
    <definedName name="v_16_XACP">Model!$BK$135</definedName>
    <definedName name="v_16_XAMETO">Model!$W$135</definedName>
    <definedName name="v_16_XAMX">Model!$V$135</definedName>
    <definedName name="v_16_XAOB">Model!$T$135</definedName>
    <definedName name="v_16_XB">Model!$I$135</definedName>
    <definedName name="v_16_XBSH">Model!$BL$135</definedName>
    <definedName name="v_16_XCaCO3">Model!$BJ$135</definedName>
    <definedName name="v_16_XCASTO">Model!$R$135</definedName>
    <definedName name="v_16_XE">Model!$O$135</definedName>
    <definedName name="v_16_XE_ana">Model!$P$135</definedName>
    <definedName name="v_16_XGLY">Model!$N$135</definedName>
    <definedName name="v_16_XHAO_H">Model!$BC$135</definedName>
    <definedName name="v_16_XHAO_H_P">Model!$BF$135</definedName>
    <definedName name="v_16_XHAO_H_P_old">Model!$BH$135</definedName>
    <definedName name="v_16_XHAO_L">Model!$BD$135</definedName>
    <definedName name="v_16_XHAO_L_P">Model!$BG$135</definedName>
    <definedName name="v_16_XHAO_L_P_old">Model!$BI$135</definedName>
    <definedName name="v_16_XHAO_old">Model!$BE$135</definedName>
    <definedName name="v_16_XHFO_H">Model!$AV$135</definedName>
    <definedName name="v_16_XHFO_H_P">Model!$AY$135</definedName>
    <definedName name="v_16_XHFO_H_P_old">Model!$BA$135</definedName>
    <definedName name="v_16_XHFO_L">Model!$AW$135</definedName>
    <definedName name="v_16_XHFO_L_P">Model!$AZ$135</definedName>
    <definedName name="v_16_XHFO_L_P_old">Model!$BB$135</definedName>
    <definedName name="v_16_XHFO_old">Model!$AX$135</definedName>
    <definedName name="v_16_XHMETO">Model!$X$135</definedName>
    <definedName name="v_16_XINORG">Model!$AO$135</definedName>
    <definedName name="v_16_XMEOLO">Model!$S$135</definedName>
    <definedName name="v_16_XN_B">Model!$AD$135</definedName>
    <definedName name="v_16_XN_U">Model!$AE$135</definedName>
    <definedName name="v_16_XNOB">Model!$U$135</definedName>
    <definedName name="v_16_XOHO">Model!$Q$135</definedName>
    <definedName name="v_16_XP_B">Model!$AI$135</definedName>
    <definedName name="v_16_XP_U">Model!$AJ$135</definedName>
    <definedName name="v_16_XPHA">Model!$M$135</definedName>
    <definedName name="v_16_XPP">Model!$AG$135</definedName>
    <definedName name="v_16_XSTR">Model!$BM$135</definedName>
    <definedName name="v_16_XU">Model!$L$135</definedName>
    <definedName name="v_16_XVivi">Model!$BN$135</definedName>
    <definedName name="v_17_CB">Model!$H$136</definedName>
    <definedName name="v_17_CU">Model!$K$136</definedName>
    <definedName name="v_17_GCH4">Model!$BS$136</definedName>
    <definedName name="v_17_GCH4_atm">Model!$BY$136</definedName>
    <definedName name="v_17_GCO2">Model!$BR$136</definedName>
    <definedName name="v_17_GCO2_atm">Model!$BX$136</definedName>
    <definedName name="v_17_GH2">Model!$BT$136</definedName>
    <definedName name="v_17_GH2_atm">Model!$BZ$136</definedName>
    <definedName name="v_17_GN2">Model!$BW$136</definedName>
    <definedName name="v_17_GN2_atm">Model!$CC$136</definedName>
    <definedName name="v_17_GNH3">Model!$BV$136</definedName>
    <definedName name="v_17_GNH3_atm">Model!$CB$136</definedName>
    <definedName name="v_17_GO2">Model!$BU$136</definedName>
    <definedName name="v_17_GO2_atm">Model!$CA$136</definedName>
    <definedName name="v_17_H">Model!$BO$136</definedName>
    <definedName name="v_17_SALPHA">Model!$BP$136</definedName>
    <definedName name="v_17_SAN">Model!$AQ$136</definedName>
    <definedName name="v_17_SB">Model!$F$136</definedName>
    <definedName name="v_17_SCa">Model!$AR$136</definedName>
    <definedName name="v_17_SCAT">Model!$AP$136</definedName>
    <definedName name="v_17_SCH4">Model!$AL$136</definedName>
    <definedName name="v_17_SCO2">Model!$AN$136</definedName>
    <definedName name="v_17_SFe2">Model!$AU$136</definedName>
    <definedName name="v_17_SH2">Model!$AM$136</definedName>
    <definedName name="v_17_SK">Model!$AT$136</definedName>
    <definedName name="v_17_SMEOL">Model!$G$136</definedName>
    <definedName name="v_17_SMg">Model!$AS$136</definedName>
    <definedName name="v_17_SN_B">Model!$AC$136</definedName>
    <definedName name="v_17_SN2">Model!$AB$136</definedName>
    <definedName name="v_17_SNHx">Model!$Y$136</definedName>
    <definedName name="v_17_SNO2">Model!$Z$136</definedName>
    <definedName name="v_17_SNO3">Model!$AA$136</definedName>
    <definedName name="v_17_SO2">Model!$AK$136</definedName>
    <definedName name="v_17_SORPswitch">Model!$BQ$136</definedName>
    <definedName name="v_17_SP_B">Model!$AH$136</definedName>
    <definedName name="v_17_SPO4">Model!$AF$136</definedName>
    <definedName name="v_17_SU">Model!$J$136</definedName>
    <definedName name="v_17_SVFA">Model!$E$136</definedName>
    <definedName name="v_17_XACP">Model!$BK$136</definedName>
    <definedName name="v_17_XAMETO">Model!$W$136</definedName>
    <definedName name="v_17_XAMX">Model!$V$136</definedName>
    <definedName name="v_17_XAOB">Model!$T$136</definedName>
    <definedName name="v_17_XB">Model!$I$136</definedName>
    <definedName name="v_17_XBSH">Model!$BL$136</definedName>
    <definedName name="v_17_XCaCO3">Model!$BJ$136</definedName>
    <definedName name="v_17_XCASTO">Model!$R$136</definedName>
    <definedName name="v_17_XE">Model!$O$136</definedName>
    <definedName name="v_17_XE_ana">Model!$P$136</definedName>
    <definedName name="v_17_XGLY">Model!$N$136</definedName>
    <definedName name="v_17_XHAO_H">Model!$BC$136</definedName>
    <definedName name="v_17_XHAO_H_P">Model!$BF$136</definedName>
    <definedName name="v_17_XHAO_H_P_old">Model!$BH$136</definedName>
    <definedName name="v_17_XHAO_L">Model!$BD$136</definedName>
    <definedName name="v_17_XHAO_L_P">Model!$BG$136</definedName>
    <definedName name="v_17_XHAO_L_P_old">Model!$BI$136</definedName>
    <definedName name="v_17_XHAO_old">Model!$BE$136</definedName>
    <definedName name="v_17_XHFO_H">Model!$AV$136</definedName>
    <definedName name="v_17_XHFO_H_P">Model!$AY$136</definedName>
    <definedName name="v_17_XHFO_H_P_old">Model!$BA$136</definedName>
    <definedName name="v_17_XHFO_L">Model!$AW$136</definedName>
    <definedName name="v_17_XHFO_L_P">Model!$AZ$136</definedName>
    <definedName name="v_17_XHFO_L_P_old">Model!$BB$136</definedName>
    <definedName name="v_17_XHFO_old">Model!$AX$136</definedName>
    <definedName name="v_17_XHMETO">Model!$X$136</definedName>
    <definedName name="v_17_XINORG">Model!$AO$136</definedName>
    <definedName name="v_17_XMEOLO">Model!$S$136</definedName>
    <definedName name="v_17_XN_B">Model!$AD$136</definedName>
    <definedName name="v_17_XN_U">Model!$AE$136</definedName>
    <definedName name="v_17_XNOB">Model!$U$136</definedName>
    <definedName name="v_17_XOHO">Model!$Q$136</definedName>
    <definedName name="v_17_XP_B">Model!$AI$136</definedName>
    <definedName name="v_17_XP_U">Model!$AJ$136</definedName>
    <definedName name="v_17_XPHA">Model!$M$136</definedName>
    <definedName name="v_17_XPP">Model!$AG$136</definedName>
    <definedName name="v_17_XSTR">Model!$BM$136</definedName>
    <definedName name="v_17_XU">Model!$L$136</definedName>
    <definedName name="v_17_XVivi">Model!$BN$136</definedName>
    <definedName name="v_18_CB">Model!$H$137</definedName>
    <definedName name="v_18_CU">Model!$K$137</definedName>
    <definedName name="v_18_GCH4">Model!$BS$137</definedName>
    <definedName name="v_18_GCH4_atm">Model!$BY$137</definedName>
    <definedName name="v_18_GCO2">Model!$BR$137</definedName>
    <definedName name="v_18_GCO2_atm">Model!$BX$137</definedName>
    <definedName name="v_18_GH2">Model!$BT$137</definedName>
    <definedName name="v_18_GH2_atm">Model!$BZ$137</definedName>
    <definedName name="v_18_GN2">Model!$BW$137</definedName>
    <definedName name="v_18_GN2_atm">Model!$CC$137</definedName>
    <definedName name="v_18_GNH3">Model!$BV$137</definedName>
    <definedName name="v_18_GNH3_atm">Model!$CB$137</definedName>
    <definedName name="v_18_GO2">Model!$BU$137</definedName>
    <definedName name="v_18_GO2_atm">Model!$CA$137</definedName>
    <definedName name="v_18_H">Model!$BO$137</definedName>
    <definedName name="v_18_SALPHA">Model!$BP$137</definedName>
    <definedName name="v_18_SAN">Model!$AQ$137</definedName>
    <definedName name="v_18_SB">Model!$F$137</definedName>
    <definedName name="v_18_SCa">Model!$AR$137</definedName>
    <definedName name="v_18_SCAT">Model!$AP$137</definedName>
    <definedName name="v_18_SCH4">Model!$AL$137</definedName>
    <definedName name="v_18_SCO2">Model!$AN$137</definedName>
    <definedName name="v_18_SFe2">Model!$AU$137</definedName>
    <definedName name="v_18_SH2">Model!$AM$137</definedName>
    <definedName name="v_18_SK">Model!$AT$137</definedName>
    <definedName name="v_18_SMEOL">Model!$G$137</definedName>
    <definedName name="v_18_SMg">Model!$AS$137</definedName>
    <definedName name="v_18_SN_B">Model!$AC$137</definedName>
    <definedName name="v_18_SN2">Model!$AB$137</definedName>
    <definedName name="v_18_SNHx">Model!$Y$137</definedName>
    <definedName name="v_18_SNO2">Model!$Z$137</definedName>
    <definedName name="v_18_SNO3">Model!$AA$137</definedName>
    <definedName name="v_18_SO2">Model!$AK$137</definedName>
    <definedName name="v_18_SORPswitch">Model!$BQ$137</definedName>
    <definedName name="v_18_SP_B">Model!$AH$137</definedName>
    <definedName name="v_18_SPO4">Model!$AF$137</definedName>
    <definedName name="v_18_SU">Model!$J$137</definedName>
    <definedName name="v_18_SVFA">Model!$E$137</definedName>
    <definedName name="v_18_XACP">Model!$BK$137</definedName>
    <definedName name="v_18_XAMETO">Model!$W$137</definedName>
    <definedName name="v_18_XAMX">Model!$V$137</definedName>
    <definedName name="v_18_XAOB">Model!$T$137</definedName>
    <definedName name="v_18_XB">Model!$I$137</definedName>
    <definedName name="v_18_XBSH">Model!$BL$137</definedName>
    <definedName name="v_18_XCaCO3">Model!$BJ$137</definedName>
    <definedName name="v_18_XCASTO">Model!$R$137</definedName>
    <definedName name="v_18_XE">Model!$O$137</definedName>
    <definedName name="v_18_XE_ana">Model!$P$137</definedName>
    <definedName name="v_18_XGLY">Model!$N$137</definedName>
    <definedName name="v_18_XHAO_H">Model!$BC$137</definedName>
    <definedName name="v_18_XHAO_H_P">Model!$BF$137</definedName>
    <definedName name="v_18_XHAO_H_P_old">Model!$BH$137</definedName>
    <definedName name="v_18_XHAO_L">Model!$BD$137</definedName>
    <definedName name="v_18_XHAO_L_P">Model!$BG$137</definedName>
    <definedName name="v_18_XHAO_L_P_old">Model!$BI$137</definedName>
    <definedName name="v_18_XHAO_old">Model!$BE$137</definedName>
    <definedName name="v_18_XHFO_H">Model!$AV$137</definedName>
    <definedName name="v_18_XHFO_H_P">Model!$AY$137</definedName>
    <definedName name="v_18_XHFO_H_P_old">Model!$BA$137</definedName>
    <definedName name="v_18_XHFO_L">Model!$AW$137</definedName>
    <definedName name="v_18_XHFO_L_P">Model!$AZ$137</definedName>
    <definedName name="v_18_XHFO_L_P_old">Model!$BB$137</definedName>
    <definedName name="v_18_XHFO_old">Model!$AX$137</definedName>
    <definedName name="v_18_XHMETO">Model!$X$137</definedName>
    <definedName name="v_18_XINORG">Model!$AO$137</definedName>
    <definedName name="v_18_XMEOLO">Model!$S$137</definedName>
    <definedName name="v_18_XN_B">Model!$AD$137</definedName>
    <definedName name="v_18_XN_U">Model!$AE$137</definedName>
    <definedName name="v_18_XNOB">Model!$U$137</definedName>
    <definedName name="v_18_XOHO">Model!$Q$137</definedName>
    <definedName name="v_18_XP_B">Model!$AI$137</definedName>
    <definedName name="v_18_XP_U">Model!$AJ$137</definedName>
    <definedName name="v_18_XPHA">Model!$M$137</definedName>
    <definedName name="v_18_XPP">Model!$AG$137</definedName>
    <definedName name="v_18_XSTR">Model!$BM$137</definedName>
    <definedName name="v_18_XU">Model!$L$137</definedName>
    <definedName name="v_18_XVivi">Model!$BN$137</definedName>
    <definedName name="v_19_CB">Model!$H$138</definedName>
    <definedName name="v_19_CU">Model!$K$138</definedName>
    <definedName name="v_19_GCH4">Model!$BS$138</definedName>
    <definedName name="v_19_GCH4_atm">Model!$BY$138</definedName>
    <definedName name="v_19_GCO2">Model!$BR$138</definedName>
    <definedName name="v_19_GCO2_atm">Model!$BX$138</definedName>
    <definedName name="v_19_GH2">Model!$BT$138</definedName>
    <definedName name="v_19_GH2_atm">Model!$BZ$138</definedName>
    <definedName name="v_19_GN2">Model!$BW$138</definedName>
    <definedName name="v_19_GN2_atm">Model!$CC$138</definedName>
    <definedName name="v_19_GNH3">Model!$BV$138</definedName>
    <definedName name="v_19_GNH3_atm">Model!$CB$138</definedName>
    <definedName name="v_19_GO2">Model!$BU$138</definedName>
    <definedName name="v_19_GO2_atm">Model!$CA$138</definedName>
    <definedName name="v_19_H">Model!$BO$138</definedName>
    <definedName name="v_19_SALPHA">Model!$BP$138</definedName>
    <definedName name="v_19_SAN">Model!$AQ$138</definedName>
    <definedName name="v_19_SB">Model!$F$138</definedName>
    <definedName name="v_19_SCa">Model!$AR$138</definedName>
    <definedName name="v_19_SCAT">Model!$AP$138</definedName>
    <definedName name="v_19_SCH4">Model!$AL$138</definedName>
    <definedName name="v_19_SCO2">Model!$AN$138</definedName>
    <definedName name="v_19_SFe2">Model!$AU$138</definedName>
    <definedName name="v_19_SH2">Model!$AM$138</definedName>
    <definedName name="v_19_SK">Model!$AT$138</definedName>
    <definedName name="v_19_SMEOL">Model!$G$138</definedName>
    <definedName name="v_19_SMg">Model!$AS$138</definedName>
    <definedName name="v_19_SN_B">Model!$AC$138</definedName>
    <definedName name="v_19_SN2">Model!$AB$138</definedName>
    <definedName name="v_19_SNHx">Model!$Y$138</definedName>
    <definedName name="v_19_SNO2">Model!$Z$138</definedName>
    <definedName name="v_19_SNO3">Model!$AA$138</definedName>
    <definedName name="v_19_SO2">Model!$AK$138</definedName>
    <definedName name="v_19_SORPswitch">Model!$BQ$138</definedName>
    <definedName name="v_19_SP_B">Model!$AH$138</definedName>
    <definedName name="v_19_SPO4">Model!$AF$138</definedName>
    <definedName name="v_19_SU">Model!$J$138</definedName>
    <definedName name="v_19_SVFA">Model!$E$138</definedName>
    <definedName name="v_19_XACP">Model!$BK$138</definedName>
    <definedName name="v_19_XAMETO">Model!$W$138</definedName>
    <definedName name="v_19_XAMX">Model!$V$138</definedName>
    <definedName name="v_19_XAOB">Model!$T$138</definedName>
    <definedName name="v_19_XB">Model!$I$138</definedName>
    <definedName name="v_19_XBSH">Model!$BL$138</definedName>
    <definedName name="v_19_XCaCO3">Model!$BJ$138</definedName>
    <definedName name="v_19_XCASTO">Model!$R$138</definedName>
    <definedName name="v_19_XE">Model!$O$138</definedName>
    <definedName name="v_19_XE_ana">Model!$P$138</definedName>
    <definedName name="v_19_XGLY">Model!$N$138</definedName>
    <definedName name="v_19_XHAO_H">Model!$BC$138</definedName>
    <definedName name="v_19_XHAO_H_P">Model!$BF$138</definedName>
    <definedName name="v_19_XHAO_H_P_old">Model!$BH$138</definedName>
    <definedName name="v_19_XHAO_L">Model!$BD$138</definedName>
    <definedName name="v_19_XHAO_L_P">Model!$BG$138</definedName>
    <definedName name="v_19_XHAO_L_P_old">Model!$BI$138</definedName>
    <definedName name="v_19_XHAO_old">Model!$BE$138</definedName>
    <definedName name="v_19_XHFO_H">Model!$AV$138</definedName>
    <definedName name="v_19_XHFO_H_P">Model!$AY$138</definedName>
    <definedName name="v_19_XHFO_H_P_old">Model!$BA$138</definedName>
    <definedName name="v_19_XHFO_L">Model!$AW$138</definedName>
    <definedName name="v_19_XHFO_L_P">Model!$AZ$138</definedName>
    <definedName name="v_19_XHFO_L_P_old">Model!$BB$138</definedName>
    <definedName name="v_19_XHFO_old">Model!$AX$138</definedName>
    <definedName name="v_19_XHMETO">Model!$X$138</definedName>
    <definedName name="v_19_XINORG">Model!$AO$138</definedName>
    <definedName name="v_19_XMEOLO">Model!$S$138</definedName>
    <definedName name="v_19_XN_B">Model!$AD$138</definedName>
    <definedName name="v_19_XN_U">Model!$AE$138</definedName>
    <definedName name="v_19_XNOB">Model!$U$138</definedName>
    <definedName name="v_19_XOHO">Model!$Q$138</definedName>
    <definedName name="v_19_XP_B">Model!$AI$138</definedName>
    <definedName name="v_19_XP_U">Model!$AJ$138</definedName>
    <definedName name="v_19_XPHA">Model!$M$138</definedName>
    <definedName name="v_19_XPP">Model!$AG$138</definedName>
    <definedName name="v_19_XSTR">Model!$BM$138</definedName>
    <definedName name="v_19_XU">Model!$L$138</definedName>
    <definedName name="v_19_XVivi">Model!$BN$138</definedName>
    <definedName name="v_2_CB">Model!$H$121</definedName>
    <definedName name="v_2_CU">Model!$K$121</definedName>
    <definedName name="v_2_GCH4">Model!$BS$121</definedName>
    <definedName name="v_2_GCH4_atm">Model!$BY$121</definedName>
    <definedName name="v_2_GCO2">Model!$BR$121</definedName>
    <definedName name="v_2_GCO2_atm">Model!$BX$121</definedName>
    <definedName name="v_2_GH2">Model!$BT$121</definedName>
    <definedName name="v_2_GH2_atm">Model!$BZ$121</definedName>
    <definedName name="v_2_GN2">Model!$BW$121</definedName>
    <definedName name="v_2_GN2_atm">Model!$CC$121</definedName>
    <definedName name="v_2_GNH3">Model!$BV$121</definedName>
    <definedName name="v_2_GNH3_atm">Model!$CB$121</definedName>
    <definedName name="v_2_GO2">Model!$BU$121</definedName>
    <definedName name="v_2_GO2_atm">Model!$CA$121</definedName>
    <definedName name="v_2_H">Model!$BO$121</definedName>
    <definedName name="v_2_SALPHA">Model!$BP$121</definedName>
    <definedName name="v_2_SAN">Model!$AQ$121</definedName>
    <definedName name="v_2_SB">Model!$F$121</definedName>
    <definedName name="v_2_SCa">Model!$AR$121</definedName>
    <definedName name="v_2_SCAT">Model!$AP$121</definedName>
    <definedName name="v_2_SCH4">Model!$AL$121</definedName>
    <definedName name="v_2_SCO2">Model!$AN$121</definedName>
    <definedName name="v_2_SFe2">Model!$AU$121</definedName>
    <definedName name="v_2_SH2">Model!$AM$121</definedName>
    <definedName name="v_2_SK">Model!$AT$121</definedName>
    <definedName name="v_2_SMEOL">Model!$G$121</definedName>
    <definedName name="v_2_SMg">Model!$AS$121</definedName>
    <definedName name="v_2_SN_B">Model!$AC$121</definedName>
    <definedName name="v_2_SN2">Model!$AB$121</definedName>
    <definedName name="v_2_SNHx">Model!$Y$121</definedName>
    <definedName name="v_2_SNO2">Model!$Z$121</definedName>
    <definedName name="v_2_SNO3">Model!$AA$121</definedName>
    <definedName name="v_2_SO2">Model!$AK$121</definedName>
    <definedName name="v_2_SORPswitch">Model!$BQ$121</definedName>
    <definedName name="v_2_SP_B">Model!$AH$121</definedName>
    <definedName name="v_2_SPO4">Model!$AF$121</definedName>
    <definedName name="v_2_SU">Model!$J$121</definedName>
    <definedName name="v_2_SVFA">Model!$E$121</definedName>
    <definedName name="v_2_XACP">Model!$BK$121</definedName>
    <definedName name="v_2_XAMETO">Model!$W$121</definedName>
    <definedName name="v_2_XAMX">Model!$V$121</definedName>
    <definedName name="v_2_XAOB">Model!$T$121</definedName>
    <definedName name="v_2_XB">Model!$I$121</definedName>
    <definedName name="v_2_XBSH">Model!$BL$121</definedName>
    <definedName name="v_2_XCaCO3">Model!$BJ$121</definedName>
    <definedName name="v_2_XCASTO">Model!$R$121</definedName>
    <definedName name="v_2_XE">Model!$O$121</definedName>
    <definedName name="v_2_XE_ana">Model!$P$121</definedName>
    <definedName name="v_2_XGLY">Model!$N$121</definedName>
    <definedName name="v_2_XHAO_H">Model!$BC$121</definedName>
    <definedName name="v_2_XHAO_H_P">Model!$BF$121</definedName>
    <definedName name="v_2_XHAO_H_P_old">Model!$BH$121</definedName>
    <definedName name="v_2_XHAO_L">Model!$BD$121</definedName>
    <definedName name="v_2_XHAO_L_P">Model!$BG$121</definedName>
    <definedName name="v_2_XHAO_L_P_old">Model!$BI$121</definedName>
    <definedName name="v_2_XHAO_old">Model!$BE$121</definedName>
    <definedName name="v_2_XHFO_H">Model!$AV$121</definedName>
    <definedName name="v_2_XHFO_H_P">Model!$AY$121</definedName>
    <definedName name="v_2_XHFO_H_P_old">Model!$BA$121</definedName>
    <definedName name="v_2_XHFO_L">Model!$AW$121</definedName>
    <definedName name="v_2_XHFO_L_P">Model!$AZ$121</definedName>
    <definedName name="v_2_XHFO_L_P_old">Model!$BB$121</definedName>
    <definedName name="v_2_XHFO_old">Model!$AX$121</definedName>
    <definedName name="v_2_XHMETO">Model!$X$121</definedName>
    <definedName name="v_2_XINORG">Model!$AO$121</definedName>
    <definedName name="v_2_XMEOLO">Model!$S$121</definedName>
    <definedName name="v_2_XN_B">Model!$AD$121</definedName>
    <definedName name="v_2_XN_U">Model!$AE$121</definedName>
    <definedName name="v_2_XNOB">Model!$U$121</definedName>
    <definedName name="v_2_XOHO">Model!$Q$121</definedName>
    <definedName name="v_2_XP_B">Model!$AI$121</definedName>
    <definedName name="v_2_XP_U">Model!$AJ$121</definedName>
    <definedName name="v_2_XPHA">Model!$M$121</definedName>
    <definedName name="v_2_XPP">Model!$AG$121</definedName>
    <definedName name="v_2_XSTR">Model!$BM$121</definedName>
    <definedName name="v_2_XU">Model!$L$121</definedName>
    <definedName name="v_2_XVivi">Model!$BN$121</definedName>
    <definedName name="v_20_CB">Model!$H$139</definedName>
    <definedName name="v_20_CU">Model!$K$139</definedName>
    <definedName name="v_20_GCH4">Model!$BS$139</definedName>
    <definedName name="v_20_GCH4_atm">Model!$BY$139</definedName>
    <definedName name="v_20_GCO2">Model!$BR$139</definedName>
    <definedName name="v_20_GCO2_atm">Model!$BX$139</definedName>
    <definedName name="v_20_GH2">Model!$BT$139</definedName>
    <definedName name="v_20_GH2_atm">Model!$BZ$139</definedName>
    <definedName name="v_20_GN2">Model!$BW$139</definedName>
    <definedName name="v_20_GN2_atm">Model!$CC$139</definedName>
    <definedName name="v_20_GNH3">Model!$BV$139</definedName>
    <definedName name="v_20_GNH3_atm">Model!$CB$139</definedName>
    <definedName name="v_20_GO2">Model!$BU$139</definedName>
    <definedName name="v_20_GO2_atm">Model!$CA$139</definedName>
    <definedName name="v_20_H">Model!$BO$139</definedName>
    <definedName name="v_20_SALPHA">Model!$BP$139</definedName>
    <definedName name="v_20_SAN">Model!$AQ$139</definedName>
    <definedName name="v_20_SB">Model!$F$139</definedName>
    <definedName name="v_20_SCa">Model!$AR$139</definedName>
    <definedName name="v_20_SCAT">Model!$AP$139</definedName>
    <definedName name="v_20_SCH4">Model!$AL$139</definedName>
    <definedName name="v_20_SCO2">Model!$AN$139</definedName>
    <definedName name="v_20_SFe2">Model!$AU$139</definedName>
    <definedName name="v_20_SH2">Model!$AM$139</definedName>
    <definedName name="v_20_SK">Model!$AT$139</definedName>
    <definedName name="v_20_SMEOL">Model!$G$139</definedName>
    <definedName name="v_20_SMg">Model!$AS$139</definedName>
    <definedName name="v_20_SN_B">Model!$AC$139</definedName>
    <definedName name="v_20_SN2">Model!$AB$139</definedName>
    <definedName name="v_20_SNHx">Model!$Y$139</definedName>
    <definedName name="v_20_SNO2">Model!$Z$139</definedName>
    <definedName name="v_20_SNO3">Model!$AA$139</definedName>
    <definedName name="v_20_SO2">Model!$AK$139</definedName>
    <definedName name="v_20_SORPswitch">Model!$BQ$139</definedName>
    <definedName name="v_20_SP_B">Model!$AH$139</definedName>
    <definedName name="v_20_SPO4">Model!$AF$139</definedName>
    <definedName name="v_20_SU">Model!$J$139</definedName>
    <definedName name="v_20_SVFA">Model!$E$139</definedName>
    <definedName name="v_20_XACP">Model!$BK$139</definedName>
    <definedName name="v_20_XAMETO">Model!$W$139</definedName>
    <definedName name="v_20_XAMX">Model!$V$139</definedName>
    <definedName name="v_20_XAOB">Model!$T$139</definedName>
    <definedName name="v_20_XB">Model!$I$139</definedName>
    <definedName name="v_20_XBSH">Model!$BL$139</definedName>
    <definedName name="v_20_XCaCO3">Model!$BJ$139</definedName>
    <definedName name="v_20_XCASTO">Model!$R$139</definedName>
    <definedName name="v_20_XE">Model!$O$139</definedName>
    <definedName name="v_20_XE_ana">Model!$P$139</definedName>
    <definedName name="v_20_XGLY">Model!$N$139</definedName>
    <definedName name="v_20_XHAO_H">Model!$BC$139</definedName>
    <definedName name="v_20_XHAO_H_P">Model!$BF$139</definedName>
    <definedName name="v_20_XHAO_H_P_old">Model!$BH$139</definedName>
    <definedName name="v_20_XHAO_L">Model!$BD$139</definedName>
    <definedName name="v_20_XHAO_L_P">Model!$BG$139</definedName>
    <definedName name="v_20_XHAO_L_P_old">Model!$BI$139</definedName>
    <definedName name="v_20_XHAO_old">Model!$BE$139</definedName>
    <definedName name="v_20_XHFO_H">Model!$AV$139</definedName>
    <definedName name="v_20_XHFO_H_P">Model!$AY$139</definedName>
    <definedName name="v_20_XHFO_H_P_old">Model!$BA$139</definedName>
    <definedName name="v_20_XHFO_L">Model!$AW$139</definedName>
    <definedName name="v_20_XHFO_L_P">Model!$AZ$139</definedName>
    <definedName name="v_20_XHFO_L_P_old">Model!$BB$139</definedName>
    <definedName name="v_20_XHFO_old">Model!$AX$139</definedName>
    <definedName name="v_20_XHMETO">Model!$X$139</definedName>
    <definedName name="v_20_XINORG">Model!$AO$139</definedName>
    <definedName name="v_20_XMEOLO">Model!$S$139</definedName>
    <definedName name="v_20_XN_B">Model!$AD$139</definedName>
    <definedName name="v_20_XN_U">Model!$AE$139</definedName>
    <definedName name="v_20_XNOB">Model!$U$139</definedName>
    <definedName name="v_20_XOHO">Model!$Q$139</definedName>
    <definedName name="v_20_XP_B">Model!$AI$139</definedName>
    <definedName name="v_20_XP_U">Model!$AJ$139</definedName>
    <definedName name="v_20_XPHA">Model!$M$139</definedName>
    <definedName name="v_20_XPP">Model!$AG$139</definedName>
    <definedName name="v_20_XSTR">Model!$BM$139</definedName>
    <definedName name="v_20_XU">Model!$L$139</definedName>
    <definedName name="v_20_XVivi">Model!$BN$139</definedName>
    <definedName name="v_21_CB">Model!$H$140</definedName>
    <definedName name="v_21_CU">Model!$K$140</definedName>
    <definedName name="v_21_GCH4">Model!$BS$140</definedName>
    <definedName name="v_21_GCH4_atm">Model!$BY$140</definedName>
    <definedName name="v_21_GCO2">Model!$BR$140</definedName>
    <definedName name="v_21_GCO2_atm">Model!$BX$140</definedName>
    <definedName name="v_21_GH2">Model!$BT$140</definedName>
    <definedName name="v_21_GH2_atm">Model!$BZ$140</definedName>
    <definedName name="v_21_GN2">Model!$BW$140</definedName>
    <definedName name="v_21_GN2_atm">Model!$CC$140</definedName>
    <definedName name="v_21_GNH3">Model!$BV$140</definedName>
    <definedName name="v_21_GNH3_atm">Model!$CB$140</definedName>
    <definedName name="v_21_GO2">Model!$BU$140</definedName>
    <definedName name="v_21_GO2_atm">Model!$CA$140</definedName>
    <definedName name="v_21_H">Model!$BO$140</definedName>
    <definedName name="v_21_SALPHA">Model!$BP$140</definedName>
    <definedName name="v_21_SAN">Model!$AQ$140</definedName>
    <definedName name="v_21_SB">Model!$F$140</definedName>
    <definedName name="v_21_SCa">Model!$AR$140</definedName>
    <definedName name="v_21_SCAT">Model!$AP$140</definedName>
    <definedName name="v_21_SCH4">Model!$AL$140</definedName>
    <definedName name="v_21_SCO2">Model!$AN$140</definedName>
    <definedName name="v_21_SFe2">Model!$AU$140</definedName>
    <definedName name="v_21_SH2">Model!$AM$140</definedName>
    <definedName name="v_21_SK">Model!$AT$140</definedName>
    <definedName name="v_21_SMEOL">Model!$G$140</definedName>
    <definedName name="v_21_SMg">Model!$AS$140</definedName>
    <definedName name="v_21_SN_B">Model!$AC$140</definedName>
    <definedName name="v_21_SN2">Model!$AB$140</definedName>
    <definedName name="v_21_SNHx">Model!$Y$140</definedName>
    <definedName name="v_21_SNO2">Model!$Z$140</definedName>
    <definedName name="v_21_SNO3">Model!$AA$140</definedName>
    <definedName name="v_21_SO2">Model!$AK$140</definedName>
    <definedName name="v_21_SORPswitch">Model!$BQ$140</definedName>
    <definedName name="v_21_SP_B">Model!$AH$140</definedName>
    <definedName name="v_21_SPO4">Model!$AF$140</definedName>
    <definedName name="v_21_SU">Model!$J$140</definedName>
    <definedName name="v_21_SVFA">Model!$E$140</definedName>
    <definedName name="v_21_XACP">Model!$BK$140</definedName>
    <definedName name="v_21_XAMETO">Model!$W$140</definedName>
    <definedName name="v_21_XAMX">Model!$V$140</definedName>
    <definedName name="v_21_XAOB">Model!$T$140</definedName>
    <definedName name="v_21_XB">Model!$I$140</definedName>
    <definedName name="v_21_XBSH">Model!$BL$140</definedName>
    <definedName name="v_21_XCaCO3">Model!$BJ$140</definedName>
    <definedName name="v_21_XCASTO">Model!$R$140</definedName>
    <definedName name="v_21_XE">Model!$O$140</definedName>
    <definedName name="v_21_XE_ana">Model!$P$140</definedName>
    <definedName name="v_21_XGLY">Model!$N$140</definedName>
    <definedName name="v_21_XHAO_H">Model!$BC$140</definedName>
    <definedName name="v_21_XHAO_H_P">Model!$BF$140</definedName>
    <definedName name="v_21_XHAO_H_P_old">Model!$BH$140</definedName>
    <definedName name="v_21_XHAO_L">Model!$BD$140</definedName>
    <definedName name="v_21_XHAO_L_P">Model!$BG$140</definedName>
    <definedName name="v_21_XHAO_L_P_old">Model!$BI$140</definedName>
    <definedName name="v_21_XHAO_old">Model!$BE$140</definedName>
    <definedName name="v_21_XHFO_H">Model!$AV$140</definedName>
    <definedName name="v_21_XHFO_H_P">Model!$AY$140</definedName>
    <definedName name="v_21_XHFO_H_P_old">Model!$BA$140</definedName>
    <definedName name="v_21_XHFO_L">Model!$AW$140</definedName>
    <definedName name="v_21_XHFO_L_P">Model!$AZ$140</definedName>
    <definedName name="v_21_XHFO_L_P_old">Model!$BB$140</definedName>
    <definedName name="v_21_XHFO_old">Model!$AX$140</definedName>
    <definedName name="v_21_XHMETO">Model!$X$140</definedName>
    <definedName name="v_21_XINORG">Model!$AO$140</definedName>
    <definedName name="v_21_XMEOLO">Model!$S$140</definedName>
    <definedName name="v_21_XN_B">Model!$AD$140</definedName>
    <definedName name="v_21_XN_U">Model!$AE$140</definedName>
    <definedName name="v_21_XNOB">Model!$U$140</definedName>
    <definedName name="v_21_XOHO">Model!$Q$140</definedName>
    <definedName name="v_21_XP_B">Model!$AI$140</definedName>
    <definedName name="v_21_XP_U">Model!$AJ$140</definedName>
    <definedName name="v_21_XPHA">Model!$M$140</definedName>
    <definedName name="v_21_XPP">Model!$AG$140</definedName>
    <definedName name="v_21_XSTR">Model!$BM$140</definedName>
    <definedName name="v_21_XU">Model!$L$140</definedName>
    <definedName name="v_21_XVivi">Model!$BN$140</definedName>
    <definedName name="v_22_CB">Model!$H$141</definedName>
    <definedName name="v_22_CU">Model!$K$141</definedName>
    <definedName name="v_22_GCH4">Model!$BS$141</definedName>
    <definedName name="v_22_GCH4_atm">Model!$BY$141</definedName>
    <definedName name="v_22_GCO2">Model!$BR$141</definedName>
    <definedName name="v_22_GCO2_atm">Model!$BX$141</definedName>
    <definedName name="v_22_GH2">Model!$BT$141</definedName>
    <definedName name="v_22_GH2_atm">Model!$BZ$141</definedName>
    <definedName name="v_22_GN2">Model!$BW$141</definedName>
    <definedName name="v_22_GN2_atm">Model!$CC$141</definedName>
    <definedName name="v_22_GNH3">Model!$BV$141</definedName>
    <definedName name="v_22_GNH3_atm">Model!$CB$141</definedName>
    <definedName name="v_22_GO2">Model!$BU$141</definedName>
    <definedName name="v_22_GO2_atm">Model!$CA$141</definedName>
    <definedName name="v_22_H">Model!$BO$141</definedName>
    <definedName name="v_22_SALPHA">Model!$BP$141</definedName>
    <definedName name="v_22_SAN">Model!$AQ$141</definedName>
    <definedName name="v_22_SB">Model!$F$141</definedName>
    <definedName name="v_22_SCa">Model!$AR$141</definedName>
    <definedName name="v_22_SCAT">Model!$AP$141</definedName>
    <definedName name="v_22_SCH4">Model!$AL$141</definedName>
    <definedName name="v_22_SCO2">Model!$AN$141</definedName>
    <definedName name="v_22_SFe2">Model!$AU$141</definedName>
    <definedName name="v_22_SH2">Model!$AM$141</definedName>
    <definedName name="v_22_SK">Model!$AT$141</definedName>
    <definedName name="v_22_SMEOL">Model!$G$141</definedName>
    <definedName name="v_22_SMg">Model!$AS$141</definedName>
    <definedName name="v_22_SN_B">Model!$AC$141</definedName>
    <definedName name="v_22_SN2">Model!$AB$141</definedName>
    <definedName name="v_22_SNHx">Model!$Y$141</definedName>
    <definedName name="v_22_SNO2">Model!$Z$141</definedName>
    <definedName name="v_22_SNO3">Model!$AA$141</definedName>
    <definedName name="v_22_SO2">Model!$AK$141</definedName>
    <definedName name="v_22_SORPswitch">Model!$BQ$141</definedName>
    <definedName name="v_22_SP_B">Model!$AH$141</definedName>
    <definedName name="v_22_SPO4">Model!$AF$141</definedName>
    <definedName name="v_22_SU">Model!$J$141</definedName>
    <definedName name="v_22_SVFA">Model!$E$141</definedName>
    <definedName name="v_22_XACP">Model!$BK$141</definedName>
    <definedName name="v_22_XAMETO">Model!$W$141</definedName>
    <definedName name="v_22_XAMX">Model!$V$141</definedName>
    <definedName name="v_22_XAOB">Model!$T$141</definedName>
    <definedName name="v_22_XB">Model!$I$141</definedName>
    <definedName name="v_22_XBSH">Model!$BL$141</definedName>
    <definedName name="v_22_XCaCO3">Model!$BJ$141</definedName>
    <definedName name="v_22_XCASTO">Model!$R$141</definedName>
    <definedName name="v_22_XE">Model!$O$141</definedName>
    <definedName name="v_22_XE_ana">Model!$P$141</definedName>
    <definedName name="v_22_XGLY">Model!$N$141</definedName>
    <definedName name="v_22_XHAO_H">Model!$BC$141</definedName>
    <definedName name="v_22_XHAO_H_P">Model!$BF$141</definedName>
    <definedName name="v_22_XHAO_H_P_old">Model!$BH$141</definedName>
    <definedName name="v_22_XHAO_L">Model!$BD$141</definedName>
    <definedName name="v_22_XHAO_L_P">Model!$BG$141</definedName>
    <definedName name="v_22_XHAO_L_P_old">Model!$BI$141</definedName>
    <definedName name="v_22_XHAO_old">Model!$BE$141</definedName>
    <definedName name="v_22_XHFO_H">Model!$AV$141</definedName>
    <definedName name="v_22_XHFO_H_P">Model!$AY$141</definedName>
    <definedName name="v_22_XHFO_H_P_old">Model!$BA$141</definedName>
    <definedName name="v_22_XHFO_L">Model!$AW$141</definedName>
    <definedName name="v_22_XHFO_L_P">Model!$AZ$141</definedName>
    <definedName name="v_22_XHFO_L_P_old">Model!$BB$141</definedName>
    <definedName name="v_22_XHFO_old">Model!$AX$141</definedName>
    <definedName name="v_22_XHMETO">Model!$X$141</definedName>
    <definedName name="v_22_XINORG">Model!$AO$141</definedName>
    <definedName name="v_22_XMEOLO">Model!$S$141</definedName>
    <definedName name="v_22_XN_B">Model!$AD$141</definedName>
    <definedName name="v_22_XN_U">Model!$AE$141</definedName>
    <definedName name="v_22_XNOB">Model!$U$141</definedName>
    <definedName name="v_22_XOHO">Model!$Q$141</definedName>
    <definedName name="v_22_XP_B">Model!$AI$141</definedName>
    <definedName name="v_22_XP_U">Model!$AJ$141</definedName>
    <definedName name="v_22_XPHA">Model!$M$141</definedName>
    <definedName name="v_22_XPP">Model!$AG$141</definedName>
    <definedName name="v_22_XSTR">Model!$BM$141</definedName>
    <definedName name="v_22_XU">Model!$L$141</definedName>
    <definedName name="v_22_XVivi">Model!$BN$141</definedName>
    <definedName name="v_23_CB">Model!$H$142</definedName>
    <definedName name="v_23_CU">Model!$K$142</definedName>
    <definedName name="v_23_GCH4">Model!$BS$142</definedName>
    <definedName name="v_23_GCH4_atm">Model!$BY$142</definedName>
    <definedName name="v_23_GCO2">Model!$BR$142</definedName>
    <definedName name="v_23_GCO2_atm">Model!$BX$142</definedName>
    <definedName name="v_23_GH2">Model!$BT$142</definedName>
    <definedName name="v_23_GH2_atm">Model!$BZ$142</definedName>
    <definedName name="v_23_GN2">Model!$BW$142</definedName>
    <definedName name="v_23_GN2_atm">Model!$CC$142</definedName>
    <definedName name="v_23_GNH3">Model!$BV$142</definedName>
    <definedName name="v_23_GNH3_atm">Model!$CB$142</definedName>
    <definedName name="v_23_GO2">Model!$BU$142</definedName>
    <definedName name="v_23_GO2_atm">Model!$CA$142</definedName>
    <definedName name="v_23_H">Model!$BO$142</definedName>
    <definedName name="v_23_SALPHA">Model!$BP$142</definedName>
    <definedName name="v_23_SAN">Model!$AQ$142</definedName>
    <definedName name="v_23_SB">Model!$F$142</definedName>
    <definedName name="v_23_SCa">Model!$AR$142</definedName>
    <definedName name="v_23_SCAT">Model!$AP$142</definedName>
    <definedName name="v_23_SCH4">Model!$AL$142</definedName>
    <definedName name="v_23_SCO2">Model!$AN$142</definedName>
    <definedName name="v_23_SFe2">Model!$AU$142</definedName>
    <definedName name="v_23_SH2">Model!$AM$142</definedName>
    <definedName name="v_23_SK">Model!$AT$142</definedName>
    <definedName name="v_23_SMEOL">Model!$G$142</definedName>
    <definedName name="v_23_SMg">Model!$AS$142</definedName>
    <definedName name="v_23_SN_B">Model!$AC$142</definedName>
    <definedName name="v_23_SN2">Model!$AB$142</definedName>
    <definedName name="v_23_SNHx">Model!$Y$142</definedName>
    <definedName name="v_23_SNO2">Model!$Z$142</definedName>
    <definedName name="v_23_SNO3">Model!$AA$142</definedName>
    <definedName name="v_23_SO2">Model!$AK$142</definedName>
    <definedName name="v_23_SORPswitch">Model!$BQ$142</definedName>
    <definedName name="v_23_SP_B">Model!$AH$142</definedName>
    <definedName name="v_23_SPO4">Model!$AF$142</definedName>
    <definedName name="v_23_SU">Model!$J$142</definedName>
    <definedName name="v_23_SVFA">Model!$E$142</definedName>
    <definedName name="v_23_XACP">Model!$BK$142</definedName>
    <definedName name="v_23_XAMETO">Model!$W$142</definedName>
    <definedName name="v_23_XAMX">Model!$V$142</definedName>
    <definedName name="v_23_XAOB">Model!$T$142</definedName>
    <definedName name="v_23_XB">Model!$I$142</definedName>
    <definedName name="v_23_XBSH">Model!$BL$142</definedName>
    <definedName name="v_23_XCaCO3">Model!$BJ$142</definedName>
    <definedName name="v_23_XCASTO">Model!$R$142</definedName>
    <definedName name="v_23_XE">Model!$O$142</definedName>
    <definedName name="v_23_XE_ana">Model!$P$142</definedName>
    <definedName name="v_23_XGLY">Model!$N$142</definedName>
    <definedName name="v_23_XHAO_H">Model!$BC$142</definedName>
    <definedName name="v_23_XHAO_H_P">Model!$BF$142</definedName>
    <definedName name="v_23_XHAO_H_P_old">Model!$BH$142</definedName>
    <definedName name="v_23_XHAO_L">Model!$BD$142</definedName>
    <definedName name="v_23_XHAO_L_P">Model!$BG$142</definedName>
    <definedName name="v_23_XHAO_L_P_old">Model!$BI$142</definedName>
    <definedName name="v_23_XHAO_old">Model!$BE$142</definedName>
    <definedName name="v_23_XHFO_H">Model!$AV$142</definedName>
    <definedName name="v_23_XHFO_H_P">Model!$AY$142</definedName>
    <definedName name="v_23_XHFO_H_P_old">Model!$BA$142</definedName>
    <definedName name="v_23_XHFO_L">Model!$AW$142</definedName>
    <definedName name="v_23_XHFO_L_P">Model!$AZ$142</definedName>
    <definedName name="v_23_XHFO_L_P_old">Model!$BB$142</definedName>
    <definedName name="v_23_XHFO_old">Model!$AX$142</definedName>
    <definedName name="v_23_XHMETO">Model!$X$142</definedName>
    <definedName name="v_23_XINORG">Model!$AO$142</definedName>
    <definedName name="v_23_XMEOLO">Model!$S$142</definedName>
    <definedName name="v_23_XN_B">Model!$AD$142</definedName>
    <definedName name="v_23_XN_U">Model!$AE$142</definedName>
    <definedName name="v_23_XNOB">Model!$U$142</definedName>
    <definedName name="v_23_XOHO">Model!$Q$142</definedName>
    <definedName name="v_23_XP_B">Model!$AI$142</definedName>
    <definedName name="v_23_XP_U">Model!$AJ$142</definedName>
    <definedName name="v_23_XPHA">Model!$M$142</definedName>
    <definedName name="v_23_XPP">Model!$AG$142</definedName>
    <definedName name="v_23_XSTR">Model!$BM$142</definedName>
    <definedName name="v_23_XU">Model!$L$142</definedName>
    <definedName name="v_23_XVivi">Model!$BN$142</definedName>
    <definedName name="v_24_CB">Model!$H$143</definedName>
    <definedName name="v_24_CU">Model!$K$143</definedName>
    <definedName name="v_24_GCH4">Model!$BS$143</definedName>
    <definedName name="v_24_GCH4_atm">Model!$BY$143</definedName>
    <definedName name="v_24_GCO2">Model!$BR$143</definedName>
    <definedName name="v_24_GCO2_atm">Model!$BX$143</definedName>
    <definedName name="v_24_GH2">Model!$BT$143</definedName>
    <definedName name="v_24_GH2_atm">Model!$BZ$143</definedName>
    <definedName name="v_24_GN2">Model!$BW$143</definedName>
    <definedName name="v_24_GN2_atm">Model!$CC$143</definedName>
    <definedName name="v_24_GNH3">Model!$BV$143</definedName>
    <definedName name="v_24_GNH3_atm">Model!$CB$143</definedName>
    <definedName name="v_24_GO2">Model!$BU$143</definedName>
    <definedName name="v_24_GO2_atm">Model!$CA$143</definedName>
    <definedName name="v_24_H">Model!$BO$143</definedName>
    <definedName name="v_24_SALPHA">Model!$BP$143</definedName>
    <definedName name="v_24_SAN">Model!$AQ$143</definedName>
    <definedName name="v_24_SB">Model!$F$143</definedName>
    <definedName name="v_24_SCa">Model!$AR$143</definedName>
    <definedName name="v_24_SCAT">Model!$AP$143</definedName>
    <definedName name="v_24_SCH4">Model!$AL$143</definedName>
    <definedName name="v_24_SCO2">Model!$AN$143</definedName>
    <definedName name="v_24_SFe2">Model!$AU$143</definedName>
    <definedName name="v_24_SH2">Model!$AM$143</definedName>
    <definedName name="v_24_SK">Model!$AT$143</definedName>
    <definedName name="v_24_SMEOL">Model!$G$143</definedName>
    <definedName name="v_24_SMg">Model!$AS$143</definedName>
    <definedName name="v_24_SN_B">Model!$AC$143</definedName>
    <definedName name="v_24_SN2">Model!$AB$143</definedName>
    <definedName name="v_24_SNHx">Model!$Y$143</definedName>
    <definedName name="v_24_SNO2">Model!$Z$143</definedName>
    <definedName name="v_24_SNO3">Model!$AA$143</definedName>
    <definedName name="v_24_SO2">Model!$AK$143</definedName>
    <definedName name="v_24_SORPswitch">Model!$BQ$143</definedName>
    <definedName name="v_24_SP_B">Model!$AH$143</definedName>
    <definedName name="v_24_SPO4">Model!$AF$143</definedName>
    <definedName name="v_24_SU">Model!$J$143</definedName>
    <definedName name="v_24_SVFA">Model!$E$143</definedName>
    <definedName name="v_24_XACP">Model!$BK$143</definedName>
    <definedName name="v_24_XAMETO">Model!$W$143</definedName>
    <definedName name="v_24_XAMX">Model!$V$143</definedName>
    <definedName name="v_24_XAOB">Model!$T$143</definedName>
    <definedName name="v_24_XB">Model!$I$143</definedName>
    <definedName name="v_24_XBSH">Model!$BL$143</definedName>
    <definedName name="v_24_XCaCO3">Model!$BJ$143</definedName>
    <definedName name="v_24_XCASTO">Model!$R$143</definedName>
    <definedName name="v_24_XE">Model!$O$143</definedName>
    <definedName name="v_24_XE_ana">Model!$P$143</definedName>
    <definedName name="v_24_XGLY">Model!$N$143</definedName>
    <definedName name="v_24_XHAO_H">Model!$BC$143</definedName>
    <definedName name="v_24_XHAO_H_P">Model!$BF$143</definedName>
    <definedName name="v_24_XHAO_H_P_old">Model!$BH$143</definedName>
    <definedName name="v_24_XHAO_L">Model!$BD$143</definedName>
    <definedName name="v_24_XHAO_L_P">Model!$BG$143</definedName>
    <definedName name="v_24_XHAO_L_P_old">Model!$BI$143</definedName>
    <definedName name="v_24_XHAO_old">Model!$BE$143</definedName>
    <definedName name="v_24_XHFO_H">Model!$AV$143</definedName>
    <definedName name="v_24_XHFO_H_P">Model!$AY$143</definedName>
    <definedName name="v_24_XHFO_H_P_old">Model!$BA$143</definedName>
    <definedName name="v_24_XHFO_L">Model!$AW$143</definedName>
    <definedName name="v_24_XHFO_L_P">Model!$AZ$143</definedName>
    <definedName name="v_24_XHFO_L_P_old">Model!$BB$143</definedName>
    <definedName name="v_24_XHFO_old">Model!$AX$143</definedName>
    <definedName name="v_24_XHMETO">Model!$X$143</definedName>
    <definedName name="v_24_XINORG">Model!$AO$143</definedName>
    <definedName name="v_24_XMEOLO">Model!$S$143</definedName>
    <definedName name="v_24_XN_B">Model!$AD$143</definedName>
    <definedName name="v_24_XN_U">Model!$AE$143</definedName>
    <definedName name="v_24_XNOB">Model!$U$143</definedName>
    <definedName name="v_24_XOHO">Model!$Q$143</definedName>
    <definedName name="v_24_XP_B">Model!$AI$143</definedName>
    <definedName name="v_24_XP_U">Model!$AJ$143</definedName>
    <definedName name="v_24_XPHA">Model!$M$143</definedName>
    <definedName name="v_24_XPP">Model!$AG$143</definedName>
    <definedName name="v_24_XSTR">Model!$BM$143</definedName>
    <definedName name="v_24_XU">Model!$L$143</definedName>
    <definedName name="v_24_XVivi">Model!$BN$143</definedName>
    <definedName name="v_25_CB">Model!$H$144</definedName>
    <definedName name="v_25_CU">Model!$K$144</definedName>
    <definedName name="v_25_GCH4">Model!$BS$144</definedName>
    <definedName name="v_25_GCH4_atm">Model!$BY$144</definedName>
    <definedName name="v_25_GCO2">Model!$BR$144</definedName>
    <definedName name="v_25_GCO2_atm">Model!$BX$144</definedName>
    <definedName name="v_25_GH2">Model!$BT$144</definedName>
    <definedName name="v_25_GH2_atm">Model!$BZ$144</definedName>
    <definedName name="v_25_GN2">Model!$BW$144</definedName>
    <definedName name="v_25_GN2_atm">Model!$CC$144</definedName>
    <definedName name="v_25_GNH3">Model!$BV$144</definedName>
    <definedName name="v_25_GNH3_atm">Model!$CB$144</definedName>
    <definedName name="v_25_GO2">Model!$BU$144</definedName>
    <definedName name="v_25_GO2_atm">Model!$CA$144</definedName>
    <definedName name="v_25_H">Model!$BO$144</definedName>
    <definedName name="v_25_SALPHA">Model!$BP$144</definedName>
    <definedName name="v_25_SAN">Model!$AQ$144</definedName>
    <definedName name="v_25_SB">Model!$F$144</definedName>
    <definedName name="v_25_SCa">Model!$AR$144</definedName>
    <definedName name="v_25_SCAT">Model!$AP$144</definedName>
    <definedName name="v_25_SCH4">Model!$AL$144</definedName>
    <definedName name="v_25_SCO2">Model!$AN$144</definedName>
    <definedName name="v_25_SFe2">Model!$AU$144</definedName>
    <definedName name="v_25_SH2">Model!$AM$144</definedName>
    <definedName name="v_25_SK">Model!$AT$144</definedName>
    <definedName name="v_25_SMEOL">Model!$G$144</definedName>
    <definedName name="v_25_SMg">Model!$AS$144</definedName>
    <definedName name="v_25_SN_B">Model!$AC$144</definedName>
    <definedName name="v_25_SN2">Model!$AB$144</definedName>
    <definedName name="v_25_SNHx">Model!$Y$144</definedName>
    <definedName name="v_25_SNO2">Model!$Z$144</definedName>
    <definedName name="v_25_SNO3">Model!$AA$144</definedName>
    <definedName name="v_25_SO2">Model!$AK$144</definedName>
    <definedName name="v_25_SORPswitch">Model!$BQ$144</definedName>
    <definedName name="v_25_SP_B">Model!$AH$144</definedName>
    <definedName name="v_25_SPO4">Model!$AF$144</definedName>
    <definedName name="v_25_SU">Model!$J$144</definedName>
    <definedName name="v_25_SVFA">Model!$E$144</definedName>
    <definedName name="v_25_XACP">Model!$BK$144</definedName>
    <definedName name="v_25_XAMETO">Model!$W$144</definedName>
    <definedName name="v_25_XAMX">Model!$V$144</definedName>
    <definedName name="v_25_XAOB">Model!$T$144</definedName>
    <definedName name="v_25_XB">Model!$I$144</definedName>
    <definedName name="v_25_XBSH">Model!$BL$144</definedName>
    <definedName name="v_25_XCaCO3">Model!$BJ$144</definedName>
    <definedName name="v_25_XCASTO">Model!$R$144</definedName>
    <definedName name="v_25_XE">Model!$O$144</definedName>
    <definedName name="v_25_XE_ana">Model!$P$144</definedName>
    <definedName name="v_25_XGLY">Model!$N$144</definedName>
    <definedName name="v_25_XHAO_H">Model!$BC$144</definedName>
    <definedName name="v_25_XHAO_H_P">Model!$BF$144</definedName>
    <definedName name="v_25_XHAO_H_P_old">Model!$BH$144</definedName>
    <definedName name="v_25_XHAO_L">Model!$BD$144</definedName>
    <definedName name="v_25_XHAO_L_P">Model!$BG$144</definedName>
    <definedName name="v_25_XHAO_L_P_old">Model!$BI$144</definedName>
    <definedName name="v_25_XHAO_old">Model!$BE$144</definedName>
    <definedName name="v_25_XHFO_H">Model!$AV$144</definedName>
    <definedName name="v_25_XHFO_H_P">Model!$AY$144</definedName>
    <definedName name="v_25_XHFO_H_P_old">Model!$BA$144</definedName>
    <definedName name="v_25_XHFO_L">Model!$AW$144</definedName>
    <definedName name="v_25_XHFO_L_P">Model!$AZ$144</definedName>
    <definedName name="v_25_XHFO_L_P_old">Model!$BB$144</definedName>
    <definedName name="v_25_XHFO_old">Model!$AX$144</definedName>
    <definedName name="v_25_XHMETO">Model!$X$144</definedName>
    <definedName name="v_25_XINORG">Model!$AO$144</definedName>
    <definedName name="v_25_XMEOLO">Model!$S$144</definedName>
    <definedName name="v_25_XN_B">Model!$AD$144</definedName>
    <definedName name="v_25_XN_U">Model!$AE$144</definedName>
    <definedName name="v_25_XNOB">Model!$U$144</definedName>
    <definedName name="v_25_XOHO">Model!$Q$144</definedName>
    <definedName name="v_25_XP_B">Model!$AI$144</definedName>
    <definedName name="v_25_XP_U">Model!$AJ$144</definedName>
    <definedName name="v_25_XPHA">Model!$M$144</definedName>
    <definedName name="v_25_XPP">Model!$AG$144</definedName>
    <definedName name="v_25_XSTR">Model!$BM$144</definedName>
    <definedName name="v_25_XU">Model!$L$144</definedName>
    <definedName name="v_25_XVivi">Model!$BN$144</definedName>
    <definedName name="v_26_CB">Model!$H$145</definedName>
    <definedName name="v_26_CU">Model!$K$145</definedName>
    <definedName name="v_26_GCH4">Model!$BS$145</definedName>
    <definedName name="v_26_GCH4_atm">Model!$BY$145</definedName>
    <definedName name="v_26_GCO2">Model!$BR$145</definedName>
    <definedName name="v_26_GCO2_atm">Model!$BX$145</definedName>
    <definedName name="v_26_GH2">Model!$BT$145</definedName>
    <definedName name="v_26_GH2_atm">Model!$BZ$145</definedName>
    <definedName name="v_26_GN2">Model!$BW$145</definedName>
    <definedName name="v_26_GN2_atm">Model!$CC$145</definedName>
    <definedName name="v_26_GNH3">Model!$BV$145</definedName>
    <definedName name="v_26_GNH3_atm">Model!$CB$145</definedName>
    <definedName name="v_26_GO2">Model!$BU$145</definedName>
    <definedName name="v_26_GO2_atm">Model!$CA$145</definedName>
    <definedName name="v_26_H">Model!$BO$145</definedName>
    <definedName name="v_26_SALPHA">Model!$BP$145</definedName>
    <definedName name="v_26_SAN">Model!$AQ$145</definedName>
    <definedName name="v_26_SB">Model!$F$145</definedName>
    <definedName name="v_26_SCa">Model!$AR$145</definedName>
    <definedName name="v_26_SCAT">Model!$AP$145</definedName>
    <definedName name="v_26_SCH4">Model!$AL$145</definedName>
    <definedName name="v_26_SCO2">Model!$AN$145</definedName>
    <definedName name="v_26_SFe2">Model!$AU$145</definedName>
    <definedName name="v_26_SH2">Model!$AM$145</definedName>
    <definedName name="v_26_SK">Model!$AT$145</definedName>
    <definedName name="v_26_SMEOL">Model!$G$145</definedName>
    <definedName name="v_26_SMg">Model!$AS$145</definedName>
    <definedName name="v_26_SN_B">Model!$AC$145</definedName>
    <definedName name="v_26_SN2">Model!$AB$145</definedName>
    <definedName name="v_26_SNHx">Model!$Y$145</definedName>
    <definedName name="v_26_SNO2">Model!$Z$145</definedName>
    <definedName name="v_26_SNO3">Model!$AA$145</definedName>
    <definedName name="v_26_SO2">Model!$AK$145</definedName>
    <definedName name="v_26_SORPswitch">Model!$BQ$145</definedName>
    <definedName name="v_26_SP_B">Model!$AH$145</definedName>
    <definedName name="v_26_SPO4">Model!$AF$145</definedName>
    <definedName name="v_26_SU">Model!$J$145</definedName>
    <definedName name="v_26_SVFA">Model!$E$145</definedName>
    <definedName name="v_26_XACP">Model!$BK$145</definedName>
    <definedName name="v_26_XAMETO">Model!$W$145</definedName>
    <definedName name="v_26_XAMX">Model!$V$145</definedName>
    <definedName name="v_26_XAOB">Model!$T$145</definedName>
    <definedName name="v_26_XB">Model!$I$145</definedName>
    <definedName name="v_26_XBSH">Model!$BL$145</definedName>
    <definedName name="v_26_XCaCO3">Model!$BJ$145</definedName>
    <definedName name="v_26_XCASTO">Model!$R$145</definedName>
    <definedName name="v_26_XE">Model!$O$145</definedName>
    <definedName name="v_26_XE_ana">Model!$P$145</definedName>
    <definedName name="v_26_XGLY">Model!$N$145</definedName>
    <definedName name="v_26_XHAO_H">Model!$BC$145</definedName>
    <definedName name="v_26_XHAO_H_P">Model!$BF$145</definedName>
    <definedName name="v_26_XHAO_H_P_old">Model!$BH$145</definedName>
    <definedName name="v_26_XHAO_L">Model!$BD$145</definedName>
    <definedName name="v_26_XHAO_L_P">Model!$BG$145</definedName>
    <definedName name="v_26_XHAO_L_P_old">Model!$BI$145</definedName>
    <definedName name="v_26_XHAO_old">Model!$BE$145</definedName>
    <definedName name="v_26_XHFO_H">Model!$AV$145</definedName>
    <definedName name="v_26_XHFO_H_P">Model!$AY$145</definedName>
    <definedName name="v_26_XHFO_H_P_old">Model!$BA$145</definedName>
    <definedName name="v_26_XHFO_L">Model!$AW$145</definedName>
    <definedName name="v_26_XHFO_L_P">Model!$AZ$145</definedName>
    <definedName name="v_26_XHFO_L_P_old">Model!$BB$145</definedName>
    <definedName name="v_26_XHFO_old">Model!$AX$145</definedName>
    <definedName name="v_26_XHMETO">Model!$X$145</definedName>
    <definedName name="v_26_XINORG">Model!$AO$145</definedName>
    <definedName name="v_26_XMEOLO">Model!$S$145</definedName>
    <definedName name="v_26_XN_B">Model!$AD$145</definedName>
    <definedName name="v_26_XN_U">Model!$AE$145</definedName>
    <definedName name="v_26_XNOB">Model!$U$145</definedName>
    <definedName name="v_26_XOHO">Model!$Q$145</definedName>
    <definedName name="v_26_XP_B">Model!$AI$145</definedName>
    <definedName name="v_26_XP_U">Model!$AJ$145</definedName>
    <definedName name="v_26_XPHA">Model!$M$145</definedName>
    <definedName name="v_26_XPP">Model!$AG$145</definedName>
    <definedName name="v_26_XSTR">Model!$BM$145</definedName>
    <definedName name="v_26_XU">Model!$L$145</definedName>
    <definedName name="v_26_XVivi">Model!$BN$145</definedName>
    <definedName name="v_27_CB">Model!$H$146</definedName>
    <definedName name="v_27_CU">Model!$K$146</definedName>
    <definedName name="v_27_GCH4">Model!$BS$146</definedName>
    <definedName name="v_27_GCH4_atm">Model!$BY$146</definedName>
    <definedName name="v_27_GCO2">Model!$BR$146</definedName>
    <definedName name="v_27_GCO2_atm">Model!$BX$146</definedName>
    <definedName name="v_27_GH2">Model!$BT$146</definedName>
    <definedName name="v_27_GH2_atm">Model!$BZ$146</definedName>
    <definedName name="v_27_GN2">Model!$BW$146</definedName>
    <definedName name="v_27_GN2_atm">Model!$CC$146</definedName>
    <definedName name="v_27_GNH3">Model!$BV$146</definedName>
    <definedName name="v_27_GNH3_atm">Model!$CB$146</definedName>
    <definedName name="v_27_GO2">Model!$BU$146</definedName>
    <definedName name="v_27_GO2_atm">Model!$CA$146</definedName>
    <definedName name="v_27_H">Model!$BO$146</definedName>
    <definedName name="v_27_SALPHA">Model!$BP$146</definedName>
    <definedName name="v_27_SAN">Model!$AQ$146</definedName>
    <definedName name="v_27_SB">Model!$F$146</definedName>
    <definedName name="v_27_SCa">Model!$AR$146</definedName>
    <definedName name="v_27_SCAT">Model!$AP$146</definedName>
    <definedName name="v_27_SCH4">Model!$AL$146</definedName>
    <definedName name="v_27_SCO2">Model!$AN$146</definedName>
    <definedName name="v_27_SFe2">Model!$AU$146</definedName>
    <definedName name="v_27_SH2">Model!$AM$146</definedName>
    <definedName name="v_27_SK">Model!$AT$146</definedName>
    <definedName name="v_27_SMEOL">Model!$G$146</definedName>
    <definedName name="v_27_SMg">Model!$AS$146</definedName>
    <definedName name="v_27_SN_B">Model!$AC$146</definedName>
    <definedName name="v_27_SN2">Model!$AB$146</definedName>
    <definedName name="v_27_SNHx">Model!$Y$146</definedName>
    <definedName name="v_27_SNO2">Model!$Z$146</definedName>
    <definedName name="v_27_SNO3">Model!$AA$146</definedName>
    <definedName name="v_27_SO2">Model!$AK$146</definedName>
    <definedName name="v_27_SORPswitch">Model!$BQ$146</definedName>
    <definedName name="v_27_SP_B">Model!$AH$146</definedName>
    <definedName name="v_27_SPO4">Model!$AF$146</definedName>
    <definedName name="v_27_SU">Model!$J$146</definedName>
    <definedName name="v_27_SVFA">Model!$E$146</definedName>
    <definedName name="v_27_XACP">Model!$BK$146</definedName>
    <definedName name="v_27_XAMETO">Model!$W$146</definedName>
    <definedName name="v_27_XAMX">Model!$V$146</definedName>
    <definedName name="v_27_XAOB">Model!$T$146</definedName>
    <definedName name="v_27_XB">Model!$I$146</definedName>
    <definedName name="v_27_XBSH">Model!$BL$146</definedName>
    <definedName name="v_27_XCaCO3">Model!$BJ$146</definedName>
    <definedName name="v_27_XCASTO">Model!$R$146</definedName>
    <definedName name="v_27_XE">Model!$O$146</definedName>
    <definedName name="v_27_XE_ana">Model!$P$146</definedName>
    <definedName name="v_27_XGLY">Model!$N$146</definedName>
    <definedName name="v_27_XHAO_H">Model!$BC$146</definedName>
    <definedName name="v_27_XHAO_H_P">Model!$BF$146</definedName>
    <definedName name="v_27_XHAO_H_P_old">Model!$BH$146</definedName>
    <definedName name="v_27_XHAO_L">Model!$BD$146</definedName>
    <definedName name="v_27_XHAO_L_P">Model!$BG$146</definedName>
    <definedName name="v_27_XHAO_L_P_old">Model!$BI$146</definedName>
    <definedName name="v_27_XHAO_old">Model!$BE$146</definedName>
    <definedName name="v_27_XHFO_H">Model!$AV$146</definedName>
    <definedName name="v_27_XHFO_H_P">Model!$AY$146</definedName>
    <definedName name="v_27_XHFO_H_P_old">Model!$BA$146</definedName>
    <definedName name="v_27_XHFO_L">Model!$AW$146</definedName>
    <definedName name="v_27_XHFO_L_P">Model!$AZ$146</definedName>
    <definedName name="v_27_XHFO_L_P_old">Model!$BB$146</definedName>
    <definedName name="v_27_XHFO_old">Model!$AX$146</definedName>
    <definedName name="v_27_XHMETO">Model!$X$146</definedName>
    <definedName name="v_27_XINORG">Model!$AO$146</definedName>
    <definedName name="v_27_XMEOLO">Model!$S$146</definedName>
    <definedName name="v_27_XN_B">Model!$AD$146</definedName>
    <definedName name="v_27_XN_U">Model!$AE$146</definedName>
    <definedName name="v_27_XNOB">Model!$U$146</definedName>
    <definedName name="v_27_XOHO">Model!$Q$146</definedName>
    <definedName name="v_27_XP_B">Model!$AI$146</definedName>
    <definedName name="v_27_XP_U">Model!$AJ$146</definedName>
    <definedName name="v_27_XPHA">Model!$M$146</definedName>
    <definedName name="v_27_XPP">Model!$AG$146</definedName>
    <definedName name="v_27_XSTR">Model!$BM$146</definedName>
    <definedName name="v_27_XU">Model!$L$146</definedName>
    <definedName name="v_27_XVivi">Model!$BN$146</definedName>
    <definedName name="v_28_CB">Model!$H$147</definedName>
    <definedName name="v_28_CU">Model!$K$147</definedName>
    <definedName name="v_28_GCH4">Model!$BS$147</definedName>
    <definedName name="v_28_GCH4_atm">Model!$BY$147</definedName>
    <definedName name="v_28_GCO2">Model!$BR$147</definedName>
    <definedName name="v_28_GCO2_atm">Model!$BX$147</definedName>
    <definedName name="v_28_GH2">Model!$BT$147</definedName>
    <definedName name="v_28_GH2_atm">Model!$BZ$147</definedName>
    <definedName name="v_28_GN2">Model!$BW$147</definedName>
    <definedName name="v_28_GN2_atm">Model!$CC$147</definedName>
    <definedName name="v_28_GNH3">Model!$BV$147</definedName>
    <definedName name="v_28_GNH3_atm">Model!$CB$147</definedName>
    <definedName name="v_28_GO2">Model!$BU$147</definedName>
    <definedName name="v_28_GO2_atm">Model!$CA$147</definedName>
    <definedName name="v_28_H">Model!$BO$147</definedName>
    <definedName name="v_28_SALPHA">Model!$BP$147</definedName>
    <definedName name="v_28_SAN">Model!$AQ$147</definedName>
    <definedName name="v_28_SB">Model!$F$147</definedName>
    <definedName name="v_28_SCa">Model!$AR$147</definedName>
    <definedName name="v_28_SCAT">Model!$AP$147</definedName>
    <definedName name="v_28_SCH4">Model!$AL$147</definedName>
    <definedName name="v_28_SCO2">Model!$AN$147</definedName>
    <definedName name="v_28_SFe2">Model!$AU$147</definedName>
    <definedName name="v_28_SH2">Model!$AM$147</definedName>
    <definedName name="v_28_SK">Model!$AT$147</definedName>
    <definedName name="v_28_SMEOL">Model!$G$147</definedName>
    <definedName name="v_28_SMg">Model!$AS$147</definedName>
    <definedName name="v_28_SN_B">Model!$AC$147</definedName>
    <definedName name="v_28_SN2">Model!$AB$147</definedName>
    <definedName name="v_28_SNHx">Model!$Y$147</definedName>
    <definedName name="v_28_SNO2">Model!$Z$147</definedName>
    <definedName name="v_28_SNO3">Model!$AA$147</definedName>
    <definedName name="v_28_SO2">Model!$AK$147</definedName>
    <definedName name="v_28_SORPswitch">Model!$BQ$147</definedName>
    <definedName name="v_28_SP_B">Model!$AH$147</definedName>
    <definedName name="v_28_SPO4">Model!$AF$147</definedName>
    <definedName name="v_28_SU">Model!$J$147</definedName>
    <definedName name="v_28_SVFA">Model!$E$147</definedName>
    <definedName name="v_28_XACP">Model!$BK$147</definedName>
    <definedName name="v_28_XAMETO">Model!$W$147</definedName>
    <definedName name="v_28_XAMX">Model!$V$147</definedName>
    <definedName name="v_28_XAOB">Model!$T$147</definedName>
    <definedName name="v_28_XB">Model!$I$147</definedName>
    <definedName name="v_28_XBSH">Model!$BL$147</definedName>
    <definedName name="v_28_XCaCO3">Model!$BJ$147</definedName>
    <definedName name="v_28_XCASTO">Model!$R$147</definedName>
    <definedName name="v_28_XE">Model!$O$147</definedName>
    <definedName name="v_28_XE_ana">Model!$P$147</definedName>
    <definedName name="v_28_XGLY">Model!$N$147</definedName>
    <definedName name="v_28_XHAO_H">Model!$BC$147</definedName>
    <definedName name="v_28_XHAO_H_P">Model!$BF$147</definedName>
    <definedName name="v_28_XHAO_H_P_old">Model!$BH$147</definedName>
    <definedName name="v_28_XHAO_L">Model!$BD$147</definedName>
    <definedName name="v_28_XHAO_L_P">Model!$BG$147</definedName>
    <definedName name="v_28_XHAO_L_P_old">Model!$BI$147</definedName>
    <definedName name="v_28_XHAO_old">Model!$BE$147</definedName>
    <definedName name="v_28_XHFO_H">Model!$AV$147</definedName>
    <definedName name="v_28_XHFO_H_P">Model!$AY$147</definedName>
    <definedName name="v_28_XHFO_H_P_old">Model!$BA$147</definedName>
    <definedName name="v_28_XHFO_L">Model!$AW$147</definedName>
    <definedName name="v_28_XHFO_L_P">Model!$AZ$147</definedName>
    <definedName name="v_28_XHFO_L_P_old">Model!$BB$147</definedName>
    <definedName name="v_28_XHFO_old">Model!$AX$147</definedName>
    <definedName name="v_28_XHMETO">Model!$X$147</definedName>
    <definedName name="v_28_XINORG">Model!$AO$147</definedName>
    <definedName name="v_28_XMEOLO">Model!$S$147</definedName>
    <definedName name="v_28_XN_B">Model!$AD$147</definedName>
    <definedName name="v_28_XN_U">Model!$AE$147</definedName>
    <definedName name="v_28_XNOB">Model!$U$147</definedName>
    <definedName name="v_28_XOHO">Model!$Q$147</definedName>
    <definedName name="v_28_XP_B">Model!$AI$147</definedName>
    <definedName name="v_28_XP_U">Model!$AJ$147</definedName>
    <definedName name="v_28_XPHA">Model!$M$147</definedName>
    <definedName name="v_28_XPP">Model!$AG$147</definedName>
    <definedName name="v_28_XSTR">Model!$BM$147</definedName>
    <definedName name="v_28_XU">Model!$L$147</definedName>
    <definedName name="v_28_XVivi">Model!$BN$147</definedName>
    <definedName name="v_29_CB">Model!$H$148</definedName>
    <definedName name="v_29_CU">Model!$K$148</definedName>
    <definedName name="v_29_GCH4">Model!$BS$148</definedName>
    <definedName name="v_29_GCH4_atm">Model!$BY$148</definedName>
    <definedName name="v_29_GCO2">Model!$BR$148</definedName>
    <definedName name="v_29_GCO2_atm">Model!$BX$148</definedName>
    <definedName name="v_29_GH2">Model!$BT$148</definedName>
    <definedName name="v_29_GH2_atm">Model!$BZ$148</definedName>
    <definedName name="v_29_GN2">Model!$BW$148</definedName>
    <definedName name="v_29_GN2_atm">Model!$CC$148</definedName>
    <definedName name="v_29_GNH3">Model!$BV$148</definedName>
    <definedName name="v_29_GNH3_atm">Model!$CB$148</definedName>
    <definedName name="v_29_GO2">Model!$BU$148</definedName>
    <definedName name="v_29_GO2_atm">Model!$CA$148</definedName>
    <definedName name="v_29_H">Model!$BO$148</definedName>
    <definedName name="v_29_SALPHA">Model!$BP$148</definedName>
    <definedName name="v_29_SAN">Model!$AQ$148</definedName>
    <definedName name="v_29_SB">Model!$F$148</definedName>
    <definedName name="v_29_SCa">Model!$AR$148</definedName>
    <definedName name="v_29_SCAT">Model!$AP$148</definedName>
    <definedName name="v_29_SCH4">Model!$AL$148</definedName>
    <definedName name="v_29_SCO2">Model!$AN$148</definedName>
    <definedName name="v_29_SFe2">Model!$AU$148</definedName>
    <definedName name="v_29_SH2">Model!$AM$148</definedName>
    <definedName name="v_29_SK">Model!$AT$148</definedName>
    <definedName name="v_29_SMEOL">Model!$G$148</definedName>
    <definedName name="v_29_SMg">Model!$AS$148</definedName>
    <definedName name="v_29_SN_B">Model!$AC$148</definedName>
    <definedName name="v_29_SN2">Model!$AB$148</definedName>
    <definedName name="v_29_SNHx">Model!$Y$148</definedName>
    <definedName name="v_29_SNO2">Model!$Z$148</definedName>
    <definedName name="v_29_SNO3">Model!$AA$148</definedName>
    <definedName name="v_29_SO2">Model!$AK$148</definedName>
    <definedName name="v_29_SORPswitch">Model!$BQ$148</definedName>
    <definedName name="v_29_SP_B">Model!$AH$148</definedName>
    <definedName name="v_29_SPO4">Model!$AF$148</definedName>
    <definedName name="v_29_SU">Model!$J$148</definedName>
    <definedName name="v_29_SVFA">Model!$E$148</definedName>
    <definedName name="v_29_XACP">Model!$BK$148</definedName>
    <definedName name="v_29_XAMETO">Model!$W$148</definedName>
    <definedName name="v_29_XAMX">Model!$V$148</definedName>
    <definedName name="v_29_XAOB">Model!$T$148</definedName>
    <definedName name="v_29_XB">Model!$I$148</definedName>
    <definedName name="v_29_XBSH">Model!$BL$148</definedName>
    <definedName name="v_29_XCaCO3">Model!$BJ$148</definedName>
    <definedName name="v_29_XCASTO">Model!$R$148</definedName>
    <definedName name="v_29_XE">Model!$O$148</definedName>
    <definedName name="v_29_XE_ana">Model!$P$148</definedName>
    <definedName name="v_29_XGLY">Model!$N$148</definedName>
    <definedName name="v_29_XHAO_H">Model!$BC$148</definedName>
    <definedName name="v_29_XHAO_H_P">Model!$BF$148</definedName>
    <definedName name="v_29_XHAO_H_P_old">Model!$BH$148</definedName>
    <definedName name="v_29_XHAO_L">Model!$BD$148</definedName>
    <definedName name="v_29_XHAO_L_P">Model!$BG$148</definedName>
    <definedName name="v_29_XHAO_L_P_old">Model!$BI$148</definedName>
    <definedName name="v_29_XHAO_old">Model!$BE$148</definedName>
    <definedName name="v_29_XHFO_H">Model!$AV$148</definedName>
    <definedName name="v_29_XHFO_H_P">Model!$AY$148</definedName>
    <definedName name="v_29_XHFO_H_P_old">Model!$BA$148</definedName>
    <definedName name="v_29_XHFO_L">Model!$AW$148</definedName>
    <definedName name="v_29_XHFO_L_P">Model!$AZ$148</definedName>
    <definedName name="v_29_XHFO_L_P_old">Model!$BB$148</definedName>
    <definedName name="v_29_XHFO_old">Model!$AX$148</definedName>
    <definedName name="v_29_XHMETO">Model!$X$148</definedName>
    <definedName name="v_29_XINORG">Model!$AO$148</definedName>
    <definedName name="v_29_XMEOLO">Model!$S$148</definedName>
    <definedName name="v_29_XN_B">Model!$AD$148</definedName>
    <definedName name="v_29_XN_U">Model!$AE$148</definedName>
    <definedName name="v_29_XNOB">Model!$U$148</definedName>
    <definedName name="v_29_XOHO">Model!$Q$148</definedName>
    <definedName name="v_29_XP_B">Model!$AI$148</definedName>
    <definedName name="v_29_XP_U">Model!$AJ$148</definedName>
    <definedName name="v_29_XPHA">Model!$M$148</definedName>
    <definedName name="v_29_XPP">Model!$AG$148</definedName>
    <definedName name="v_29_XSTR">Model!$BM$148</definedName>
    <definedName name="v_29_XU">Model!$L$148</definedName>
    <definedName name="v_29_XVivi">Model!$BN$148</definedName>
    <definedName name="v_3_CB">Model!$H$122</definedName>
    <definedName name="v_3_CU">Model!$K$122</definedName>
    <definedName name="v_3_GCH4">Model!$BS$122</definedName>
    <definedName name="v_3_GCH4_atm">Model!$BY$122</definedName>
    <definedName name="v_3_GCO2">Model!$BR$122</definedName>
    <definedName name="v_3_GCO2_atm">Model!$BX$122</definedName>
    <definedName name="v_3_GH2">Model!$BT$122</definedName>
    <definedName name="v_3_GH2_atm">Model!$BZ$122</definedName>
    <definedName name="v_3_GN2">Model!$BW$122</definedName>
    <definedName name="v_3_GN2_atm">Model!$CC$122</definedName>
    <definedName name="v_3_GNH3">Model!$BV$122</definedName>
    <definedName name="v_3_GNH3_atm">Model!$CB$122</definedName>
    <definedName name="v_3_GO2">Model!$BU$122</definedName>
    <definedName name="v_3_GO2_atm">Model!$CA$122</definedName>
    <definedName name="v_3_H">Model!$BO$122</definedName>
    <definedName name="v_3_SALPHA">Model!$BP$122</definedName>
    <definedName name="v_3_SAN">Model!$AQ$122</definedName>
    <definedName name="v_3_SB">Model!$F$122</definedName>
    <definedName name="v_3_SCa">Model!$AR$122</definedName>
    <definedName name="v_3_SCAT">Model!$AP$122</definedName>
    <definedName name="v_3_SCH4">Model!$AL$122</definedName>
    <definedName name="v_3_SCO2">Model!$AN$122</definedName>
    <definedName name="v_3_SFe2">Model!$AU$122</definedName>
    <definedName name="v_3_SH2">Model!$AM$122</definedName>
    <definedName name="v_3_SK">Model!$AT$122</definedName>
    <definedName name="v_3_SMEOL">Model!$G$122</definedName>
    <definedName name="v_3_SMg">Model!$AS$122</definedName>
    <definedName name="v_3_SN_B">Model!$AC$122</definedName>
    <definedName name="v_3_SN2">Model!$AB$122</definedName>
    <definedName name="v_3_SNHx">Model!$Y$122</definedName>
    <definedName name="v_3_SNO2">Model!$Z$122</definedName>
    <definedName name="v_3_SNO3">Model!$AA$122</definedName>
    <definedName name="v_3_SO2">Model!$AK$122</definedName>
    <definedName name="v_3_SORPswitch">Model!$BQ$122</definedName>
    <definedName name="v_3_SP_B">Model!$AH$122</definedName>
    <definedName name="v_3_SPO4">Model!$AF$122</definedName>
    <definedName name="v_3_SU">Model!$J$122</definedName>
    <definedName name="v_3_SVFA">Model!$E$122</definedName>
    <definedName name="v_3_XACP">Model!$BK$122</definedName>
    <definedName name="v_3_XAMETO">Model!$W$122</definedName>
    <definedName name="v_3_XAMX">Model!$V$122</definedName>
    <definedName name="v_3_XAOB">Model!$T$122</definedName>
    <definedName name="v_3_XB">Model!$I$122</definedName>
    <definedName name="v_3_XBSH">Model!$BL$122</definedName>
    <definedName name="v_3_XCaCO3">Model!$BJ$122</definedName>
    <definedName name="v_3_XCASTO">Model!$R$122</definedName>
    <definedName name="v_3_XE">Model!$O$122</definedName>
    <definedName name="v_3_XE_ana">Model!$P$122</definedName>
    <definedName name="v_3_XGLY">Model!$N$122</definedName>
    <definedName name="v_3_XHAO_H">Model!$BC$122</definedName>
    <definedName name="v_3_XHAO_H_P">Model!$BF$122</definedName>
    <definedName name="v_3_XHAO_H_P_old">Model!$BH$122</definedName>
    <definedName name="v_3_XHAO_L">Model!$BD$122</definedName>
    <definedName name="v_3_XHAO_L_P">Model!$BG$122</definedName>
    <definedName name="v_3_XHAO_L_P_old">Model!$BI$122</definedName>
    <definedName name="v_3_XHAO_old">Model!$BE$122</definedName>
    <definedName name="v_3_XHFO_H">Model!$AV$122</definedName>
    <definedName name="v_3_XHFO_H_P">Model!$AY$122</definedName>
    <definedName name="v_3_XHFO_H_P_old">Model!$BA$122</definedName>
    <definedName name="v_3_XHFO_L">Model!$AW$122</definedName>
    <definedName name="v_3_XHFO_L_P">Model!$AZ$122</definedName>
    <definedName name="v_3_XHFO_L_P_old">Model!$BB$122</definedName>
    <definedName name="v_3_XHFO_old">Model!$AX$122</definedName>
    <definedName name="v_3_XHMETO">Model!$X$122</definedName>
    <definedName name="v_3_XINORG">Model!$AO$122</definedName>
    <definedName name="v_3_XMEOLO">Model!$S$122</definedName>
    <definedName name="v_3_XN_B">Model!$AD$122</definedName>
    <definedName name="v_3_XN_U">Model!$AE$122</definedName>
    <definedName name="v_3_XNOB">Model!$U$122</definedName>
    <definedName name="v_3_XOHO">Model!$Q$122</definedName>
    <definedName name="v_3_XP_B">Model!$AI$122</definedName>
    <definedName name="v_3_XP_U">Model!$AJ$122</definedName>
    <definedName name="v_3_XPHA">Model!$M$122</definedName>
    <definedName name="v_3_XPP">Model!$AG$122</definedName>
    <definedName name="v_3_XSTR">Model!$BM$122</definedName>
    <definedName name="v_3_XU">Model!$L$122</definedName>
    <definedName name="v_3_XVivi">Model!$BN$122</definedName>
    <definedName name="v_30_CB">Model!$H$149</definedName>
    <definedName name="v_30_CU">Model!$K$149</definedName>
    <definedName name="v_30_GCH4">Model!$BS$149</definedName>
    <definedName name="v_30_GCH4_atm">Model!$BY$149</definedName>
    <definedName name="v_30_GCO2">Model!$BR$149</definedName>
    <definedName name="v_30_GCO2_atm">Model!$BX$149</definedName>
    <definedName name="v_30_GH2">Model!$BT$149</definedName>
    <definedName name="v_30_GH2_atm">Model!$BZ$149</definedName>
    <definedName name="v_30_GN2">Model!$BW$149</definedName>
    <definedName name="v_30_GN2_atm">Model!$CC$149</definedName>
    <definedName name="v_30_GNH3">Model!$BV$149</definedName>
    <definedName name="v_30_GNH3_atm">Model!$CB$149</definedName>
    <definedName name="v_30_GO2">Model!$BU$149</definedName>
    <definedName name="v_30_GO2_atm">Model!$CA$149</definedName>
    <definedName name="v_30_H">Model!$BO$149</definedName>
    <definedName name="v_30_SALPHA">Model!$BP$149</definedName>
    <definedName name="v_30_SAN">Model!$AQ$149</definedName>
    <definedName name="v_30_SB">Model!$F$149</definedName>
    <definedName name="v_30_SCa">Model!$AR$149</definedName>
    <definedName name="v_30_SCAT">Model!$AP$149</definedName>
    <definedName name="v_30_SCH4">Model!$AL$149</definedName>
    <definedName name="v_30_SCO2">Model!$AN$149</definedName>
    <definedName name="v_30_SFe2">Model!$AU$149</definedName>
    <definedName name="v_30_SH2">Model!$AM$149</definedName>
    <definedName name="v_30_SK">Model!$AT$149</definedName>
    <definedName name="v_30_SMEOL">Model!$G$149</definedName>
    <definedName name="v_30_SMg">Model!$AS$149</definedName>
    <definedName name="v_30_SN_B">Model!$AC$149</definedName>
    <definedName name="v_30_SN2">Model!$AB$149</definedName>
    <definedName name="v_30_SNHx">Model!$Y$149</definedName>
    <definedName name="v_30_SNO2">Model!$Z$149</definedName>
    <definedName name="v_30_SNO3">Model!$AA$149</definedName>
    <definedName name="v_30_SO2">Model!$AK$149</definedName>
    <definedName name="v_30_SORPswitch">Model!$BQ$149</definedName>
    <definedName name="v_30_SP_B">Model!$AH$149</definedName>
    <definedName name="v_30_SPO4">Model!$AF$149</definedName>
    <definedName name="v_30_SU">Model!$J$149</definedName>
    <definedName name="v_30_SVFA">Model!$E$149</definedName>
    <definedName name="v_30_XACP">Model!$BK$149</definedName>
    <definedName name="v_30_XAMETO">Model!$W$149</definedName>
    <definedName name="v_30_XAMX">Model!$V$149</definedName>
    <definedName name="v_30_XAOB">Model!$T$149</definedName>
    <definedName name="v_30_XB">Model!$I$149</definedName>
    <definedName name="v_30_XBSH">Model!$BL$149</definedName>
    <definedName name="v_30_XCaCO3">Model!$BJ$149</definedName>
    <definedName name="v_30_XCASTO">Model!$R$149</definedName>
    <definedName name="v_30_XE">Model!$O$149</definedName>
    <definedName name="v_30_XE_ana">Model!$P$149</definedName>
    <definedName name="v_30_XGLY">Model!$N$149</definedName>
    <definedName name="v_30_XHAO_H">Model!$BC$149</definedName>
    <definedName name="v_30_XHAO_H_P">Model!$BF$149</definedName>
    <definedName name="v_30_XHAO_H_P_old">Model!$BH$149</definedName>
    <definedName name="v_30_XHAO_L">Model!$BD$149</definedName>
    <definedName name="v_30_XHAO_L_P">Model!$BG$149</definedName>
    <definedName name="v_30_XHAO_L_P_old">Model!$BI$149</definedName>
    <definedName name="v_30_XHAO_old">Model!$BE$149</definedName>
    <definedName name="v_30_XHFO_H">Model!$AV$149</definedName>
    <definedName name="v_30_XHFO_H_P">Model!$AY$149</definedName>
    <definedName name="v_30_XHFO_H_P_old">Model!$BA$149</definedName>
    <definedName name="v_30_XHFO_L">Model!$AW$149</definedName>
    <definedName name="v_30_XHFO_L_P">Model!$AZ$149</definedName>
    <definedName name="v_30_XHFO_L_P_old">Model!$BB$149</definedName>
    <definedName name="v_30_XHFO_old">Model!$AX$149</definedName>
    <definedName name="v_30_XHMETO">Model!$X$149</definedName>
    <definedName name="v_30_XINORG">Model!$AO$149</definedName>
    <definedName name="v_30_XMEOLO">Model!$S$149</definedName>
    <definedName name="v_30_XN_B">Model!$AD$149</definedName>
    <definedName name="v_30_XN_U">Model!$AE$149</definedName>
    <definedName name="v_30_XNOB">Model!$U$149</definedName>
    <definedName name="v_30_XOHO">Model!$Q$149</definedName>
    <definedName name="v_30_XP_B">Model!$AI$149</definedName>
    <definedName name="v_30_XP_U">Model!$AJ$149</definedName>
    <definedName name="v_30_XPHA">Model!$M$149</definedName>
    <definedName name="v_30_XPP">Model!$AG$149</definedName>
    <definedName name="v_30_XSTR">Model!$BM$149</definedName>
    <definedName name="v_30_XU">Model!$L$149</definedName>
    <definedName name="v_30_XVivi">Model!$BN$149</definedName>
    <definedName name="v_31_CB">Model!$H$150</definedName>
    <definedName name="v_31_CU">Model!$K$150</definedName>
    <definedName name="v_31_GCH4">Model!$BS$150</definedName>
    <definedName name="v_31_GCH4_atm">Model!$BY$150</definedName>
    <definedName name="v_31_GCO2">Model!$BR$150</definedName>
    <definedName name="v_31_GCO2_atm">Model!$BX$150</definedName>
    <definedName name="v_31_GH2">Model!$BT$150</definedName>
    <definedName name="v_31_GH2_atm">Model!$BZ$150</definedName>
    <definedName name="v_31_GN2">Model!$BW$150</definedName>
    <definedName name="v_31_GN2_atm">Model!$CC$150</definedName>
    <definedName name="v_31_GNH3">Model!$BV$150</definedName>
    <definedName name="v_31_GNH3_atm">Model!$CB$150</definedName>
    <definedName name="v_31_GO2">Model!$BU$150</definedName>
    <definedName name="v_31_GO2_atm">Model!$CA$150</definedName>
    <definedName name="v_31_H">Model!$BO$150</definedName>
    <definedName name="v_31_SALPHA">Model!$BP$150</definedName>
    <definedName name="v_31_SAN">Model!$AQ$150</definedName>
    <definedName name="v_31_SB">Model!$F$150</definedName>
    <definedName name="v_31_SCa">Model!$AR$150</definedName>
    <definedName name="v_31_SCAT">Model!$AP$150</definedName>
    <definedName name="v_31_SCH4">Model!$AL$150</definedName>
    <definedName name="v_31_SCO2">Model!$AN$150</definedName>
    <definedName name="v_31_SFe2">Model!$AU$150</definedName>
    <definedName name="v_31_SH2">Model!$AM$150</definedName>
    <definedName name="v_31_SK">Model!$AT$150</definedName>
    <definedName name="v_31_SMEOL">Model!$G$150</definedName>
    <definedName name="v_31_SMg">Model!$AS$150</definedName>
    <definedName name="v_31_SN_B">Model!$AC$150</definedName>
    <definedName name="v_31_SN2">Model!$AB$150</definedName>
    <definedName name="v_31_SNHx">Model!$Y$150</definedName>
    <definedName name="v_31_SNO2">Model!$Z$150</definedName>
    <definedName name="v_31_SNO3">Model!$AA$150</definedName>
    <definedName name="v_31_SO2">Model!$AK$150</definedName>
    <definedName name="v_31_SORPswitch">Model!$BQ$150</definedName>
    <definedName name="v_31_SP_B">Model!$AH$150</definedName>
    <definedName name="v_31_SPO4">Model!$AF$150</definedName>
    <definedName name="v_31_SU">Model!$J$150</definedName>
    <definedName name="v_31_SVFA">Model!$E$150</definedName>
    <definedName name="v_31_XACP">Model!$BK$150</definedName>
    <definedName name="v_31_XAMETO">Model!$W$150</definedName>
    <definedName name="v_31_XAMX">Model!$V$150</definedName>
    <definedName name="v_31_XAOB">Model!$T$150</definedName>
    <definedName name="v_31_XB">Model!$I$150</definedName>
    <definedName name="v_31_XBSH">Model!$BL$150</definedName>
    <definedName name="v_31_XCaCO3">Model!$BJ$150</definedName>
    <definedName name="v_31_XCASTO">Model!$R$150</definedName>
    <definedName name="v_31_XE">Model!$O$150</definedName>
    <definedName name="v_31_XE_ana">Model!$P$150</definedName>
    <definedName name="v_31_XGLY">Model!$N$150</definedName>
    <definedName name="v_31_XHAO_H">Model!$BC$150</definedName>
    <definedName name="v_31_XHAO_H_P">Model!$BF$150</definedName>
    <definedName name="v_31_XHAO_H_P_old">Model!$BH$150</definedName>
    <definedName name="v_31_XHAO_L">Model!$BD$150</definedName>
    <definedName name="v_31_XHAO_L_P">Model!$BG$150</definedName>
    <definedName name="v_31_XHAO_L_P_old">Model!$BI$150</definedName>
    <definedName name="v_31_XHAO_old">Model!$BE$150</definedName>
    <definedName name="v_31_XHFO_H">Model!$AV$150</definedName>
    <definedName name="v_31_XHFO_H_P">Model!$AY$150</definedName>
    <definedName name="v_31_XHFO_H_P_old">Model!$BA$150</definedName>
    <definedName name="v_31_XHFO_L">Model!$AW$150</definedName>
    <definedName name="v_31_XHFO_L_P">Model!$AZ$150</definedName>
    <definedName name="v_31_XHFO_L_P_old">Model!$BB$150</definedName>
    <definedName name="v_31_XHFO_old">Model!$AX$150</definedName>
    <definedName name="v_31_XHMETO">Model!$X$150</definedName>
    <definedName name="v_31_XINORG">Model!$AO$150</definedName>
    <definedName name="v_31_XMEOLO">Model!$S$150</definedName>
    <definedName name="v_31_XN_B">Model!$AD$150</definedName>
    <definedName name="v_31_XN_U">Model!$AE$150</definedName>
    <definedName name="v_31_XNOB">Model!$U$150</definedName>
    <definedName name="v_31_XOHO">Model!$Q$150</definedName>
    <definedName name="v_31_XP_B">Model!$AI$150</definedName>
    <definedName name="v_31_XP_U">Model!$AJ$150</definedName>
    <definedName name="v_31_XPHA">Model!$M$150</definedName>
    <definedName name="v_31_XPP">Model!$AG$150</definedName>
    <definedName name="v_31_XSTR">Model!$BM$150</definedName>
    <definedName name="v_31_XU">Model!$L$150</definedName>
    <definedName name="v_31_XVivi">Model!$BN$150</definedName>
    <definedName name="v_32_CB">Model!$H$151</definedName>
    <definedName name="v_32_CU">Model!$K$151</definedName>
    <definedName name="v_32_GCH4">Model!$BS$151</definedName>
    <definedName name="v_32_GCH4_atm">Model!$BY$151</definedName>
    <definedName name="v_32_GCO2">Model!$BR$151</definedName>
    <definedName name="v_32_GCO2_atm">Model!$BX$151</definedName>
    <definedName name="v_32_GH2">Model!$BT$151</definedName>
    <definedName name="v_32_GH2_atm">Model!$BZ$151</definedName>
    <definedName name="v_32_GN2">Model!$BW$151</definedName>
    <definedName name="v_32_GN2_atm">Model!$CC$151</definedName>
    <definedName name="v_32_GNH3">Model!$BV$151</definedName>
    <definedName name="v_32_GNH3_atm">Model!$CB$151</definedName>
    <definedName name="v_32_GO2">Model!$BU$151</definedName>
    <definedName name="v_32_GO2_atm">Model!$CA$151</definedName>
    <definedName name="v_32_H">Model!$BO$151</definedName>
    <definedName name="v_32_SALPHA">Model!$BP$151</definedName>
    <definedName name="v_32_SAN">Model!$AQ$151</definedName>
    <definedName name="v_32_SB">Model!$F$151</definedName>
    <definedName name="v_32_SCa">Model!$AR$151</definedName>
    <definedName name="v_32_SCAT">Model!$AP$151</definedName>
    <definedName name="v_32_SCH4">Model!$AL$151</definedName>
    <definedName name="v_32_SCO2">Model!$AN$151</definedName>
    <definedName name="v_32_SFe2">Model!$AU$151</definedName>
    <definedName name="v_32_SH2">Model!$AM$151</definedName>
    <definedName name="v_32_SK">Model!$AT$151</definedName>
    <definedName name="v_32_SMEOL">Model!$G$151</definedName>
    <definedName name="v_32_SMg">Model!$AS$151</definedName>
    <definedName name="v_32_SN_B">Model!$AC$151</definedName>
    <definedName name="v_32_SN2">Model!$AB$151</definedName>
    <definedName name="v_32_SNHx">Model!$Y$151</definedName>
    <definedName name="v_32_SNO2">Model!$Z$151</definedName>
    <definedName name="v_32_SNO3">Model!$AA$151</definedName>
    <definedName name="v_32_SO2">Model!$AK$151</definedName>
    <definedName name="v_32_SORPswitch">Model!$BQ$151</definedName>
    <definedName name="v_32_SP_B">Model!$AH$151</definedName>
    <definedName name="v_32_SPO4">Model!$AF$151</definedName>
    <definedName name="v_32_SU">Model!$J$151</definedName>
    <definedName name="v_32_SVFA">Model!$E$151</definedName>
    <definedName name="v_32_XACP">Model!$BK$151</definedName>
    <definedName name="v_32_XAMETO">Model!$W$151</definedName>
    <definedName name="v_32_XAMX">Model!$V$151</definedName>
    <definedName name="v_32_XAOB">Model!$T$151</definedName>
    <definedName name="v_32_XB">Model!$I$151</definedName>
    <definedName name="v_32_XBSH">Model!$BL$151</definedName>
    <definedName name="v_32_XCaCO3">Model!$BJ$151</definedName>
    <definedName name="v_32_XCASTO">Model!$R$151</definedName>
    <definedName name="v_32_XE">Model!$O$151</definedName>
    <definedName name="v_32_XE_ana">Model!$P$151</definedName>
    <definedName name="v_32_XGLY">Model!$N$151</definedName>
    <definedName name="v_32_XHAO_H">Model!$BC$151</definedName>
    <definedName name="v_32_XHAO_H_P">Model!$BF$151</definedName>
    <definedName name="v_32_XHAO_H_P_old">Model!$BH$151</definedName>
    <definedName name="v_32_XHAO_L">Model!$BD$151</definedName>
    <definedName name="v_32_XHAO_L_P">Model!$BG$151</definedName>
    <definedName name="v_32_XHAO_L_P_old">Model!$BI$151</definedName>
    <definedName name="v_32_XHAO_old">Model!$BE$151</definedName>
    <definedName name="v_32_XHFO_H">Model!$AV$151</definedName>
    <definedName name="v_32_XHFO_H_P">Model!$AY$151</definedName>
    <definedName name="v_32_XHFO_H_P_old">Model!$BA$151</definedName>
    <definedName name="v_32_XHFO_L">Model!$AW$151</definedName>
    <definedName name="v_32_XHFO_L_P">Model!$AZ$151</definedName>
    <definedName name="v_32_XHFO_L_P_old">Model!$BB$151</definedName>
    <definedName name="v_32_XHFO_old">Model!$AX$151</definedName>
    <definedName name="v_32_XHMETO">Model!$X$151</definedName>
    <definedName name="v_32_XINORG">Model!$AO$151</definedName>
    <definedName name="v_32_XMEOLO">Model!$S$151</definedName>
    <definedName name="v_32_XN_B">Model!$AD$151</definedName>
    <definedName name="v_32_XN_U">Model!$AE$151</definedName>
    <definedName name="v_32_XNOB">Model!$U$151</definedName>
    <definedName name="v_32_XOHO">Model!$Q$151</definedName>
    <definedName name="v_32_XP_B">Model!$AI$151</definedName>
    <definedName name="v_32_XP_U">Model!$AJ$151</definedName>
    <definedName name="v_32_XPHA">Model!$M$151</definedName>
    <definedName name="v_32_XPP">Model!$AG$151</definedName>
    <definedName name="v_32_XSTR">Model!$BM$151</definedName>
    <definedName name="v_32_XU">Model!$L$151</definedName>
    <definedName name="v_32_XVivi">Model!$BN$151</definedName>
    <definedName name="v_33_CB">Model!$H$152</definedName>
    <definedName name="v_33_CU">Model!$K$152</definedName>
    <definedName name="v_33_GCH4">Model!$BS$152</definedName>
    <definedName name="v_33_GCH4_atm">Model!$BY$152</definedName>
    <definedName name="v_33_GCO2">Model!$BR$152</definedName>
    <definedName name="v_33_GCO2_atm">Model!$BX$152</definedName>
    <definedName name="v_33_GH2">Model!$BT$152</definedName>
    <definedName name="v_33_GH2_atm">Model!$BZ$152</definedName>
    <definedName name="v_33_GN2">Model!$BW$152</definedName>
    <definedName name="v_33_GN2_atm">Model!$CC$152</definedName>
    <definedName name="v_33_GNH3">Model!$BV$152</definedName>
    <definedName name="v_33_GNH3_atm">Model!$CB$152</definedName>
    <definedName name="v_33_GO2">Model!$BU$152</definedName>
    <definedName name="v_33_GO2_atm">Model!$CA$152</definedName>
    <definedName name="v_33_H">Model!$BO$152</definedName>
    <definedName name="v_33_SALPHA">Model!$BP$152</definedName>
    <definedName name="v_33_SAN">Model!$AQ$152</definedName>
    <definedName name="v_33_SB">Model!$F$152</definedName>
    <definedName name="v_33_SCa">Model!$AR$152</definedName>
    <definedName name="v_33_SCAT">Model!$AP$152</definedName>
    <definedName name="v_33_SCH4">Model!$AL$152</definedName>
    <definedName name="v_33_SCO2">Model!$AN$152</definedName>
    <definedName name="v_33_SFe2">Model!$AU$152</definedName>
    <definedName name="v_33_SH2">Model!$AM$152</definedName>
    <definedName name="v_33_SK">Model!$AT$152</definedName>
    <definedName name="v_33_SMEOL">Model!$G$152</definedName>
    <definedName name="v_33_SMg">Model!$AS$152</definedName>
    <definedName name="v_33_SN_B">Model!$AC$152</definedName>
    <definedName name="v_33_SN2">Model!$AB$152</definedName>
    <definedName name="v_33_SNHx">Model!$Y$152</definedName>
    <definedName name="v_33_SNO2">Model!$Z$152</definedName>
    <definedName name="v_33_SNO3">Model!$AA$152</definedName>
    <definedName name="v_33_SO2">Model!$AK$152</definedName>
    <definedName name="v_33_SORPswitch">Model!$BQ$152</definedName>
    <definedName name="v_33_SP_B">Model!$AH$152</definedName>
    <definedName name="v_33_SPO4">Model!$AF$152</definedName>
    <definedName name="v_33_SU">Model!$J$152</definedName>
    <definedName name="v_33_SVFA">Model!$E$152</definedName>
    <definedName name="v_33_XACP">Model!$BK$152</definedName>
    <definedName name="v_33_XAMETO">Model!$W$152</definedName>
    <definedName name="v_33_XAMX">Model!$V$152</definedName>
    <definedName name="v_33_XAOB">Model!$T$152</definedName>
    <definedName name="v_33_XB">Model!$I$152</definedName>
    <definedName name="v_33_XBSH">Model!$BL$152</definedName>
    <definedName name="v_33_XCaCO3">Model!$BJ$152</definedName>
    <definedName name="v_33_XCASTO">Model!$R$152</definedName>
    <definedName name="v_33_XE">Model!$O$152</definedName>
    <definedName name="v_33_XE_ana">Model!$P$152</definedName>
    <definedName name="v_33_XGLY">Model!$N$152</definedName>
    <definedName name="v_33_XHAO_H">Model!$BC$152</definedName>
    <definedName name="v_33_XHAO_H_P">Model!$BF$152</definedName>
    <definedName name="v_33_XHAO_H_P_old">Model!$BH$152</definedName>
    <definedName name="v_33_XHAO_L">Model!$BD$152</definedName>
    <definedName name="v_33_XHAO_L_P">Model!$BG$152</definedName>
    <definedName name="v_33_XHAO_L_P_old">Model!$BI$152</definedName>
    <definedName name="v_33_XHAO_old">Model!$BE$152</definedName>
    <definedName name="v_33_XHFO_H">Model!$AV$152</definedName>
    <definedName name="v_33_XHFO_H_P">Model!$AY$152</definedName>
    <definedName name="v_33_XHFO_H_P_old">Model!$BA$152</definedName>
    <definedName name="v_33_XHFO_L">Model!$AW$152</definedName>
    <definedName name="v_33_XHFO_L_P">Model!$AZ$152</definedName>
    <definedName name="v_33_XHFO_L_P_old">Model!$BB$152</definedName>
    <definedName name="v_33_XHFO_old">Model!$AX$152</definedName>
    <definedName name="v_33_XHMETO">Model!$X$152</definedName>
    <definedName name="v_33_XINORG">Model!$AO$152</definedName>
    <definedName name="v_33_XMEOLO">Model!$S$152</definedName>
    <definedName name="v_33_XN_B">Model!$AD$152</definedName>
    <definedName name="v_33_XN_U">Model!$AE$152</definedName>
    <definedName name="v_33_XNOB">Model!$U$152</definedName>
    <definedName name="v_33_XOHO">Model!$Q$152</definedName>
    <definedName name="v_33_XP_B">Model!$AI$152</definedName>
    <definedName name="v_33_XP_U">Model!$AJ$152</definedName>
    <definedName name="v_33_XPHA">Model!$M$152</definedName>
    <definedName name="v_33_XPP">Model!$AG$152</definedName>
    <definedName name="v_33_XSTR">Model!$BM$152</definedName>
    <definedName name="v_33_XU">Model!$L$152</definedName>
    <definedName name="v_33_XVivi">Model!$BN$152</definedName>
    <definedName name="v_34_CB">Model!$H$153</definedName>
    <definedName name="v_34_CU">Model!$K$153</definedName>
    <definedName name="v_34_GCH4">Model!$BS$153</definedName>
    <definedName name="v_34_GCH4_atm">Model!$BY$153</definedName>
    <definedName name="v_34_GCO2">Model!$BR$153</definedName>
    <definedName name="v_34_GCO2_atm">Model!$BX$153</definedName>
    <definedName name="v_34_GH2">Model!$BT$153</definedName>
    <definedName name="v_34_GH2_atm">Model!$BZ$153</definedName>
    <definedName name="v_34_GN2">Model!$BW$153</definedName>
    <definedName name="v_34_GN2_atm">Model!$CC$153</definedName>
    <definedName name="v_34_GNH3">Model!$BV$153</definedName>
    <definedName name="v_34_GNH3_atm">Model!$CB$153</definedName>
    <definedName name="v_34_GO2">Model!$BU$153</definedName>
    <definedName name="v_34_GO2_atm">Model!$CA$153</definedName>
    <definedName name="v_34_H">Model!$BO$153</definedName>
    <definedName name="v_34_SALPHA">Model!$BP$153</definedName>
    <definedName name="v_34_SAN">Model!$AQ$153</definedName>
    <definedName name="v_34_SB">Model!$F$153</definedName>
    <definedName name="v_34_SCa">Model!$AR$153</definedName>
    <definedName name="v_34_SCAT">Model!$AP$153</definedName>
    <definedName name="v_34_SCH4">Model!$AL$153</definedName>
    <definedName name="v_34_SCO2">Model!$AN$153</definedName>
    <definedName name="v_34_SFe2">Model!$AU$153</definedName>
    <definedName name="v_34_SH2">Model!$AM$153</definedName>
    <definedName name="v_34_SK">Model!$AT$153</definedName>
    <definedName name="v_34_SMEOL">Model!$G$153</definedName>
    <definedName name="v_34_SMg">Model!$AS$153</definedName>
    <definedName name="v_34_SN_B">Model!$AC$153</definedName>
    <definedName name="v_34_SN2">Model!$AB$153</definedName>
    <definedName name="v_34_SNHx">Model!$Y$153</definedName>
    <definedName name="v_34_SNO2">Model!$Z$153</definedName>
    <definedName name="v_34_SNO3">Model!$AA$153</definedName>
    <definedName name="v_34_SO2">Model!$AK$153</definedName>
    <definedName name="v_34_SORPswitch">Model!$BQ$153</definedName>
    <definedName name="v_34_SP_B">Model!$AH$153</definedName>
    <definedName name="v_34_SPO4">Model!$AF$153</definedName>
    <definedName name="v_34_SU">Model!$J$153</definedName>
    <definedName name="v_34_SVFA">Model!$E$153</definedName>
    <definedName name="v_34_XACP">Model!$BK$153</definedName>
    <definedName name="v_34_XAMETO">Model!$W$153</definedName>
    <definedName name="v_34_XAMX">Model!$V$153</definedName>
    <definedName name="v_34_XAOB">Model!$T$153</definedName>
    <definedName name="v_34_XB">Model!$I$153</definedName>
    <definedName name="v_34_XBSH">Model!$BL$153</definedName>
    <definedName name="v_34_XCaCO3">Model!$BJ$153</definedName>
    <definedName name="v_34_XCASTO">Model!$R$153</definedName>
    <definedName name="v_34_XE">Model!$O$153</definedName>
    <definedName name="v_34_XE_ana">Model!$P$153</definedName>
    <definedName name="v_34_XGLY">Model!$N$153</definedName>
    <definedName name="v_34_XHAO_H">Model!$BC$153</definedName>
    <definedName name="v_34_XHAO_H_P">Model!$BF$153</definedName>
    <definedName name="v_34_XHAO_H_P_old">Model!$BH$153</definedName>
    <definedName name="v_34_XHAO_L">Model!$BD$153</definedName>
    <definedName name="v_34_XHAO_L_P">Model!$BG$153</definedName>
    <definedName name="v_34_XHAO_L_P_old">Model!$BI$153</definedName>
    <definedName name="v_34_XHAO_old">Model!$BE$153</definedName>
    <definedName name="v_34_XHFO_H">Model!$AV$153</definedName>
    <definedName name="v_34_XHFO_H_P">Model!$AY$153</definedName>
    <definedName name="v_34_XHFO_H_P_old">Model!$BA$153</definedName>
    <definedName name="v_34_XHFO_L">Model!$AW$153</definedName>
    <definedName name="v_34_XHFO_L_P">Model!$AZ$153</definedName>
    <definedName name="v_34_XHFO_L_P_old">Model!$BB$153</definedName>
    <definedName name="v_34_XHFO_old">Model!$AX$153</definedName>
    <definedName name="v_34_XHMETO">Model!$X$153</definedName>
    <definedName name="v_34_XINORG">Model!$AO$153</definedName>
    <definedName name="v_34_XMEOLO">Model!$S$153</definedName>
    <definedName name="v_34_XN_B">Model!$AD$153</definedName>
    <definedName name="v_34_XN_U">Model!$AE$153</definedName>
    <definedName name="v_34_XNOB">Model!$U$153</definedName>
    <definedName name="v_34_XOHO">Model!$Q$153</definedName>
    <definedName name="v_34_XP_B">Model!$AI$153</definedName>
    <definedName name="v_34_XP_U">Model!$AJ$153</definedName>
    <definedName name="v_34_XPHA">Model!$M$153</definedName>
    <definedName name="v_34_XPP">Model!$AG$153</definedName>
    <definedName name="v_34_XSTR">Model!$BM$153</definedName>
    <definedName name="v_34_XU">Model!$L$153</definedName>
    <definedName name="v_34_XVivi">Model!$BN$153</definedName>
    <definedName name="v_35_CB">Model!$H$154</definedName>
    <definedName name="v_35_CU">Model!$K$154</definedName>
    <definedName name="v_35_GCH4">Model!$BS$154</definedName>
    <definedName name="v_35_GCH4_atm">Model!$BY$154</definedName>
    <definedName name="v_35_GCO2">Model!$BR$154</definedName>
    <definedName name="v_35_GCO2_atm">Model!$BX$154</definedName>
    <definedName name="v_35_GH2">Model!$BT$154</definedName>
    <definedName name="v_35_GH2_atm">Model!$BZ$154</definedName>
    <definedName name="v_35_GN2">Model!$BW$154</definedName>
    <definedName name="v_35_GN2_atm">Model!$CC$154</definedName>
    <definedName name="v_35_GNH3">Model!$BV$154</definedName>
    <definedName name="v_35_GNH3_atm">Model!$CB$154</definedName>
    <definedName name="v_35_GO2">Model!$BU$154</definedName>
    <definedName name="v_35_GO2_atm">Model!$CA$154</definedName>
    <definedName name="v_35_H">Model!$BO$154</definedName>
    <definedName name="v_35_SALPHA">Model!$BP$154</definedName>
    <definedName name="v_35_SAN">Model!$AQ$154</definedName>
    <definedName name="v_35_SB">Model!$F$154</definedName>
    <definedName name="v_35_SCa">Model!$AR$154</definedName>
    <definedName name="v_35_SCAT">Model!$AP$154</definedName>
    <definedName name="v_35_SCH4">Model!$AL$154</definedName>
    <definedName name="v_35_SCO2">Model!$AN$154</definedName>
    <definedName name="v_35_SFe2">Model!$AU$154</definedName>
    <definedName name="v_35_SH2">Model!$AM$154</definedName>
    <definedName name="v_35_SK">Model!$AT$154</definedName>
    <definedName name="v_35_SMEOL">Model!$G$154</definedName>
    <definedName name="v_35_SMg">Model!$AS$154</definedName>
    <definedName name="v_35_SN_B">Model!$AC$154</definedName>
    <definedName name="v_35_SN2">Model!$AB$154</definedName>
    <definedName name="v_35_SNHx">Model!$Y$154</definedName>
    <definedName name="v_35_SNO2">Model!$Z$154</definedName>
    <definedName name="v_35_SNO3">Model!$AA$154</definedName>
    <definedName name="v_35_SO2">Model!$AK$154</definedName>
    <definedName name="v_35_SORPswitch">Model!$BQ$154</definedName>
    <definedName name="v_35_SP_B">Model!$AH$154</definedName>
    <definedName name="v_35_SPO4">Model!$AF$154</definedName>
    <definedName name="v_35_SU">Model!$J$154</definedName>
    <definedName name="v_35_SVFA">Model!$E$154</definedName>
    <definedName name="v_35_XACP">Model!$BK$154</definedName>
    <definedName name="v_35_XAMETO">Model!$W$154</definedName>
    <definedName name="v_35_XAMX">Model!$V$154</definedName>
    <definedName name="v_35_XAOB">Model!$T$154</definedName>
    <definedName name="v_35_XB">Model!$I$154</definedName>
    <definedName name="v_35_XBSH">Model!$BL$154</definedName>
    <definedName name="v_35_XCaCO3">Model!$BJ$154</definedName>
    <definedName name="v_35_XCASTO">Model!$R$154</definedName>
    <definedName name="v_35_XE">Model!$O$154</definedName>
    <definedName name="v_35_XE_ana">Model!$P$154</definedName>
    <definedName name="v_35_XGLY">Model!$N$154</definedName>
    <definedName name="v_35_XHAO_H">Model!$BC$154</definedName>
    <definedName name="v_35_XHAO_H_P">Model!$BF$154</definedName>
    <definedName name="v_35_XHAO_H_P_old">Model!$BH$154</definedName>
    <definedName name="v_35_XHAO_L">Model!$BD$154</definedName>
    <definedName name="v_35_XHAO_L_P">Model!$BG$154</definedName>
    <definedName name="v_35_XHAO_L_P_old">Model!$BI$154</definedName>
    <definedName name="v_35_XHAO_old">Model!$BE$154</definedName>
    <definedName name="v_35_XHFO_H">Model!$AV$154</definedName>
    <definedName name="v_35_XHFO_H_P">Model!$AY$154</definedName>
    <definedName name="v_35_XHFO_H_P_old">Model!$BA$154</definedName>
    <definedName name="v_35_XHFO_L">Model!$AW$154</definedName>
    <definedName name="v_35_XHFO_L_P">Model!$AZ$154</definedName>
    <definedName name="v_35_XHFO_L_P_old">Model!$BB$154</definedName>
    <definedName name="v_35_XHFO_old">Model!$AX$154</definedName>
    <definedName name="v_35_XHMETO">Model!$X$154</definedName>
    <definedName name="v_35_XINORG">Model!$AO$154</definedName>
    <definedName name="v_35_XMEOLO">Model!$S$154</definedName>
    <definedName name="v_35_XN_B">Model!$AD$154</definedName>
    <definedName name="v_35_XN_U">Model!$AE$154</definedName>
    <definedName name="v_35_XNOB">Model!$U$154</definedName>
    <definedName name="v_35_XOHO">Model!$Q$154</definedName>
    <definedName name="v_35_XP_B">Model!$AI$154</definedName>
    <definedName name="v_35_XP_U">Model!$AJ$154</definedName>
    <definedName name="v_35_XPHA">Model!$M$154</definedName>
    <definedName name="v_35_XPP">Model!$AG$154</definedName>
    <definedName name="v_35_XSTR">Model!$BM$154</definedName>
    <definedName name="v_35_XU">Model!$L$154</definedName>
    <definedName name="v_35_XVivi">Model!$BN$154</definedName>
    <definedName name="v_36_CB">Model!$H$155</definedName>
    <definedName name="v_36_CU">Model!$K$155</definedName>
    <definedName name="v_36_GCH4">Model!$BS$155</definedName>
    <definedName name="v_36_GCH4_atm">Model!$BY$155</definedName>
    <definedName name="v_36_GCO2">Model!$BR$155</definedName>
    <definedName name="v_36_GCO2_atm">Model!$BX$155</definedName>
    <definedName name="v_36_GH2">Model!$BT$155</definedName>
    <definedName name="v_36_GH2_atm">Model!$BZ$155</definedName>
    <definedName name="v_36_GN2">Model!$BW$155</definedName>
    <definedName name="v_36_GN2_atm">Model!$CC$155</definedName>
    <definedName name="v_36_GNH3">Model!$BV$155</definedName>
    <definedName name="v_36_GNH3_atm">Model!$CB$155</definedName>
    <definedName name="v_36_GO2">Model!$BU$155</definedName>
    <definedName name="v_36_GO2_atm">Model!$CA$155</definedName>
    <definedName name="v_36_H">Model!$BO$155</definedName>
    <definedName name="v_36_SALPHA">Model!$BP$155</definedName>
    <definedName name="v_36_SAN">Model!$AQ$155</definedName>
    <definedName name="v_36_SB">Model!$F$155</definedName>
    <definedName name="v_36_SCa">Model!$AR$155</definedName>
    <definedName name="v_36_SCAT">Model!$AP$155</definedName>
    <definedName name="v_36_SCH4">Model!$AL$155</definedName>
    <definedName name="v_36_SCO2">Model!$AN$155</definedName>
    <definedName name="v_36_SFe2">Model!$AU$155</definedName>
    <definedName name="v_36_SH2">Model!$AM$155</definedName>
    <definedName name="v_36_SK">Model!$AT$155</definedName>
    <definedName name="v_36_SMEOL">Model!$G$155</definedName>
    <definedName name="v_36_SMg">Model!$AS$155</definedName>
    <definedName name="v_36_SN_B">Model!$AC$155</definedName>
    <definedName name="v_36_SN2">Model!$AB$155</definedName>
    <definedName name="v_36_SNHx">Model!$Y$155</definedName>
    <definedName name="v_36_SNO2">Model!$Z$155</definedName>
    <definedName name="v_36_SNO3">Model!$AA$155</definedName>
    <definedName name="v_36_SO2">Model!$AK$155</definedName>
    <definedName name="v_36_SORPswitch">Model!$BQ$155</definedName>
    <definedName name="v_36_SP_B">Model!$AH$155</definedName>
    <definedName name="v_36_SPO4">Model!$AF$155</definedName>
    <definedName name="v_36_SU">Model!$J$155</definedName>
    <definedName name="v_36_SVFA">Model!$E$155</definedName>
    <definedName name="v_36_XACP">Model!$BK$155</definedName>
    <definedName name="v_36_XAMETO">Model!$W$155</definedName>
    <definedName name="v_36_XAMX">Model!$V$155</definedName>
    <definedName name="v_36_XAOB">Model!$T$155</definedName>
    <definedName name="v_36_XB">Model!$I$155</definedName>
    <definedName name="v_36_XBSH">Model!$BL$155</definedName>
    <definedName name="v_36_XCaCO3">Model!$BJ$155</definedName>
    <definedName name="v_36_XCASTO">Model!$R$155</definedName>
    <definedName name="v_36_XE">Model!$O$155</definedName>
    <definedName name="v_36_XE_ana">Model!$P$155</definedName>
    <definedName name="v_36_XGLY">Model!$N$155</definedName>
    <definedName name="v_36_XHAO_H">Model!$BC$155</definedName>
    <definedName name="v_36_XHAO_H_P">Model!$BF$155</definedName>
    <definedName name="v_36_XHAO_H_P_old">Model!$BH$155</definedName>
    <definedName name="v_36_XHAO_L">Model!$BD$155</definedName>
    <definedName name="v_36_XHAO_L_P">Model!$BG$155</definedName>
    <definedName name="v_36_XHAO_L_P_old">Model!$BI$155</definedName>
    <definedName name="v_36_XHAO_old">Model!$BE$155</definedName>
    <definedName name="v_36_XHFO_H">Model!$AV$155</definedName>
    <definedName name="v_36_XHFO_H_P">Model!$AY$155</definedName>
    <definedName name="v_36_XHFO_H_P_old">Model!$BA$155</definedName>
    <definedName name="v_36_XHFO_L">Model!$AW$155</definedName>
    <definedName name="v_36_XHFO_L_P">Model!$AZ$155</definedName>
    <definedName name="v_36_XHFO_L_P_old">Model!$BB$155</definedName>
    <definedName name="v_36_XHFO_old">Model!$AX$155</definedName>
    <definedName name="v_36_XHMETO">Model!$X$155</definedName>
    <definedName name="v_36_XINORG">Model!$AO$155</definedName>
    <definedName name="v_36_XMEOLO">Model!$S$155</definedName>
    <definedName name="v_36_XN_B">Model!$AD$155</definedName>
    <definedName name="v_36_XN_U">Model!$AE$155</definedName>
    <definedName name="v_36_XNOB">Model!$U$155</definedName>
    <definedName name="v_36_XOHO">Model!$Q$155</definedName>
    <definedName name="v_36_XP_B">Model!$AI$155</definedName>
    <definedName name="v_36_XP_U">Model!$AJ$155</definedName>
    <definedName name="v_36_XPHA">Model!$M$155</definedName>
    <definedName name="v_36_XPP">Model!$AG$155</definedName>
    <definedName name="v_36_XSTR">Model!$BM$155</definedName>
    <definedName name="v_36_XU">Model!$L$155</definedName>
    <definedName name="v_36_XVivi">Model!$BN$155</definedName>
    <definedName name="v_37_CB">Model!$H$156</definedName>
    <definedName name="v_37_CU">Model!$K$156</definedName>
    <definedName name="v_37_GCH4">Model!$BS$156</definedName>
    <definedName name="v_37_GCH4_atm">Model!$BY$156</definedName>
    <definedName name="v_37_GCO2">Model!$BR$156</definedName>
    <definedName name="v_37_GCO2_atm">Model!$BX$156</definedName>
    <definedName name="v_37_GH2">Model!$BT$156</definedName>
    <definedName name="v_37_GH2_atm">Model!$BZ$156</definedName>
    <definedName name="v_37_GN2">Model!$BW$156</definedName>
    <definedName name="v_37_GN2_atm">Model!$CC$156</definedName>
    <definedName name="v_37_GNH3">Model!$BV$156</definedName>
    <definedName name="v_37_GNH3_atm">Model!$CB$156</definedName>
    <definedName name="v_37_GO2">Model!$BU$156</definedName>
    <definedName name="v_37_GO2_atm">Model!$CA$156</definedName>
    <definedName name="v_37_H">Model!$BO$156</definedName>
    <definedName name="v_37_SALPHA">Model!$BP$156</definedName>
    <definedName name="v_37_SAN">Model!$AQ$156</definedName>
    <definedName name="v_37_SB">Model!$F$156</definedName>
    <definedName name="v_37_SCa">Model!$AR$156</definedName>
    <definedName name="v_37_SCAT">Model!$AP$156</definedName>
    <definedName name="v_37_SCH4">Model!$AL$156</definedName>
    <definedName name="v_37_SCO2">Model!$AN$156</definedName>
    <definedName name="v_37_SFe2">Model!$AU$156</definedName>
    <definedName name="v_37_SH2">Model!$AM$156</definedName>
    <definedName name="v_37_SK">Model!$AT$156</definedName>
    <definedName name="v_37_SMEOL">Model!$G$156</definedName>
    <definedName name="v_37_SMg">Model!$AS$156</definedName>
    <definedName name="v_37_SN_B">Model!$AC$156</definedName>
    <definedName name="v_37_SN2">Model!$AB$156</definedName>
    <definedName name="v_37_SNHx">Model!$Y$156</definedName>
    <definedName name="v_37_SNO2">Model!$Z$156</definedName>
    <definedName name="v_37_SNO3">Model!$AA$156</definedName>
    <definedName name="v_37_SO2">Model!$AK$156</definedName>
    <definedName name="v_37_SORPswitch">Model!$BQ$156</definedName>
    <definedName name="v_37_SP_B">Model!$AH$156</definedName>
    <definedName name="v_37_SPO4">Model!$AF$156</definedName>
    <definedName name="v_37_SU">Model!$J$156</definedName>
    <definedName name="v_37_SVFA">Model!$E$156</definedName>
    <definedName name="v_37_XACP">Model!$BK$156</definedName>
    <definedName name="v_37_XAMETO">Model!$W$156</definedName>
    <definedName name="v_37_XAMX">Model!$V$156</definedName>
    <definedName name="v_37_XAOB">Model!$T$156</definedName>
    <definedName name="v_37_XB">Model!$I$156</definedName>
    <definedName name="v_37_XBSH">Model!$BL$156</definedName>
    <definedName name="v_37_XCaCO3">Model!$BJ$156</definedName>
    <definedName name="v_37_XCASTO">Model!$R$156</definedName>
    <definedName name="v_37_XE">Model!$O$156</definedName>
    <definedName name="v_37_XE_ana">Model!$P$156</definedName>
    <definedName name="v_37_XGLY">Model!$N$156</definedName>
    <definedName name="v_37_XHAO_H">Model!$BC$156</definedName>
    <definedName name="v_37_XHAO_H_P">Model!$BF$156</definedName>
    <definedName name="v_37_XHAO_H_P_old">Model!$BH$156</definedName>
    <definedName name="v_37_XHAO_L">Model!$BD$156</definedName>
    <definedName name="v_37_XHAO_L_P">Model!$BG$156</definedName>
    <definedName name="v_37_XHAO_L_P_old">Model!$BI$156</definedName>
    <definedName name="v_37_XHAO_old">Model!$BE$156</definedName>
    <definedName name="v_37_XHFO_H">Model!$AV$156</definedName>
    <definedName name="v_37_XHFO_H_P">Model!$AY$156</definedName>
    <definedName name="v_37_XHFO_H_P_old">Model!$BA$156</definedName>
    <definedName name="v_37_XHFO_L">Model!$AW$156</definedName>
    <definedName name="v_37_XHFO_L_P">Model!$AZ$156</definedName>
    <definedName name="v_37_XHFO_L_P_old">Model!$BB$156</definedName>
    <definedName name="v_37_XHFO_old">Model!$AX$156</definedName>
    <definedName name="v_37_XHMETO">Model!$X$156</definedName>
    <definedName name="v_37_XINORG">Model!$AO$156</definedName>
    <definedName name="v_37_XMEOLO">Model!$S$156</definedName>
    <definedName name="v_37_XN_B">Model!$AD$156</definedName>
    <definedName name="v_37_XN_U">Model!$AE$156</definedName>
    <definedName name="v_37_XNOB">Model!$U$156</definedName>
    <definedName name="v_37_XOHO">Model!$Q$156</definedName>
    <definedName name="v_37_XP_B">Model!$AI$156</definedName>
    <definedName name="v_37_XP_U">Model!$AJ$156</definedName>
    <definedName name="v_37_XPHA">Model!$M$156</definedName>
    <definedName name="v_37_XPP">Model!$AG$156</definedName>
    <definedName name="v_37_XSTR">Model!$BM$156</definedName>
    <definedName name="v_37_XU">Model!$L$156</definedName>
    <definedName name="v_37_XVivi">Model!$BN$156</definedName>
    <definedName name="v_38_CB">Model!$H$157</definedName>
    <definedName name="v_38_CU">Model!$K$157</definedName>
    <definedName name="v_38_GCH4">Model!$BS$157</definedName>
    <definedName name="v_38_GCH4_atm">Model!$BY$157</definedName>
    <definedName name="v_38_GCO2">Model!$BR$157</definedName>
    <definedName name="v_38_GCO2_atm">Model!$BX$157</definedName>
    <definedName name="v_38_GH2">Model!$BT$157</definedName>
    <definedName name="v_38_GH2_atm">Model!$BZ$157</definedName>
    <definedName name="v_38_GN2">Model!$BW$157</definedName>
    <definedName name="v_38_GN2_atm">Model!$CC$157</definedName>
    <definedName name="v_38_GNH3">Model!$BV$157</definedName>
    <definedName name="v_38_GNH3_atm">Model!$CB$157</definedName>
    <definedName name="v_38_GO2">Model!$BU$157</definedName>
    <definedName name="v_38_GO2_atm">Model!$CA$157</definedName>
    <definedName name="v_38_H">Model!$BO$157</definedName>
    <definedName name="v_38_SALPHA">Model!$BP$157</definedName>
    <definedName name="v_38_SAN">Model!$AQ$157</definedName>
    <definedName name="v_38_SB">Model!$F$157</definedName>
    <definedName name="v_38_SCa">Model!$AR$157</definedName>
    <definedName name="v_38_SCAT">Model!$AP$157</definedName>
    <definedName name="v_38_SCH4">Model!$AL$157</definedName>
    <definedName name="v_38_SCO2">Model!$AN$157</definedName>
    <definedName name="v_38_SFe2">Model!$AU$157</definedName>
    <definedName name="v_38_SH2">Model!$AM$157</definedName>
    <definedName name="v_38_SK">Model!$AT$157</definedName>
    <definedName name="v_38_SMEOL">Model!$G$157</definedName>
    <definedName name="v_38_SMg">Model!$AS$157</definedName>
    <definedName name="v_38_SN_B">Model!$AC$157</definedName>
    <definedName name="v_38_SN2">Model!$AB$157</definedName>
    <definedName name="v_38_SNHx">Model!$Y$157</definedName>
    <definedName name="v_38_SNO2">Model!$Z$157</definedName>
    <definedName name="v_38_SNO3">Model!$AA$157</definedName>
    <definedName name="v_38_SO2">Model!$AK$157</definedName>
    <definedName name="v_38_SORPswitch">Model!$BQ$157</definedName>
    <definedName name="v_38_SP_B">Model!$AH$157</definedName>
    <definedName name="v_38_SPO4">Model!$AF$157</definedName>
    <definedName name="v_38_SU">Model!$J$157</definedName>
    <definedName name="v_38_SVFA">Model!$E$157</definedName>
    <definedName name="v_38_XACP">Model!$BK$157</definedName>
    <definedName name="v_38_XAMETO">Model!$W$157</definedName>
    <definedName name="v_38_XAMX">Model!$V$157</definedName>
    <definedName name="v_38_XAOB">Model!$T$157</definedName>
    <definedName name="v_38_XB">Model!$I$157</definedName>
    <definedName name="v_38_XBSH">Model!$BL$157</definedName>
    <definedName name="v_38_XCaCO3">Model!$BJ$157</definedName>
    <definedName name="v_38_XCASTO">Model!$R$157</definedName>
    <definedName name="v_38_XE">Model!$O$157</definedName>
    <definedName name="v_38_XE_ana">Model!$P$157</definedName>
    <definedName name="v_38_XGLY">Model!$N$157</definedName>
    <definedName name="v_38_XHAO_H">Model!$BC$157</definedName>
    <definedName name="v_38_XHAO_H_P">Model!$BF$157</definedName>
    <definedName name="v_38_XHAO_H_P_old">Model!$BH$157</definedName>
    <definedName name="v_38_XHAO_L">Model!$BD$157</definedName>
    <definedName name="v_38_XHAO_L_P">Model!$BG$157</definedName>
    <definedName name="v_38_XHAO_L_P_old">Model!$BI$157</definedName>
    <definedName name="v_38_XHAO_old">Model!$BE$157</definedName>
    <definedName name="v_38_XHFO_H">Model!$AV$157</definedName>
    <definedName name="v_38_XHFO_H_P">Model!$AY$157</definedName>
    <definedName name="v_38_XHFO_H_P_old">Model!$BA$157</definedName>
    <definedName name="v_38_XHFO_L">Model!$AW$157</definedName>
    <definedName name="v_38_XHFO_L_P">Model!$AZ$157</definedName>
    <definedName name="v_38_XHFO_L_P_old">Model!$BB$157</definedName>
    <definedName name="v_38_XHFO_old">Model!$AX$157</definedName>
    <definedName name="v_38_XHMETO">Model!$X$157</definedName>
    <definedName name="v_38_XINORG">Model!$AO$157</definedName>
    <definedName name="v_38_XMEOLO">Model!$S$157</definedName>
    <definedName name="v_38_XN_B">Model!$AD$157</definedName>
    <definedName name="v_38_XN_U">Model!$AE$157</definedName>
    <definedName name="v_38_XNOB">Model!$U$157</definedName>
    <definedName name="v_38_XOHO">Model!$Q$157</definedName>
    <definedName name="v_38_XP_B">Model!$AI$157</definedName>
    <definedName name="v_38_XP_U">Model!$AJ$157</definedName>
    <definedName name="v_38_XPHA">Model!$M$157</definedName>
    <definedName name="v_38_XPP">Model!$AG$157</definedName>
    <definedName name="v_38_XSTR">Model!$BM$157</definedName>
    <definedName name="v_38_XU">Model!$L$157</definedName>
    <definedName name="v_38_XVivi">Model!$BN$157</definedName>
    <definedName name="v_39_CB">Model!$H$158</definedName>
    <definedName name="v_39_CU">Model!$K$158</definedName>
    <definedName name="v_39_GCH4">Model!$BS$158</definedName>
    <definedName name="v_39_GCH4_atm">Model!$BY$158</definedName>
    <definedName name="v_39_GCO2">Model!$BR$158</definedName>
    <definedName name="v_39_GCO2_atm">Model!$BX$158</definedName>
    <definedName name="v_39_GH2">Model!$BT$158</definedName>
    <definedName name="v_39_GH2_atm">Model!$BZ$158</definedName>
    <definedName name="v_39_GN2">Model!$BW$158</definedName>
    <definedName name="v_39_GN2_atm">Model!$CC$158</definedName>
    <definedName name="v_39_GNH3">Model!$BV$158</definedName>
    <definedName name="v_39_GNH3_atm">Model!$CB$158</definedName>
    <definedName name="v_39_GO2">Model!$BU$158</definedName>
    <definedName name="v_39_GO2_atm">Model!$CA$158</definedName>
    <definedName name="v_39_H">Model!$BO$158</definedName>
    <definedName name="v_39_SALPHA">Model!$BP$158</definedName>
    <definedName name="v_39_SAN">Model!$AQ$158</definedName>
    <definedName name="v_39_SB">Model!$F$158</definedName>
    <definedName name="v_39_SCa">Model!$AR$158</definedName>
    <definedName name="v_39_SCAT">Model!$AP$158</definedName>
    <definedName name="v_39_SCH4">Model!$AL$158</definedName>
    <definedName name="v_39_SCO2">Model!$AN$158</definedName>
    <definedName name="v_39_SFe2">Model!$AU$158</definedName>
    <definedName name="v_39_SH2">Model!$AM$158</definedName>
    <definedName name="v_39_SK">Model!$AT$158</definedName>
    <definedName name="v_39_SMEOL">Model!$G$158</definedName>
    <definedName name="v_39_SMg">Model!$AS$158</definedName>
    <definedName name="v_39_SN_B">Model!$AC$158</definedName>
    <definedName name="v_39_SN2">Model!$AB$158</definedName>
    <definedName name="v_39_SNHx">Model!$Y$158</definedName>
    <definedName name="v_39_SNO2">Model!$Z$158</definedName>
    <definedName name="v_39_SNO3">Model!$AA$158</definedName>
    <definedName name="v_39_SO2">Model!$AK$158</definedName>
    <definedName name="v_39_SORPswitch">Model!$BQ$158</definedName>
    <definedName name="v_39_SP_B">Model!$AH$158</definedName>
    <definedName name="v_39_SPO4">Model!$AF$158</definedName>
    <definedName name="v_39_SU">Model!$J$158</definedName>
    <definedName name="v_39_SVFA">Model!$E$158</definedName>
    <definedName name="v_39_XACP">Model!$BK$158</definedName>
    <definedName name="v_39_XAMETO">Model!$W$158</definedName>
    <definedName name="v_39_XAMX">Model!$V$158</definedName>
    <definedName name="v_39_XAOB">Model!$T$158</definedName>
    <definedName name="v_39_XB">Model!$I$158</definedName>
    <definedName name="v_39_XBSH">Model!$BL$158</definedName>
    <definedName name="v_39_XCaCO3">Model!$BJ$158</definedName>
    <definedName name="v_39_XCASTO">Model!$R$158</definedName>
    <definedName name="v_39_XE">Model!$O$158</definedName>
    <definedName name="v_39_XE_ana">Model!$P$158</definedName>
    <definedName name="v_39_XGLY">Model!$N$158</definedName>
    <definedName name="v_39_XHAO_H">Model!$BC$158</definedName>
    <definedName name="v_39_XHAO_H_P">Model!$BF$158</definedName>
    <definedName name="v_39_XHAO_H_P_old">Model!$BH$158</definedName>
    <definedName name="v_39_XHAO_L">Model!$BD$158</definedName>
    <definedName name="v_39_XHAO_L_P">Model!$BG$158</definedName>
    <definedName name="v_39_XHAO_L_P_old">Model!$BI$158</definedName>
    <definedName name="v_39_XHAO_old">Model!$BE$158</definedName>
    <definedName name="v_39_XHFO_H">Model!$AV$158</definedName>
    <definedName name="v_39_XHFO_H_P">Model!$AY$158</definedName>
    <definedName name="v_39_XHFO_H_P_old">Model!$BA$158</definedName>
    <definedName name="v_39_XHFO_L">Model!$AW$158</definedName>
    <definedName name="v_39_XHFO_L_P">Model!$AZ$158</definedName>
    <definedName name="v_39_XHFO_L_P_old">Model!$BB$158</definedName>
    <definedName name="v_39_XHFO_old">Model!$AX$158</definedName>
    <definedName name="v_39_XHMETO">Model!$X$158</definedName>
    <definedName name="v_39_XINORG">Model!$AO$158</definedName>
    <definedName name="v_39_XMEOLO">Model!$S$158</definedName>
    <definedName name="v_39_XN_B">Model!$AD$158</definedName>
    <definedName name="v_39_XN_U">Model!$AE$158</definedName>
    <definedName name="v_39_XNOB">Model!$U$158</definedName>
    <definedName name="v_39_XOHO">Model!$Q$158</definedName>
    <definedName name="v_39_XP_B">Model!$AI$158</definedName>
    <definedName name="v_39_XP_U">Model!$AJ$158</definedName>
    <definedName name="v_39_XPHA">Model!$M$158</definedName>
    <definedName name="v_39_XPP">Model!$AG$158</definedName>
    <definedName name="v_39_XSTR">Model!$BM$158</definedName>
    <definedName name="v_39_XU">Model!$L$158</definedName>
    <definedName name="v_39_XVivi">Model!$BN$158</definedName>
    <definedName name="v_4_CB">Model!$H$123</definedName>
    <definedName name="v_4_CU">Model!$K$123</definedName>
    <definedName name="v_4_GCH4">Model!$BS$123</definedName>
    <definedName name="v_4_GCH4_atm">Model!$BY$123</definedName>
    <definedName name="v_4_GCO2">Model!$BR$123</definedName>
    <definedName name="v_4_GCO2_atm">Model!$BX$123</definedName>
    <definedName name="v_4_GH2">Model!$BT$123</definedName>
    <definedName name="v_4_GH2_atm">Model!$BZ$123</definedName>
    <definedName name="v_4_GN2">Model!$BW$123</definedName>
    <definedName name="v_4_GN2_atm">Model!$CC$123</definedName>
    <definedName name="v_4_GNH3">Model!$BV$123</definedName>
    <definedName name="v_4_GNH3_atm">Model!$CB$123</definedName>
    <definedName name="v_4_GO2">Model!$BU$123</definedName>
    <definedName name="v_4_GO2_atm">Model!$CA$123</definedName>
    <definedName name="v_4_H">Model!$BO$123</definedName>
    <definedName name="v_4_SALPHA">Model!$BP$123</definedName>
    <definedName name="v_4_SAN">Model!$AQ$123</definedName>
    <definedName name="v_4_SB">Model!$F$123</definedName>
    <definedName name="v_4_SCa">Model!$AR$123</definedName>
    <definedName name="v_4_SCAT">Model!$AP$123</definedName>
    <definedName name="v_4_SCH4">Model!$AL$123</definedName>
    <definedName name="v_4_SCO2">Model!$AN$123</definedName>
    <definedName name="v_4_SFe2">Model!$AU$123</definedName>
    <definedName name="v_4_SH2">Model!$AM$123</definedName>
    <definedName name="v_4_SK">Model!$AT$123</definedName>
    <definedName name="v_4_SMEOL">Model!$G$123</definedName>
    <definedName name="v_4_SMg">Model!$AS$123</definedName>
    <definedName name="v_4_SN_B">Model!$AC$123</definedName>
    <definedName name="v_4_SN2">Model!$AB$123</definedName>
    <definedName name="v_4_SNHx">Model!$Y$123</definedName>
    <definedName name="v_4_SNO2">Model!$Z$123</definedName>
    <definedName name="v_4_SNO3">Model!$AA$123</definedName>
    <definedName name="v_4_SO2">Model!$AK$123</definedName>
    <definedName name="v_4_SORPswitch">Model!$BQ$123</definedName>
    <definedName name="v_4_SP_B">Model!$AH$123</definedName>
    <definedName name="v_4_SPO4">Model!$AF$123</definedName>
    <definedName name="v_4_SU">Model!$J$123</definedName>
    <definedName name="v_4_SVFA">Model!$E$123</definedName>
    <definedName name="v_4_XACP">Model!$BK$123</definedName>
    <definedName name="v_4_XAMETO">Model!$W$123</definedName>
    <definedName name="v_4_XAMX">Model!$V$123</definedName>
    <definedName name="v_4_XAOB">Model!$T$123</definedName>
    <definedName name="v_4_XB">Model!$I$123</definedName>
    <definedName name="v_4_XBSH">Model!$BL$123</definedName>
    <definedName name="v_4_XCaCO3">Model!$BJ$123</definedName>
    <definedName name="v_4_XCASTO">Model!$R$123</definedName>
    <definedName name="v_4_XE">Model!$O$123</definedName>
    <definedName name="v_4_XE_ana">Model!$P$123</definedName>
    <definedName name="v_4_XGLY">Model!$N$123</definedName>
    <definedName name="v_4_XHAO_H">Model!$BC$123</definedName>
    <definedName name="v_4_XHAO_H_P">Model!$BF$123</definedName>
    <definedName name="v_4_XHAO_H_P_old">Model!$BH$123</definedName>
    <definedName name="v_4_XHAO_L">Model!$BD$123</definedName>
    <definedName name="v_4_XHAO_L_P">Model!$BG$123</definedName>
    <definedName name="v_4_XHAO_L_P_old">Model!$BI$123</definedName>
    <definedName name="v_4_XHAO_old">Model!$BE$123</definedName>
    <definedName name="v_4_XHFO_H">Model!$AV$123</definedName>
    <definedName name="v_4_XHFO_H_P">Model!$AY$123</definedName>
    <definedName name="v_4_XHFO_H_P_old">Model!$BA$123</definedName>
    <definedName name="v_4_XHFO_L">Model!$AW$123</definedName>
    <definedName name="v_4_XHFO_L_P">Model!$AZ$123</definedName>
    <definedName name="v_4_XHFO_L_P_old">Model!$BB$123</definedName>
    <definedName name="v_4_XHFO_old">Model!$AX$123</definedName>
    <definedName name="v_4_XHMETO">Model!$X$123</definedName>
    <definedName name="v_4_XINORG">Model!$AO$123</definedName>
    <definedName name="v_4_XMEOLO">Model!$S$123</definedName>
    <definedName name="v_4_XN_B">Model!$AD$123</definedName>
    <definedName name="v_4_XN_U">Model!$AE$123</definedName>
    <definedName name="v_4_XNOB">Model!$U$123</definedName>
    <definedName name="v_4_XOHO">Model!$Q$123</definedName>
    <definedName name="v_4_XP_B">Model!$AI$123</definedName>
    <definedName name="v_4_XP_U">Model!$AJ$123</definedName>
    <definedName name="v_4_XPHA">Model!$M$123</definedName>
    <definedName name="v_4_XPP">Model!$AG$123</definedName>
    <definedName name="v_4_XSTR">Model!$BM$123</definedName>
    <definedName name="v_4_XU">Model!$L$123</definedName>
    <definedName name="v_4_XVivi">Model!$BN$123</definedName>
    <definedName name="v_40_CB">Model!$H$159</definedName>
    <definedName name="v_40_CU">Model!$K$159</definedName>
    <definedName name="v_40_GCH4">Model!$BS$159</definedName>
    <definedName name="v_40_GCH4_atm">Model!$BY$159</definedName>
    <definedName name="v_40_GCO2">Model!$BR$159</definedName>
    <definedName name="v_40_GCO2_atm">Model!$BX$159</definedName>
    <definedName name="v_40_GH2">Model!$BT$159</definedName>
    <definedName name="v_40_GH2_atm">Model!$BZ$159</definedName>
    <definedName name="v_40_GN2">Model!$BW$159</definedName>
    <definedName name="v_40_GN2_atm">Model!$CC$159</definedName>
    <definedName name="v_40_GNH3">Model!$BV$159</definedName>
    <definedName name="v_40_GNH3_atm">Model!$CB$159</definedName>
    <definedName name="v_40_GO2">Model!$BU$159</definedName>
    <definedName name="v_40_GO2_atm">Model!$CA$159</definedName>
    <definedName name="v_40_H">Model!$BO$159</definedName>
    <definedName name="v_40_SALPHA">Model!$BP$159</definedName>
    <definedName name="v_40_SAN">Model!$AQ$159</definedName>
    <definedName name="v_40_SB">Model!$F$159</definedName>
    <definedName name="v_40_SCa">Model!$AR$159</definedName>
    <definedName name="v_40_SCAT">Model!$AP$159</definedName>
    <definedName name="v_40_SCH4">Model!$AL$159</definedName>
    <definedName name="v_40_SCO2">Model!$AN$159</definedName>
    <definedName name="v_40_SFe2">Model!$AU$159</definedName>
    <definedName name="v_40_SH2">Model!$AM$159</definedName>
    <definedName name="v_40_SK">Model!$AT$159</definedName>
    <definedName name="v_40_SMEOL">Model!$G$159</definedName>
    <definedName name="v_40_SMg">Model!$AS$159</definedName>
    <definedName name="v_40_SN_B">Model!$AC$159</definedName>
    <definedName name="v_40_SN2">Model!$AB$159</definedName>
    <definedName name="v_40_SNHx">Model!$Y$159</definedName>
    <definedName name="v_40_SNO2">Model!$Z$159</definedName>
    <definedName name="v_40_SNO3">Model!$AA$159</definedName>
    <definedName name="v_40_SO2">Model!$AK$159</definedName>
    <definedName name="v_40_SORPswitch">Model!$BQ$159</definedName>
    <definedName name="v_40_SP_B">Model!$AH$159</definedName>
    <definedName name="v_40_SPO4">Model!$AF$159</definedName>
    <definedName name="v_40_SU">Model!$J$159</definedName>
    <definedName name="v_40_SVFA">Model!$E$159</definedName>
    <definedName name="v_40_XACP">Model!$BK$159</definedName>
    <definedName name="v_40_XAMETO">Model!$W$159</definedName>
    <definedName name="v_40_XAMX">Model!$V$159</definedName>
    <definedName name="v_40_XAOB">Model!$T$159</definedName>
    <definedName name="v_40_XB">Model!$I$159</definedName>
    <definedName name="v_40_XBSH">Model!$BL$159</definedName>
    <definedName name="v_40_XCaCO3">Model!$BJ$159</definedName>
    <definedName name="v_40_XCASTO">Model!$R$159</definedName>
    <definedName name="v_40_XE">Model!$O$159</definedName>
    <definedName name="v_40_XE_ana">Model!$P$159</definedName>
    <definedName name="v_40_XGLY">Model!$N$159</definedName>
    <definedName name="v_40_XHAO_H">Model!$BC$159</definedName>
    <definedName name="v_40_XHAO_H_P">Model!$BF$159</definedName>
    <definedName name="v_40_XHAO_H_P_old">Model!$BH$159</definedName>
    <definedName name="v_40_XHAO_L">Model!$BD$159</definedName>
    <definedName name="v_40_XHAO_L_P">Model!$BG$159</definedName>
    <definedName name="v_40_XHAO_L_P_old">Model!$BI$159</definedName>
    <definedName name="v_40_XHAO_old">Model!$BE$159</definedName>
    <definedName name="v_40_XHFO_H">Model!$AV$159</definedName>
    <definedName name="v_40_XHFO_H_P">Model!$AY$159</definedName>
    <definedName name="v_40_XHFO_H_P_old">Model!$BA$159</definedName>
    <definedName name="v_40_XHFO_L">Model!$AW$159</definedName>
    <definedName name="v_40_XHFO_L_P">Model!$AZ$159</definedName>
    <definedName name="v_40_XHFO_L_P_old">Model!$BB$159</definedName>
    <definedName name="v_40_XHFO_old">Model!$AX$159</definedName>
    <definedName name="v_40_XHMETO">Model!$X$159</definedName>
    <definedName name="v_40_XINORG">Model!$AO$159</definedName>
    <definedName name="v_40_XMEOLO">Model!$S$159</definedName>
    <definedName name="v_40_XN_B">Model!$AD$159</definedName>
    <definedName name="v_40_XN_U">Model!$AE$159</definedName>
    <definedName name="v_40_XNOB">Model!$U$159</definedName>
    <definedName name="v_40_XOHO">Model!$Q$159</definedName>
    <definedName name="v_40_XP_B">Model!$AI$159</definedName>
    <definedName name="v_40_XP_U">Model!$AJ$159</definedName>
    <definedName name="v_40_XPHA">Model!$M$159</definedName>
    <definedName name="v_40_XPP">Model!$AG$159</definedName>
    <definedName name="v_40_XSTR">Model!$BM$159</definedName>
    <definedName name="v_40_XU">Model!$L$159</definedName>
    <definedName name="v_40_XVivi">Model!$BN$159</definedName>
    <definedName name="v_41_CB">Model!$H$160</definedName>
    <definedName name="v_41_CU">Model!$K$160</definedName>
    <definedName name="v_41_GCH4">Model!$BS$160</definedName>
    <definedName name="v_41_GCH4_atm">Model!$BY$160</definedName>
    <definedName name="v_41_GCO2">Model!$BR$160</definedName>
    <definedName name="v_41_GCO2_atm">Model!$BX$160</definedName>
    <definedName name="v_41_GH2">Model!$BT$160</definedName>
    <definedName name="v_41_GH2_atm">Model!$BZ$160</definedName>
    <definedName name="v_41_GN2">Model!$BW$160</definedName>
    <definedName name="v_41_GN2_atm">Model!$CC$160</definedName>
    <definedName name="v_41_GNH3">Model!$BV$160</definedName>
    <definedName name="v_41_GNH3_atm">Model!$CB$160</definedName>
    <definedName name="v_41_GO2">Model!$BU$160</definedName>
    <definedName name="v_41_GO2_atm">Model!$CA$160</definedName>
    <definedName name="v_41_H">Model!$BO$160</definedName>
    <definedName name="v_41_SALPHA">Model!$BP$160</definedName>
    <definedName name="v_41_SAN">Model!$AQ$160</definedName>
    <definedName name="v_41_SB">Model!$F$160</definedName>
    <definedName name="v_41_SCa">Model!$AR$160</definedName>
    <definedName name="v_41_SCAT">Model!$AP$160</definedName>
    <definedName name="v_41_SCH4">Model!$AL$160</definedName>
    <definedName name="v_41_SCO2">Model!$AN$160</definedName>
    <definedName name="v_41_SFe2">Model!$AU$160</definedName>
    <definedName name="v_41_SH2">Model!$AM$160</definedName>
    <definedName name="v_41_SK">Model!$AT$160</definedName>
    <definedName name="v_41_SMEOL">Model!$G$160</definedName>
    <definedName name="v_41_SMg">Model!$AS$160</definedName>
    <definedName name="v_41_SN_B">Model!$AC$160</definedName>
    <definedName name="v_41_SN2">Model!$AB$160</definedName>
    <definedName name="v_41_SNHx">Model!$Y$160</definedName>
    <definedName name="v_41_SNO2">Model!$Z$160</definedName>
    <definedName name="v_41_SNO3">Model!$AA$160</definedName>
    <definedName name="v_41_SO2">Model!$AK$160</definedName>
    <definedName name="v_41_SORPswitch">Model!$BQ$160</definedName>
    <definedName name="v_41_SP_B">Model!$AH$160</definedName>
    <definedName name="v_41_SPO4">Model!$AF$160</definedName>
    <definedName name="v_41_SU">Model!$J$160</definedName>
    <definedName name="v_41_SVFA">Model!$E$160</definedName>
    <definedName name="v_41_XACP">Model!$BK$160</definedName>
    <definedName name="v_41_XAMETO">Model!$W$160</definedName>
    <definedName name="v_41_XAMX">Model!$V$160</definedName>
    <definedName name="v_41_XAOB">Model!$T$160</definedName>
    <definedName name="v_41_XB">Model!$I$160</definedName>
    <definedName name="v_41_XBSH">Model!$BL$160</definedName>
    <definedName name="v_41_XCaCO3">Model!$BJ$160</definedName>
    <definedName name="v_41_XCASTO">Model!$R$160</definedName>
    <definedName name="v_41_XE">Model!$O$160</definedName>
    <definedName name="v_41_XE_ana">Model!$P$160</definedName>
    <definedName name="v_41_XGLY">Model!$N$160</definedName>
    <definedName name="v_41_XHAO_H">Model!$BC$160</definedName>
    <definedName name="v_41_XHAO_H_P">Model!$BF$160</definedName>
    <definedName name="v_41_XHAO_H_P_old">Model!$BH$160</definedName>
    <definedName name="v_41_XHAO_L">Model!$BD$160</definedName>
    <definedName name="v_41_XHAO_L_P">Model!$BG$160</definedName>
    <definedName name="v_41_XHAO_L_P_old">Model!$BI$160</definedName>
    <definedName name="v_41_XHAO_old">Model!$BE$160</definedName>
    <definedName name="v_41_XHFO_H">Model!$AV$160</definedName>
    <definedName name="v_41_XHFO_H_P">Model!$AY$160</definedName>
    <definedName name="v_41_XHFO_H_P_old">Model!$BA$160</definedName>
    <definedName name="v_41_XHFO_L">Model!$AW$160</definedName>
    <definedName name="v_41_XHFO_L_P">Model!$AZ$160</definedName>
    <definedName name="v_41_XHFO_L_P_old">Model!$BB$160</definedName>
    <definedName name="v_41_XHFO_old">Model!$AX$160</definedName>
    <definedName name="v_41_XHMETO">Model!$X$160</definedName>
    <definedName name="v_41_XINORG">Model!$AO$160</definedName>
    <definedName name="v_41_XMEOLO">Model!$S$160</definedName>
    <definedName name="v_41_XN_B">Model!$AD$160</definedName>
    <definedName name="v_41_XN_U">Model!$AE$160</definedName>
    <definedName name="v_41_XNOB">Model!$U$160</definedName>
    <definedName name="v_41_XOHO">Model!$Q$160</definedName>
    <definedName name="v_41_XP_B">Model!$AI$160</definedName>
    <definedName name="v_41_XP_U">Model!$AJ$160</definedName>
    <definedName name="v_41_XPHA">Model!$M$160</definedName>
    <definedName name="v_41_XPP">Model!$AG$160</definedName>
    <definedName name="v_41_XSTR">Model!$BM$160</definedName>
    <definedName name="v_41_XU">Model!$L$160</definedName>
    <definedName name="v_41_XVivi">Model!$BN$160</definedName>
    <definedName name="v_42_CB">Model!$H$161</definedName>
    <definedName name="v_42_CU">Model!$K$161</definedName>
    <definedName name="v_42_GCH4">Model!$BS$161</definedName>
    <definedName name="v_42_GCH4_atm">Model!$BY$161</definedName>
    <definedName name="v_42_GCO2">Model!$BR$161</definedName>
    <definedName name="v_42_GCO2_atm">Model!$BX$161</definedName>
    <definedName name="v_42_GH2">Model!$BT$161</definedName>
    <definedName name="v_42_GH2_atm">Model!$BZ$161</definedName>
    <definedName name="v_42_GN2">Model!$BW$161</definedName>
    <definedName name="v_42_GN2_atm">Model!$CC$161</definedName>
    <definedName name="v_42_GNH3">Model!$BV$161</definedName>
    <definedName name="v_42_GNH3_atm">Model!$CB$161</definedName>
    <definedName name="v_42_GO2">Model!$BU$161</definedName>
    <definedName name="v_42_GO2_atm">Model!$CA$161</definedName>
    <definedName name="v_42_H">Model!$BO$161</definedName>
    <definedName name="v_42_SALPHA">Model!$BP$161</definedName>
    <definedName name="v_42_SAN">Model!$AQ$161</definedName>
    <definedName name="v_42_SB">Model!$F$161</definedName>
    <definedName name="v_42_SCa">Model!$AR$161</definedName>
    <definedName name="v_42_SCAT">Model!$AP$161</definedName>
    <definedName name="v_42_SCH4">Model!$AL$161</definedName>
    <definedName name="v_42_SCO2">Model!$AN$161</definedName>
    <definedName name="v_42_SFe2">Model!$AU$161</definedName>
    <definedName name="v_42_SH2">Model!$AM$161</definedName>
    <definedName name="v_42_SK">Model!$AT$161</definedName>
    <definedName name="v_42_SMEOL">Model!$G$161</definedName>
    <definedName name="v_42_SMg">Model!$AS$161</definedName>
    <definedName name="v_42_SN_B">Model!$AC$161</definedName>
    <definedName name="v_42_SN2">Model!$AB$161</definedName>
    <definedName name="v_42_SNHx">Model!$Y$161</definedName>
    <definedName name="v_42_SNO2">Model!$Z$161</definedName>
    <definedName name="v_42_SNO3">Model!$AA$161</definedName>
    <definedName name="v_42_SO2">Model!$AK$161</definedName>
    <definedName name="v_42_SORPswitch">Model!$BQ$161</definedName>
    <definedName name="v_42_SP_B">Model!$AH$161</definedName>
    <definedName name="v_42_SPO4">Model!$AF$161</definedName>
    <definedName name="v_42_SU">Model!$J$161</definedName>
    <definedName name="v_42_SVFA">Model!$E$161</definedName>
    <definedName name="v_42_XACP">Model!$BK$161</definedName>
    <definedName name="v_42_XAMETO">Model!$W$161</definedName>
    <definedName name="v_42_XAMX">Model!$V$161</definedName>
    <definedName name="v_42_XAOB">Model!$T$161</definedName>
    <definedName name="v_42_XB">Model!$I$161</definedName>
    <definedName name="v_42_XBSH">Model!$BL$161</definedName>
    <definedName name="v_42_XCaCO3">Model!$BJ$161</definedName>
    <definedName name="v_42_XCASTO">Model!$R$161</definedName>
    <definedName name="v_42_XE">Model!$O$161</definedName>
    <definedName name="v_42_XE_ana">Model!$P$161</definedName>
    <definedName name="v_42_XGLY">Model!$N$161</definedName>
    <definedName name="v_42_XHAO_H">Model!$BC$161</definedName>
    <definedName name="v_42_XHAO_H_P">Model!$BF$161</definedName>
    <definedName name="v_42_XHAO_H_P_old">Model!$BH$161</definedName>
    <definedName name="v_42_XHAO_L">Model!$BD$161</definedName>
    <definedName name="v_42_XHAO_L_P">Model!$BG$161</definedName>
    <definedName name="v_42_XHAO_L_P_old">Model!$BI$161</definedName>
    <definedName name="v_42_XHAO_old">Model!$BE$161</definedName>
    <definedName name="v_42_XHFO_H">Model!$AV$161</definedName>
    <definedName name="v_42_XHFO_H_P">Model!$AY$161</definedName>
    <definedName name="v_42_XHFO_H_P_old">Model!$BA$161</definedName>
    <definedName name="v_42_XHFO_L">Model!$AW$161</definedName>
    <definedName name="v_42_XHFO_L_P">Model!$AZ$161</definedName>
    <definedName name="v_42_XHFO_L_P_old">Model!$BB$161</definedName>
    <definedName name="v_42_XHFO_old">Model!$AX$161</definedName>
    <definedName name="v_42_XHMETO">Model!$X$161</definedName>
    <definedName name="v_42_XINORG">Model!$AO$161</definedName>
    <definedName name="v_42_XMEOLO">Model!$S$161</definedName>
    <definedName name="v_42_XN_B">Model!$AD$161</definedName>
    <definedName name="v_42_XN_U">Model!$AE$161</definedName>
    <definedName name="v_42_XNOB">Model!$U$161</definedName>
    <definedName name="v_42_XOHO">Model!$Q$161</definedName>
    <definedName name="v_42_XP_B">Model!$AI$161</definedName>
    <definedName name="v_42_XP_U">Model!$AJ$161</definedName>
    <definedName name="v_42_XPHA">Model!$M$161</definedName>
    <definedName name="v_42_XPP">Model!$AG$161</definedName>
    <definedName name="v_42_XSTR">Model!$BM$161</definedName>
    <definedName name="v_42_XU">Model!$L$161</definedName>
    <definedName name="v_42_XVivi">Model!$BN$161</definedName>
    <definedName name="v_43_CB">Model!$H$162</definedName>
    <definedName name="v_43_CU">Model!$K$162</definedName>
    <definedName name="v_43_GCH4">Model!$BS$162</definedName>
    <definedName name="v_43_GCH4_atm">Model!$BY$162</definedName>
    <definedName name="v_43_GCO2">Model!$BR$162</definedName>
    <definedName name="v_43_GCO2_atm">Model!$BX$162</definedName>
    <definedName name="v_43_GH2">Model!$BT$162</definedName>
    <definedName name="v_43_GH2_atm">Model!$BZ$162</definedName>
    <definedName name="v_43_GN2">Model!$BW$162</definedName>
    <definedName name="v_43_GN2_atm">Model!$CC$162</definedName>
    <definedName name="v_43_GNH3">Model!$BV$162</definedName>
    <definedName name="v_43_GNH3_atm">Model!$CB$162</definedName>
    <definedName name="v_43_GO2">Model!$BU$162</definedName>
    <definedName name="v_43_GO2_atm">Model!$CA$162</definedName>
    <definedName name="v_43_H">Model!$BO$162</definedName>
    <definedName name="v_43_SALPHA">Model!$BP$162</definedName>
    <definedName name="v_43_SAN">Model!$AQ$162</definedName>
    <definedName name="v_43_SB">Model!$F$162</definedName>
    <definedName name="v_43_SCa">Model!$AR$162</definedName>
    <definedName name="v_43_SCAT">Model!$AP$162</definedName>
    <definedName name="v_43_SCH4">Model!$AL$162</definedName>
    <definedName name="v_43_SCO2">Model!$AN$162</definedName>
    <definedName name="v_43_SFe2">Model!$AU$162</definedName>
    <definedName name="v_43_SH2">Model!$AM$162</definedName>
    <definedName name="v_43_SK">Model!$AT$162</definedName>
    <definedName name="v_43_SMEOL">Model!$G$162</definedName>
    <definedName name="v_43_SMg">Model!$AS$162</definedName>
    <definedName name="v_43_SN_B">Model!$AC$162</definedName>
    <definedName name="v_43_SN2">Model!$AB$162</definedName>
    <definedName name="v_43_SNHx">Model!$Y$162</definedName>
    <definedName name="v_43_SNO2">Model!$Z$162</definedName>
    <definedName name="v_43_SNO3">Model!$AA$162</definedName>
    <definedName name="v_43_SO2">Model!$AK$162</definedName>
    <definedName name="v_43_SORPswitch">Model!$BQ$162</definedName>
    <definedName name="v_43_SP_B">Model!$AH$162</definedName>
    <definedName name="v_43_SPO4">Model!$AF$162</definedName>
    <definedName name="v_43_SU">Model!$J$162</definedName>
    <definedName name="v_43_SVFA">Model!$E$162</definedName>
    <definedName name="v_43_XACP">Model!$BK$162</definedName>
    <definedName name="v_43_XAMETO">Model!$W$162</definedName>
    <definedName name="v_43_XAMX">Model!$V$162</definedName>
    <definedName name="v_43_XAOB">Model!$T$162</definedName>
    <definedName name="v_43_XB">Model!$I$162</definedName>
    <definedName name="v_43_XBSH">Model!$BL$162</definedName>
    <definedName name="v_43_XCaCO3">Model!$BJ$162</definedName>
    <definedName name="v_43_XCASTO">Model!$R$162</definedName>
    <definedName name="v_43_XE">Model!$O$162</definedName>
    <definedName name="v_43_XE_ana">Model!$P$162</definedName>
    <definedName name="v_43_XGLY">Model!$N$162</definedName>
    <definedName name="v_43_XHAO_H">Model!$BC$162</definedName>
    <definedName name="v_43_XHAO_H_P">Model!$BF$162</definedName>
    <definedName name="v_43_XHAO_H_P_old">Model!$BH$162</definedName>
    <definedName name="v_43_XHAO_L">Model!$BD$162</definedName>
    <definedName name="v_43_XHAO_L_P">Model!$BG$162</definedName>
    <definedName name="v_43_XHAO_L_P_old">Model!$BI$162</definedName>
    <definedName name="v_43_XHAO_old">Model!$BE$162</definedName>
    <definedName name="v_43_XHFO_H">Model!$AV$162</definedName>
    <definedName name="v_43_XHFO_H_P">Model!$AY$162</definedName>
    <definedName name="v_43_XHFO_H_P_old">Model!$BA$162</definedName>
    <definedName name="v_43_XHFO_L">Model!$AW$162</definedName>
    <definedName name="v_43_XHFO_L_P">Model!$AZ$162</definedName>
    <definedName name="v_43_XHFO_L_P_old">Model!$BB$162</definedName>
    <definedName name="v_43_XHFO_old">Model!$AX$162</definedName>
    <definedName name="v_43_XHMETO">Model!$X$162</definedName>
    <definedName name="v_43_XINORG">Model!$AO$162</definedName>
    <definedName name="v_43_XMEOLO">Model!$S$162</definedName>
    <definedName name="v_43_XN_B">Model!$AD$162</definedName>
    <definedName name="v_43_XN_U">Model!$AE$162</definedName>
    <definedName name="v_43_XNOB">Model!$U$162</definedName>
    <definedName name="v_43_XOHO">Model!$Q$162</definedName>
    <definedName name="v_43_XP_B">Model!$AI$162</definedName>
    <definedName name="v_43_XP_U">Model!$AJ$162</definedName>
    <definedName name="v_43_XPHA">Model!$M$162</definedName>
    <definedName name="v_43_XPP">Model!$AG$162</definedName>
    <definedName name="v_43_XSTR">Model!$BM$162</definedName>
    <definedName name="v_43_XU">Model!$L$162</definedName>
    <definedName name="v_43_XVivi">Model!$BN$162</definedName>
    <definedName name="v_44_CB">Model!$H$163</definedName>
    <definedName name="v_44_CU">Model!$K$163</definedName>
    <definedName name="v_44_GCH4">Model!$BS$163</definedName>
    <definedName name="v_44_GCH4_atm">Model!$BY$163</definedName>
    <definedName name="v_44_GCO2">Model!$BR$163</definedName>
    <definedName name="v_44_GCO2_atm">Model!$BX$163</definedName>
    <definedName name="v_44_GH2">Model!$BT$163</definedName>
    <definedName name="v_44_GH2_atm">Model!$BZ$163</definedName>
    <definedName name="v_44_GN2">Model!$BW$163</definedName>
    <definedName name="v_44_GN2_atm">Model!$CC$163</definedName>
    <definedName name="v_44_GNH3">Model!$BV$163</definedName>
    <definedName name="v_44_GNH3_atm">Model!$CB$163</definedName>
    <definedName name="v_44_GO2">Model!$BU$163</definedName>
    <definedName name="v_44_GO2_atm">Model!$CA$163</definedName>
    <definedName name="v_44_H">Model!$BO$163</definedName>
    <definedName name="v_44_SALPHA">Model!$BP$163</definedName>
    <definedName name="v_44_SAN">Model!$AQ$163</definedName>
    <definedName name="v_44_SB">Model!$F$163</definedName>
    <definedName name="v_44_SCa">Model!$AR$163</definedName>
    <definedName name="v_44_SCAT">Model!$AP$163</definedName>
    <definedName name="v_44_SCH4">Model!$AL$163</definedName>
    <definedName name="v_44_SCO2">Model!$AN$163</definedName>
    <definedName name="v_44_SFe2">Model!$AU$163</definedName>
    <definedName name="v_44_SH2">Model!$AM$163</definedName>
    <definedName name="v_44_SK">Model!$AT$163</definedName>
    <definedName name="v_44_SMEOL">Model!$G$163</definedName>
    <definedName name="v_44_SMg">Model!$AS$163</definedName>
    <definedName name="v_44_SN_B">Model!$AC$163</definedName>
    <definedName name="v_44_SN2">Model!$AB$163</definedName>
    <definedName name="v_44_SNHx">Model!$Y$163</definedName>
    <definedName name="v_44_SNO2">Model!$Z$163</definedName>
    <definedName name="v_44_SNO3">Model!$AA$163</definedName>
    <definedName name="v_44_SO2">Model!$AK$163</definedName>
    <definedName name="v_44_SORPswitch">Model!$BQ$163</definedName>
    <definedName name="v_44_SP_B">Model!$AH$163</definedName>
    <definedName name="v_44_SPO4">Model!$AF$163</definedName>
    <definedName name="v_44_SU">Model!$J$163</definedName>
    <definedName name="v_44_SVFA">Model!$E$163</definedName>
    <definedName name="v_44_XACP">Model!$BK$163</definedName>
    <definedName name="v_44_XAMETO">Model!$W$163</definedName>
    <definedName name="v_44_XAMX">Model!$V$163</definedName>
    <definedName name="v_44_XAOB">Model!$T$163</definedName>
    <definedName name="v_44_XB">Model!$I$163</definedName>
    <definedName name="v_44_XBSH">Model!$BL$163</definedName>
    <definedName name="v_44_XCaCO3">Model!$BJ$163</definedName>
    <definedName name="v_44_XCASTO">Model!$R$163</definedName>
    <definedName name="v_44_XE">Model!$O$163</definedName>
    <definedName name="v_44_XE_ana">Model!$P$163</definedName>
    <definedName name="v_44_XGLY">Model!$N$163</definedName>
    <definedName name="v_44_XHAO_H">Model!$BC$163</definedName>
    <definedName name="v_44_XHAO_H_P">Model!$BF$163</definedName>
    <definedName name="v_44_XHAO_H_P_old">Model!$BH$163</definedName>
    <definedName name="v_44_XHAO_L">Model!$BD$163</definedName>
    <definedName name="v_44_XHAO_L_P">Model!$BG$163</definedName>
    <definedName name="v_44_XHAO_L_P_old">Model!$BI$163</definedName>
    <definedName name="v_44_XHAO_old">Model!$BE$163</definedName>
    <definedName name="v_44_XHFO_H">Model!$AV$163</definedName>
    <definedName name="v_44_XHFO_H_P">Model!$AY$163</definedName>
    <definedName name="v_44_XHFO_H_P_old">Model!$BA$163</definedName>
    <definedName name="v_44_XHFO_L">Model!$AW$163</definedName>
    <definedName name="v_44_XHFO_L_P">Model!$AZ$163</definedName>
    <definedName name="v_44_XHFO_L_P_old">Model!$BB$163</definedName>
    <definedName name="v_44_XHFO_old">Model!$AX$163</definedName>
    <definedName name="v_44_XHMETO">Model!$X$163</definedName>
    <definedName name="v_44_XINORG">Model!$AO$163</definedName>
    <definedName name="v_44_XMEOLO">Model!$S$163</definedName>
    <definedName name="v_44_XN_B">Model!$AD$163</definedName>
    <definedName name="v_44_XN_U">Model!$AE$163</definedName>
    <definedName name="v_44_XNOB">Model!$U$163</definedName>
    <definedName name="v_44_XOHO">Model!$Q$163</definedName>
    <definedName name="v_44_XP_B">Model!$AI$163</definedName>
    <definedName name="v_44_XP_U">Model!$AJ$163</definedName>
    <definedName name="v_44_XPHA">Model!$M$163</definedName>
    <definedName name="v_44_XPP">Model!$AG$163</definedName>
    <definedName name="v_44_XSTR">Model!$BM$163</definedName>
    <definedName name="v_44_XU">Model!$L$163</definedName>
    <definedName name="v_44_XVivi">Model!$BN$163</definedName>
    <definedName name="v_45_CB">Model!$H$164</definedName>
    <definedName name="v_45_CU">Model!$K$164</definedName>
    <definedName name="v_45_GCH4">Model!$BS$164</definedName>
    <definedName name="v_45_GCH4_atm">Model!$BY$164</definedName>
    <definedName name="v_45_GCO2">Model!$BR$164</definedName>
    <definedName name="v_45_GCO2_atm">Model!$BX$164</definedName>
    <definedName name="v_45_GH2">Model!$BT$164</definedName>
    <definedName name="v_45_GH2_atm">Model!$BZ$164</definedName>
    <definedName name="v_45_GN2">Model!$BW$164</definedName>
    <definedName name="v_45_GN2_atm">Model!$CC$164</definedName>
    <definedName name="v_45_GNH3">Model!$BV$164</definedName>
    <definedName name="v_45_GNH3_atm">Model!$CB$164</definedName>
    <definedName name="v_45_GO2">Model!$BU$164</definedName>
    <definedName name="v_45_GO2_atm">Model!$CA$164</definedName>
    <definedName name="v_45_H">Model!$BO$164</definedName>
    <definedName name="v_45_SALPHA">Model!$BP$164</definedName>
    <definedName name="v_45_SAN">Model!$AQ$164</definedName>
    <definedName name="v_45_SB">Model!$F$164</definedName>
    <definedName name="v_45_SCa">Model!$AR$164</definedName>
    <definedName name="v_45_SCAT">Model!$AP$164</definedName>
    <definedName name="v_45_SCH4">Model!$AL$164</definedName>
    <definedName name="v_45_SCO2">Model!$AN$164</definedName>
    <definedName name="v_45_SFe2">Model!$AU$164</definedName>
    <definedName name="v_45_SH2">Model!$AM$164</definedName>
    <definedName name="v_45_SK">Model!$AT$164</definedName>
    <definedName name="v_45_SMEOL">Model!$G$164</definedName>
    <definedName name="v_45_SMg">Model!$AS$164</definedName>
    <definedName name="v_45_SN_B">Model!$AC$164</definedName>
    <definedName name="v_45_SN2">Model!$AB$164</definedName>
    <definedName name="v_45_SNHx">Model!$Y$164</definedName>
    <definedName name="v_45_SNO2">Model!$Z$164</definedName>
    <definedName name="v_45_SNO3">Model!$AA$164</definedName>
    <definedName name="v_45_SO2">Model!$AK$164</definedName>
    <definedName name="v_45_SORPswitch">Model!$BQ$164</definedName>
    <definedName name="v_45_SP_B">Model!$AH$164</definedName>
    <definedName name="v_45_SPO4">Model!$AF$164</definedName>
    <definedName name="v_45_SU">Model!$J$164</definedName>
    <definedName name="v_45_SVFA">Model!$E$164</definedName>
    <definedName name="v_45_XACP">Model!$BK$164</definedName>
    <definedName name="v_45_XAMETO">Model!$W$164</definedName>
    <definedName name="v_45_XAMX">Model!$V$164</definedName>
    <definedName name="v_45_XAOB">Model!$T$164</definedName>
    <definedName name="v_45_XB">Model!$I$164</definedName>
    <definedName name="v_45_XBSH">Model!$BL$164</definedName>
    <definedName name="v_45_XCaCO3">Model!$BJ$164</definedName>
    <definedName name="v_45_XCASTO">Model!$R$164</definedName>
    <definedName name="v_45_XE">Model!$O$164</definedName>
    <definedName name="v_45_XE_ana">Model!$P$164</definedName>
    <definedName name="v_45_XGLY">Model!$N$164</definedName>
    <definedName name="v_45_XHAO_H">Model!$BC$164</definedName>
    <definedName name="v_45_XHAO_H_P">Model!$BF$164</definedName>
    <definedName name="v_45_XHAO_H_P_old">Model!$BH$164</definedName>
    <definedName name="v_45_XHAO_L">Model!$BD$164</definedName>
    <definedName name="v_45_XHAO_L_P">Model!$BG$164</definedName>
    <definedName name="v_45_XHAO_L_P_old">Model!$BI$164</definedName>
    <definedName name="v_45_XHAO_old">Model!$BE$164</definedName>
    <definedName name="v_45_XHFO_H">Model!$AV$164</definedName>
    <definedName name="v_45_XHFO_H_P">Model!$AY$164</definedName>
    <definedName name="v_45_XHFO_H_P_old">Model!$BA$164</definedName>
    <definedName name="v_45_XHFO_L">Model!$AW$164</definedName>
    <definedName name="v_45_XHFO_L_P">Model!$AZ$164</definedName>
    <definedName name="v_45_XHFO_L_P_old">Model!$BB$164</definedName>
    <definedName name="v_45_XHFO_old">Model!$AX$164</definedName>
    <definedName name="v_45_XHMETO">Model!$X$164</definedName>
    <definedName name="v_45_XINORG">Model!$AO$164</definedName>
    <definedName name="v_45_XMEOLO">Model!$S$164</definedName>
    <definedName name="v_45_XN_B">Model!$AD$164</definedName>
    <definedName name="v_45_XN_U">Model!$AE$164</definedName>
    <definedName name="v_45_XNOB">Model!$U$164</definedName>
    <definedName name="v_45_XOHO">Model!$Q$164</definedName>
    <definedName name="v_45_XP_B">Model!$AI$164</definedName>
    <definedName name="v_45_XP_U">Model!$AJ$164</definedName>
    <definedName name="v_45_XPHA">Model!$M$164</definedName>
    <definedName name="v_45_XPP">Model!$AG$164</definedName>
    <definedName name="v_45_XSTR">Model!$BM$164</definedName>
    <definedName name="v_45_XU">Model!$L$164</definedName>
    <definedName name="v_45_XVivi">Model!$BN$164</definedName>
    <definedName name="v_46_CB">Model!$H$165</definedName>
    <definedName name="v_46_CU">Model!$K$165</definedName>
    <definedName name="v_46_GCH4">Model!$BS$165</definedName>
    <definedName name="v_46_GCH4_atm">Model!$BY$165</definedName>
    <definedName name="v_46_GCO2">Model!$BR$165</definedName>
    <definedName name="v_46_GCO2_atm">Model!$BX$165</definedName>
    <definedName name="v_46_GH2">Model!$BT$165</definedName>
    <definedName name="v_46_GH2_atm">Model!$BZ$165</definedName>
    <definedName name="v_46_GN2">Model!$BW$165</definedName>
    <definedName name="v_46_GN2_atm">Model!$CC$165</definedName>
    <definedName name="v_46_GNH3">Model!$BV$165</definedName>
    <definedName name="v_46_GNH3_atm">Model!$CB$165</definedName>
    <definedName name="v_46_GO2">Model!$BU$165</definedName>
    <definedName name="v_46_GO2_atm">Model!$CA$165</definedName>
    <definedName name="v_46_H">Model!$BO$165</definedName>
    <definedName name="v_46_SALPHA">Model!$BP$165</definedName>
    <definedName name="v_46_SAN">Model!$AQ$165</definedName>
    <definedName name="v_46_SB">Model!$F$165</definedName>
    <definedName name="v_46_SCa">Model!$AR$165</definedName>
    <definedName name="v_46_SCAT">Model!$AP$165</definedName>
    <definedName name="v_46_SCH4">Model!$AL$165</definedName>
    <definedName name="v_46_SCO2">Model!$AN$165</definedName>
    <definedName name="v_46_SFe2">Model!$AU$165</definedName>
    <definedName name="v_46_SH2">Model!$AM$165</definedName>
    <definedName name="v_46_SK">Model!$AT$165</definedName>
    <definedName name="v_46_SMEOL">Model!$G$165</definedName>
    <definedName name="v_46_SMg">Model!$AS$165</definedName>
    <definedName name="v_46_SN_B">Model!$AC$165</definedName>
    <definedName name="v_46_SN2">Model!$AB$165</definedName>
    <definedName name="v_46_SNHx">Model!$Y$165</definedName>
    <definedName name="v_46_SNO2">Model!$Z$165</definedName>
    <definedName name="v_46_SNO3">Model!$AA$165</definedName>
    <definedName name="v_46_SO2">Model!$AK$165</definedName>
    <definedName name="v_46_SORPswitch">Model!$BQ$165</definedName>
    <definedName name="v_46_SP_B">Model!$AH$165</definedName>
    <definedName name="v_46_SPO4">Model!$AF$165</definedName>
    <definedName name="v_46_SU">Model!$J$165</definedName>
    <definedName name="v_46_SVFA">Model!$E$165</definedName>
    <definedName name="v_46_XACP">Model!$BK$165</definedName>
    <definedName name="v_46_XAMETO">Model!$W$165</definedName>
    <definedName name="v_46_XAMX">Model!$V$165</definedName>
    <definedName name="v_46_XAOB">Model!$T$165</definedName>
    <definedName name="v_46_XB">Model!$I$165</definedName>
    <definedName name="v_46_XBSH">Model!$BL$165</definedName>
    <definedName name="v_46_XCaCO3">Model!$BJ$165</definedName>
    <definedName name="v_46_XCASTO">Model!$R$165</definedName>
    <definedName name="v_46_XE">Model!$O$165</definedName>
    <definedName name="v_46_XE_ana">Model!$P$165</definedName>
    <definedName name="v_46_XGLY">Model!$N$165</definedName>
    <definedName name="v_46_XHAO_H">Model!$BC$165</definedName>
    <definedName name="v_46_XHAO_H_P">Model!$BF$165</definedName>
    <definedName name="v_46_XHAO_H_P_old">Model!$BH$165</definedName>
    <definedName name="v_46_XHAO_L">Model!$BD$165</definedName>
    <definedName name="v_46_XHAO_L_P">Model!$BG$165</definedName>
    <definedName name="v_46_XHAO_L_P_old">Model!$BI$165</definedName>
    <definedName name="v_46_XHAO_old">Model!$BE$165</definedName>
    <definedName name="v_46_XHFO_H">Model!$AV$165</definedName>
    <definedName name="v_46_XHFO_H_P">Model!$AY$165</definedName>
    <definedName name="v_46_XHFO_H_P_old">Model!$BA$165</definedName>
    <definedName name="v_46_XHFO_L">Model!$AW$165</definedName>
    <definedName name="v_46_XHFO_L_P">Model!$AZ$165</definedName>
    <definedName name="v_46_XHFO_L_P_old">Model!$BB$165</definedName>
    <definedName name="v_46_XHFO_old">Model!$AX$165</definedName>
    <definedName name="v_46_XHMETO">Model!$X$165</definedName>
    <definedName name="v_46_XINORG">Model!$AO$165</definedName>
    <definedName name="v_46_XMEOLO">Model!$S$165</definedName>
    <definedName name="v_46_XN_B">Model!$AD$165</definedName>
    <definedName name="v_46_XN_U">Model!$AE$165</definedName>
    <definedName name="v_46_XNOB">Model!$U$165</definedName>
    <definedName name="v_46_XOHO">Model!$Q$165</definedName>
    <definedName name="v_46_XP_B">Model!$AI$165</definedName>
    <definedName name="v_46_XP_U">Model!$AJ$165</definedName>
    <definedName name="v_46_XPHA">Model!$M$165</definedName>
    <definedName name="v_46_XPP">Model!$AG$165</definedName>
    <definedName name="v_46_XSTR">Model!$BM$165</definedName>
    <definedName name="v_46_XU">Model!$L$165</definedName>
    <definedName name="v_46_XVivi">Model!$BN$165</definedName>
    <definedName name="v_47_CB">Model!$H$166</definedName>
    <definedName name="v_47_CU">Model!$K$166</definedName>
    <definedName name="v_47_GCH4">Model!$BS$166</definedName>
    <definedName name="v_47_GCH4_atm">Model!$BY$166</definedName>
    <definedName name="v_47_GCO2">Model!$BR$166</definedName>
    <definedName name="v_47_GCO2_atm">Model!$BX$166</definedName>
    <definedName name="v_47_GH2">Model!$BT$166</definedName>
    <definedName name="v_47_GH2_atm">Model!$BZ$166</definedName>
    <definedName name="v_47_GN2">Model!$BW$166</definedName>
    <definedName name="v_47_GN2_atm">Model!$CC$166</definedName>
    <definedName name="v_47_GNH3">Model!$BV$166</definedName>
    <definedName name="v_47_GNH3_atm">Model!$CB$166</definedName>
    <definedName name="v_47_GO2">Model!$BU$166</definedName>
    <definedName name="v_47_GO2_atm">Model!$CA$166</definedName>
    <definedName name="v_47_H">Model!$BO$166</definedName>
    <definedName name="v_47_SALPHA">Model!$BP$166</definedName>
    <definedName name="v_47_SAN">Model!$AQ$166</definedName>
    <definedName name="v_47_SB">Model!$F$166</definedName>
    <definedName name="v_47_SCa">Model!$AR$166</definedName>
    <definedName name="v_47_SCAT">Model!$AP$166</definedName>
    <definedName name="v_47_SCH4">Model!$AL$166</definedName>
    <definedName name="v_47_SCO2">Model!$AN$166</definedName>
    <definedName name="v_47_SFe2">Model!$AU$166</definedName>
    <definedName name="v_47_SH2">Model!$AM$166</definedName>
    <definedName name="v_47_SK">Model!$AT$166</definedName>
    <definedName name="v_47_SMEOL">Model!$G$166</definedName>
    <definedName name="v_47_SMg">Model!$AS$166</definedName>
    <definedName name="v_47_SN_B">Model!$AC$166</definedName>
    <definedName name="v_47_SN2">Model!$AB$166</definedName>
    <definedName name="v_47_SNHx">Model!$Y$166</definedName>
    <definedName name="v_47_SNO2">Model!$Z$166</definedName>
    <definedName name="v_47_SNO3">Model!$AA$166</definedName>
    <definedName name="v_47_SO2">Model!$AK$166</definedName>
    <definedName name="v_47_SORPswitch">Model!$BQ$166</definedName>
    <definedName name="v_47_SP_B">Model!$AH$166</definedName>
    <definedName name="v_47_SPO4">Model!$AF$166</definedName>
    <definedName name="v_47_SU">Model!$J$166</definedName>
    <definedName name="v_47_SVFA">Model!$E$166</definedName>
    <definedName name="v_47_XACP">Model!$BK$166</definedName>
    <definedName name="v_47_XAMETO">Model!$W$166</definedName>
    <definedName name="v_47_XAMX">Model!$V$166</definedName>
    <definedName name="v_47_XAOB">Model!$T$166</definedName>
    <definedName name="v_47_XB">Model!$I$166</definedName>
    <definedName name="v_47_XBSH">Model!$BL$166</definedName>
    <definedName name="v_47_XCaCO3">Model!$BJ$166</definedName>
    <definedName name="v_47_XCASTO">Model!$R$166</definedName>
    <definedName name="v_47_XE">Model!$O$166</definedName>
    <definedName name="v_47_XE_ana">Model!$P$166</definedName>
    <definedName name="v_47_XGLY">Model!$N$166</definedName>
    <definedName name="v_47_XHAO_H">Model!$BC$166</definedName>
    <definedName name="v_47_XHAO_H_P">Model!$BF$166</definedName>
    <definedName name="v_47_XHAO_H_P_old">Model!$BH$166</definedName>
    <definedName name="v_47_XHAO_L">Model!$BD$166</definedName>
    <definedName name="v_47_XHAO_L_P">Model!$BG$166</definedName>
    <definedName name="v_47_XHAO_L_P_old">Model!$BI$166</definedName>
    <definedName name="v_47_XHAO_old">Model!$BE$166</definedName>
    <definedName name="v_47_XHFO_H">Model!$AV$166</definedName>
    <definedName name="v_47_XHFO_H_P">Model!$AY$166</definedName>
    <definedName name="v_47_XHFO_H_P_old">Model!$BA$166</definedName>
    <definedName name="v_47_XHFO_L">Model!$AW$166</definedName>
    <definedName name="v_47_XHFO_L_P">Model!$AZ$166</definedName>
    <definedName name="v_47_XHFO_L_P_old">Model!$BB$166</definedName>
    <definedName name="v_47_XHFO_old">Model!$AX$166</definedName>
    <definedName name="v_47_XHMETO">Model!$X$166</definedName>
    <definedName name="v_47_XINORG">Model!$AO$166</definedName>
    <definedName name="v_47_XMEOLO">Model!$S$166</definedName>
    <definedName name="v_47_XN_B">Model!$AD$166</definedName>
    <definedName name="v_47_XN_U">Model!$AE$166</definedName>
    <definedName name="v_47_XNOB">Model!$U$166</definedName>
    <definedName name="v_47_XOHO">Model!$Q$166</definedName>
    <definedName name="v_47_XP_B">Model!$AI$166</definedName>
    <definedName name="v_47_XP_U">Model!$AJ$166</definedName>
    <definedName name="v_47_XPHA">Model!$M$166</definedName>
    <definedName name="v_47_XPP">Model!$AG$166</definedName>
    <definedName name="v_47_XSTR">Model!$BM$166</definedName>
    <definedName name="v_47_XU">Model!$L$166</definedName>
    <definedName name="v_47_XVivi">Model!$BN$166</definedName>
    <definedName name="v_48_CB">Model!$H$167</definedName>
    <definedName name="v_48_CU">Model!$K$167</definedName>
    <definedName name="v_48_GCH4">Model!$BS$167</definedName>
    <definedName name="v_48_GCH4_atm">Model!$BY$167</definedName>
    <definedName name="v_48_GCO2">Model!$BR$167</definedName>
    <definedName name="v_48_GCO2_atm">Model!$BX$167</definedName>
    <definedName name="v_48_GH2">Model!$BT$167</definedName>
    <definedName name="v_48_GH2_atm">Model!$BZ$167</definedName>
    <definedName name="v_48_GN2">Model!$BW$167</definedName>
    <definedName name="v_48_GN2_atm">Model!$CC$167</definedName>
    <definedName name="v_48_GNH3">Model!$BV$167</definedName>
    <definedName name="v_48_GNH3_atm">Model!$CB$167</definedName>
    <definedName name="v_48_GO2">Model!$BU$167</definedName>
    <definedName name="v_48_GO2_atm">Model!$CA$167</definedName>
    <definedName name="v_48_H">Model!$BO$167</definedName>
    <definedName name="v_48_SALPHA">Model!$BP$167</definedName>
    <definedName name="v_48_SAN">Model!$AQ$167</definedName>
    <definedName name="v_48_SB">Model!$F$167</definedName>
    <definedName name="v_48_SCa">Model!$AR$167</definedName>
    <definedName name="v_48_SCAT">Model!$AP$167</definedName>
    <definedName name="v_48_SCH4">Model!$AL$167</definedName>
    <definedName name="v_48_SCO2">Model!$AN$167</definedName>
    <definedName name="v_48_SFe2">Model!$AU$167</definedName>
    <definedName name="v_48_SH2">Model!$AM$167</definedName>
    <definedName name="v_48_SK">Model!$AT$167</definedName>
    <definedName name="v_48_SMEOL">Model!$G$167</definedName>
    <definedName name="v_48_SMg">Model!$AS$167</definedName>
    <definedName name="v_48_SN_B">Model!$AC$167</definedName>
    <definedName name="v_48_SN2">Model!$AB$167</definedName>
    <definedName name="v_48_SNHx">Model!$Y$167</definedName>
    <definedName name="v_48_SNO2">Model!$Z$167</definedName>
    <definedName name="v_48_SNO3">Model!$AA$167</definedName>
    <definedName name="v_48_SO2">Model!$AK$167</definedName>
    <definedName name="v_48_SORPswitch">Model!$BQ$167</definedName>
    <definedName name="v_48_SP_B">Model!$AH$167</definedName>
    <definedName name="v_48_SPO4">Model!$AF$167</definedName>
    <definedName name="v_48_SU">Model!$J$167</definedName>
    <definedName name="v_48_SVFA">Model!$E$167</definedName>
    <definedName name="v_48_XACP">Model!$BK$167</definedName>
    <definedName name="v_48_XAMETO">Model!$W$167</definedName>
    <definedName name="v_48_XAMX">Model!$V$167</definedName>
    <definedName name="v_48_XAOB">Model!$T$167</definedName>
    <definedName name="v_48_XB">Model!$I$167</definedName>
    <definedName name="v_48_XBSH">Model!$BL$167</definedName>
    <definedName name="v_48_XCaCO3">Model!$BJ$167</definedName>
    <definedName name="v_48_XCASTO">Model!$R$167</definedName>
    <definedName name="v_48_XE">Model!$O$167</definedName>
    <definedName name="v_48_XE_ana">Model!$P$167</definedName>
    <definedName name="v_48_XGLY">Model!$N$167</definedName>
    <definedName name="v_48_XHAO_H">Model!$BC$167</definedName>
    <definedName name="v_48_XHAO_H_P">Model!$BF$167</definedName>
    <definedName name="v_48_XHAO_H_P_old">Model!$BH$167</definedName>
    <definedName name="v_48_XHAO_L">Model!$BD$167</definedName>
    <definedName name="v_48_XHAO_L_P">Model!$BG$167</definedName>
    <definedName name="v_48_XHAO_L_P_old">Model!$BI$167</definedName>
    <definedName name="v_48_XHAO_old">Model!$BE$167</definedName>
    <definedName name="v_48_XHFO_H">Model!$AV$167</definedName>
    <definedName name="v_48_XHFO_H_P">Model!$AY$167</definedName>
    <definedName name="v_48_XHFO_H_P_old">Model!$BA$167</definedName>
    <definedName name="v_48_XHFO_L">Model!$AW$167</definedName>
    <definedName name="v_48_XHFO_L_P">Model!$AZ$167</definedName>
    <definedName name="v_48_XHFO_L_P_old">Model!$BB$167</definedName>
    <definedName name="v_48_XHFO_old">Model!$AX$167</definedName>
    <definedName name="v_48_XHMETO">Model!$X$167</definedName>
    <definedName name="v_48_XINORG">Model!$AO$167</definedName>
    <definedName name="v_48_XMEOLO">Model!$S$167</definedName>
    <definedName name="v_48_XN_B">Model!$AD$167</definedName>
    <definedName name="v_48_XN_U">Model!$AE$167</definedName>
    <definedName name="v_48_XNOB">Model!$U$167</definedName>
    <definedName name="v_48_XOHO">Model!$Q$167</definedName>
    <definedName name="v_48_XP_B">Model!$AI$167</definedName>
    <definedName name="v_48_XP_U">Model!$AJ$167</definedName>
    <definedName name="v_48_XPHA">Model!$M$167</definedName>
    <definedName name="v_48_XPP">Model!$AG$167</definedName>
    <definedName name="v_48_XSTR">Model!$BM$167</definedName>
    <definedName name="v_48_XU">Model!$L$167</definedName>
    <definedName name="v_48_XVivi">Model!$BN$167</definedName>
    <definedName name="v_49_CB">Model!$H$168</definedName>
    <definedName name="v_49_CU">Model!$K$168</definedName>
    <definedName name="v_49_GCH4">Model!$BS$168</definedName>
    <definedName name="v_49_GCH4_atm">Model!$BY$168</definedName>
    <definedName name="v_49_GCO2">Model!$BR$168</definedName>
    <definedName name="v_49_GCO2_atm">Model!$BX$168</definedName>
    <definedName name="v_49_GH2">Model!$BT$168</definedName>
    <definedName name="v_49_GH2_atm">Model!$BZ$168</definedName>
    <definedName name="v_49_GN2">Model!$BW$168</definedName>
    <definedName name="v_49_GN2_atm">Model!$CC$168</definedName>
    <definedName name="v_49_GNH3">Model!$BV$168</definedName>
    <definedName name="v_49_GNH3_atm">Model!$CB$168</definedName>
    <definedName name="v_49_GO2">Model!$BU$168</definedName>
    <definedName name="v_49_GO2_atm">Model!$CA$168</definedName>
    <definedName name="v_49_H">Model!$BO$168</definedName>
    <definedName name="v_49_SALPHA">Model!$BP$168</definedName>
    <definedName name="v_49_SAN">Model!$AQ$168</definedName>
    <definedName name="v_49_SB">Model!$F$168</definedName>
    <definedName name="v_49_SCa">Model!$AR$168</definedName>
    <definedName name="v_49_SCAT">Model!$AP$168</definedName>
    <definedName name="v_49_SCH4">Model!$AL$168</definedName>
    <definedName name="v_49_SCO2">Model!$AN$168</definedName>
    <definedName name="v_49_SFe2">Model!$AU$168</definedName>
    <definedName name="v_49_SH2">Model!$AM$168</definedName>
    <definedName name="v_49_SK">Model!$AT$168</definedName>
    <definedName name="v_49_SMEOL">Model!$G$168</definedName>
    <definedName name="v_49_SMg">Model!$AS$168</definedName>
    <definedName name="v_49_SN_B">Model!$AC$168</definedName>
    <definedName name="v_49_SN2">Model!$AB$168</definedName>
    <definedName name="v_49_SNHx">Model!$Y$168</definedName>
    <definedName name="v_49_SNO2">Model!$Z$168</definedName>
    <definedName name="v_49_SNO3">Model!$AA$168</definedName>
    <definedName name="v_49_SO2">Model!$AK$168</definedName>
    <definedName name="v_49_SORPswitch">Model!$BQ$168</definedName>
    <definedName name="v_49_SP_B">Model!$AH$168</definedName>
    <definedName name="v_49_SPO4">Model!$AF$168</definedName>
    <definedName name="v_49_SU">Model!$J$168</definedName>
    <definedName name="v_49_SVFA">Model!$E$168</definedName>
    <definedName name="v_49_XACP">Model!$BK$168</definedName>
    <definedName name="v_49_XAMETO">Model!$W$168</definedName>
    <definedName name="v_49_XAMX">Model!$V$168</definedName>
    <definedName name="v_49_XAOB">Model!$T$168</definedName>
    <definedName name="v_49_XB">Model!$I$168</definedName>
    <definedName name="v_49_XBSH">Model!$BL$168</definedName>
    <definedName name="v_49_XCaCO3">Model!$BJ$168</definedName>
    <definedName name="v_49_XCASTO">Model!$R$168</definedName>
    <definedName name="v_49_XE">Model!$O$168</definedName>
    <definedName name="v_49_XE_ana">Model!$P$168</definedName>
    <definedName name="v_49_XGLY">Model!$N$168</definedName>
    <definedName name="v_49_XHAO_H">Model!$BC$168</definedName>
    <definedName name="v_49_XHAO_H_P">Model!$BF$168</definedName>
    <definedName name="v_49_XHAO_H_P_old">Model!$BH$168</definedName>
    <definedName name="v_49_XHAO_L">Model!$BD$168</definedName>
    <definedName name="v_49_XHAO_L_P">Model!$BG$168</definedName>
    <definedName name="v_49_XHAO_L_P_old">Model!$BI$168</definedName>
    <definedName name="v_49_XHAO_old">Model!$BE$168</definedName>
    <definedName name="v_49_XHFO_H">Model!$AV$168</definedName>
    <definedName name="v_49_XHFO_H_P">Model!$AY$168</definedName>
    <definedName name="v_49_XHFO_H_P_old">Model!$BA$168</definedName>
    <definedName name="v_49_XHFO_L">Model!$AW$168</definedName>
    <definedName name="v_49_XHFO_L_P">Model!$AZ$168</definedName>
    <definedName name="v_49_XHFO_L_P_old">Model!$BB$168</definedName>
    <definedName name="v_49_XHFO_old">Model!$AX$168</definedName>
    <definedName name="v_49_XHMETO">Model!$X$168</definedName>
    <definedName name="v_49_XINORG">Model!$AO$168</definedName>
    <definedName name="v_49_XMEOLO">Model!$S$168</definedName>
    <definedName name="v_49_XN_B">Model!$AD$168</definedName>
    <definedName name="v_49_XN_U">Model!$AE$168</definedName>
    <definedName name="v_49_XNOB">Model!$U$168</definedName>
    <definedName name="v_49_XOHO">Model!$Q$168</definedName>
    <definedName name="v_49_XP_B">Model!$AI$168</definedName>
    <definedName name="v_49_XP_U">Model!$AJ$168</definedName>
    <definedName name="v_49_XPHA">Model!$M$168</definedName>
    <definedName name="v_49_XPP">Model!$AG$168</definedName>
    <definedName name="v_49_XSTR">Model!$BM$168</definedName>
    <definedName name="v_49_XU">Model!$L$168</definedName>
    <definedName name="v_49_XVivi">Model!$BN$168</definedName>
    <definedName name="v_5_CB">Model!$H$124</definedName>
    <definedName name="v_5_CU">Model!$K$124</definedName>
    <definedName name="v_5_GCH4">Model!$BS$124</definedName>
    <definedName name="v_5_GCH4_atm">Model!$BY$124</definedName>
    <definedName name="v_5_GCO2">Model!$BR$124</definedName>
    <definedName name="v_5_GCO2_atm">Model!$BX$124</definedName>
    <definedName name="v_5_GH2">Model!$BT$124</definedName>
    <definedName name="v_5_GH2_atm">Model!$BZ$124</definedName>
    <definedName name="v_5_GN2">Model!$BW$124</definedName>
    <definedName name="v_5_GN2_atm">Model!$CC$124</definedName>
    <definedName name="v_5_GNH3">Model!$BV$124</definedName>
    <definedName name="v_5_GNH3_atm">Model!$CB$124</definedName>
    <definedName name="v_5_GO2">Model!$BU$124</definedName>
    <definedName name="v_5_GO2_atm">Model!$CA$124</definedName>
    <definedName name="v_5_H">Model!$BO$124</definedName>
    <definedName name="v_5_SALPHA">Model!$BP$124</definedName>
    <definedName name="v_5_SAN">Model!$AQ$124</definedName>
    <definedName name="v_5_SB">Model!$F$124</definedName>
    <definedName name="v_5_SCa">Model!$AR$124</definedName>
    <definedName name="v_5_SCAT">Model!$AP$124</definedName>
    <definedName name="v_5_SCH4">Model!$AL$124</definedName>
    <definedName name="v_5_SCO2">Model!$AN$124</definedName>
    <definedName name="v_5_SFe2">Model!$AU$124</definedName>
    <definedName name="v_5_SH2">Model!$AM$124</definedName>
    <definedName name="v_5_SK">Model!$AT$124</definedName>
    <definedName name="v_5_SMEOL">Model!$G$124</definedName>
    <definedName name="v_5_SMg">Model!$AS$124</definedName>
    <definedName name="v_5_SN_B">Model!$AC$124</definedName>
    <definedName name="v_5_SN2">Model!$AB$124</definedName>
    <definedName name="v_5_SNHx">Model!$Y$124</definedName>
    <definedName name="v_5_SNO2">Model!$Z$124</definedName>
    <definedName name="v_5_SNO3">Model!$AA$124</definedName>
    <definedName name="v_5_SO2">Model!$AK$124</definedName>
    <definedName name="v_5_SORPswitch">Model!$BQ$124</definedName>
    <definedName name="v_5_SP_B">Model!$AH$124</definedName>
    <definedName name="v_5_SPO4">Model!$AF$124</definedName>
    <definedName name="v_5_SU">Model!$J$124</definedName>
    <definedName name="v_5_SVFA">Model!$E$124</definedName>
    <definedName name="v_5_XACP">Model!$BK$124</definedName>
    <definedName name="v_5_XAMETO">Model!$W$124</definedName>
    <definedName name="v_5_XAMX">Model!$V$124</definedName>
    <definedName name="v_5_XAOB">Model!$T$124</definedName>
    <definedName name="v_5_XB">Model!$I$124</definedName>
    <definedName name="v_5_XBSH">Model!$BL$124</definedName>
    <definedName name="v_5_XCaCO3">Model!$BJ$124</definedName>
    <definedName name="v_5_XCASTO">Model!$R$124</definedName>
    <definedName name="v_5_XE">Model!$O$124</definedName>
    <definedName name="v_5_XE_ana">Model!$P$124</definedName>
    <definedName name="v_5_XGLY">Model!$N$124</definedName>
    <definedName name="v_5_XHAO_H">Model!$BC$124</definedName>
    <definedName name="v_5_XHAO_H_P">Model!$BF$124</definedName>
    <definedName name="v_5_XHAO_H_P_old">Model!$BH$124</definedName>
    <definedName name="v_5_XHAO_L">Model!$BD$124</definedName>
    <definedName name="v_5_XHAO_L_P">Model!$BG$124</definedName>
    <definedName name="v_5_XHAO_L_P_old">Model!$BI$124</definedName>
    <definedName name="v_5_XHAO_old">Model!$BE$124</definedName>
    <definedName name="v_5_XHFO_H">Model!$AV$124</definedName>
    <definedName name="v_5_XHFO_H_P">Model!$AY$124</definedName>
    <definedName name="v_5_XHFO_H_P_old">Model!$BA$124</definedName>
    <definedName name="v_5_XHFO_L">Model!$AW$124</definedName>
    <definedName name="v_5_XHFO_L_P">Model!$AZ$124</definedName>
    <definedName name="v_5_XHFO_L_P_old">Model!$BB$124</definedName>
    <definedName name="v_5_XHFO_old">Model!$AX$124</definedName>
    <definedName name="v_5_XHMETO">Model!$X$124</definedName>
    <definedName name="v_5_XINORG">Model!$AO$124</definedName>
    <definedName name="v_5_XMEOLO">Model!$S$124</definedName>
    <definedName name="v_5_XN_B">Model!$AD$124</definedName>
    <definedName name="v_5_XN_U">Model!$AE$124</definedName>
    <definedName name="v_5_XNOB">Model!$U$124</definedName>
    <definedName name="v_5_XOHO">Model!$Q$124</definedName>
    <definedName name="v_5_XP_B">Model!$AI$124</definedName>
    <definedName name="v_5_XP_U">Model!$AJ$124</definedName>
    <definedName name="v_5_XPHA">Model!$M$124</definedName>
    <definedName name="v_5_XPP">Model!$AG$124</definedName>
    <definedName name="v_5_XSTR">Model!$BM$124</definedName>
    <definedName name="v_5_XU">Model!$L$124</definedName>
    <definedName name="v_5_XVivi">Model!$BN$124</definedName>
    <definedName name="v_50_CB">Model!$H$169</definedName>
    <definedName name="v_50_CU">Model!$K$169</definedName>
    <definedName name="v_50_GCH4">Model!$BS$169</definedName>
    <definedName name="v_50_GCH4_atm">Model!$BY$169</definedName>
    <definedName name="v_50_GCO2">Model!$BR$169</definedName>
    <definedName name="v_50_GCO2_atm">Model!$BX$169</definedName>
    <definedName name="v_50_GH2">Model!$BT$169</definedName>
    <definedName name="v_50_GH2_atm">Model!$BZ$169</definedName>
    <definedName name="v_50_GN2">Model!$BW$169</definedName>
    <definedName name="v_50_GN2_atm">Model!$CC$169</definedName>
    <definedName name="v_50_GNH3">Model!$BV$169</definedName>
    <definedName name="v_50_GNH3_atm">Model!$CB$169</definedName>
    <definedName name="v_50_GO2">Model!$BU$169</definedName>
    <definedName name="v_50_GO2_atm">Model!$CA$169</definedName>
    <definedName name="v_50_H">Model!$BO$169</definedName>
    <definedName name="v_50_SALPHA">Model!$BP$169</definedName>
    <definedName name="v_50_SAN">Model!$AQ$169</definedName>
    <definedName name="v_50_SB">Model!$F$169</definedName>
    <definedName name="v_50_SCa">Model!$AR$169</definedName>
    <definedName name="v_50_SCAT">Model!$AP$169</definedName>
    <definedName name="v_50_SCH4">Model!$AL$169</definedName>
    <definedName name="v_50_SCO2">Model!$AN$169</definedName>
    <definedName name="v_50_SFe2">Model!$AU$169</definedName>
    <definedName name="v_50_SH2">Model!$AM$169</definedName>
    <definedName name="v_50_SK">Model!$AT$169</definedName>
    <definedName name="v_50_SMEOL">Model!$G$169</definedName>
    <definedName name="v_50_SMg">Model!$AS$169</definedName>
    <definedName name="v_50_SN_B">Model!$AC$169</definedName>
    <definedName name="v_50_SN2">Model!$AB$169</definedName>
    <definedName name="v_50_SNHx">Model!$Y$169</definedName>
    <definedName name="v_50_SNO2">Model!$Z$169</definedName>
    <definedName name="v_50_SNO3">Model!$AA$169</definedName>
    <definedName name="v_50_SO2">Model!$AK$169</definedName>
    <definedName name="v_50_SORPswitch">Model!$BQ$169</definedName>
    <definedName name="v_50_SP_B">Model!$AH$169</definedName>
    <definedName name="v_50_SPO4">Model!$AF$169</definedName>
    <definedName name="v_50_SU">Model!$J$169</definedName>
    <definedName name="v_50_SVFA">Model!$E$169</definedName>
    <definedName name="v_50_XACP">Model!$BK$169</definedName>
    <definedName name="v_50_XAMETO">Model!$W$169</definedName>
    <definedName name="v_50_XAMX">Model!$V$169</definedName>
    <definedName name="v_50_XAOB">Model!$T$169</definedName>
    <definedName name="v_50_XB">Model!$I$169</definedName>
    <definedName name="v_50_XBSH">Model!$BL$169</definedName>
    <definedName name="v_50_XCaCO3">Model!$BJ$169</definedName>
    <definedName name="v_50_XCASTO">Model!$R$169</definedName>
    <definedName name="v_50_XE">Model!$O$169</definedName>
    <definedName name="v_50_XE_ana">Model!$P$169</definedName>
    <definedName name="v_50_XGLY">Model!$N$169</definedName>
    <definedName name="v_50_XHAO_H">Model!$BC$169</definedName>
    <definedName name="v_50_XHAO_H_P">Model!$BF$169</definedName>
    <definedName name="v_50_XHAO_H_P_old">Model!$BH$169</definedName>
    <definedName name="v_50_XHAO_L">Model!$BD$169</definedName>
    <definedName name="v_50_XHAO_L_P">Model!$BG$169</definedName>
    <definedName name="v_50_XHAO_L_P_old">Model!$BI$169</definedName>
    <definedName name="v_50_XHAO_old">Model!$BE$169</definedName>
    <definedName name="v_50_XHFO_H">Model!$AV$169</definedName>
    <definedName name="v_50_XHFO_H_P">Model!$AY$169</definedName>
    <definedName name="v_50_XHFO_H_P_old">Model!$BA$169</definedName>
    <definedName name="v_50_XHFO_L">Model!$AW$169</definedName>
    <definedName name="v_50_XHFO_L_P">Model!$AZ$169</definedName>
    <definedName name="v_50_XHFO_L_P_old">Model!$BB$169</definedName>
    <definedName name="v_50_XHFO_old">Model!$AX$169</definedName>
    <definedName name="v_50_XHMETO">Model!$X$169</definedName>
    <definedName name="v_50_XINORG">Model!$AO$169</definedName>
    <definedName name="v_50_XMEOLO">Model!$S$169</definedName>
    <definedName name="v_50_XN_B">Model!$AD$169</definedName>
    <definedName name="v_50_XN_U">Model!$AE$169</definedName>
    <definedName name="v_50_XNOB">Model!$U$169</definedName>
    <definedName name="v_50_XOHO">Model!$Q$169</definedName>
    <definedName name="v_50_XP_B">Model!$AI$169</definedName>
    <definedName name="v_50_XP_U">Model!$AJ$169</definedName>
    <definedName name="v_50_XPHA">Model!$M$169</definedName>
    <definedName name="v_50_XPP">Model!$AG$169</definedName>
    <definedName name="v_50_XSTR">Model!$BM$169</definedName>
    <definedName name="v_50_XU">Model!$L$169</definedName>
    <definedName name="v_50_XVivi">Model!$BN$169</definedName>
    <definedName name="v_51_CB">Model!$H$170</definedName>
    <definedName name="v_51_CU">Model!$K$170</definedName>
    <definedName name="v_51_GCH4">Model!$BS$170</definedName>
    <definedName name="v_51_GCH4_atm">Model!$BY$170</definedName>
    <definedName name="v_51_GCO2">Model!$BR$170</definedName>
    <definedName name="v_51_GCO2_atm">Model!$BX$170</definedName>
    <definedName name="v_51_GH2">Model!$BT$170</definedName>
    <definedName name="v_51_GH2_atm">Model!$BZ$170</definedName>
    <definedName name="v_51_GN2">Model!$BW$170</definedName>
    <definedName name="v_51_GN2_atm">Model!$CC$170</definedName>
    <definedName name="v_51_GNH3">Model!$BV$170</definedName>
    <definedName name="v_51_GNH3_atm">Model!$CB$170</definedName>
    <definedName name="v_51_GO2">Model!$BU$170</definedName>
    <definedName name="v_51_GO2_atm">Model!$CA$170</definedName>
    <definedName name="v_51_H">Model!$BO$170</definedName>
    <definedName name="v_51_SALPHA">Model!$BP$170</definedName>
    <definedName name="v_51_SAN">Model!$AQ$170</definedName>
    <definedName name="v_51_SB">Model!$F$170</definedName>
    <definedName name="v_51_SCa">Model!$AR$170</definedName>
    <definedName name="v_51_SCAT">Model!$AP$170</definedName>
    <definedName name="v_51_SCH4">Model!$AL$170</definedName>
    <definedName name="v_51_SCO2">Model!$AN$170</definedName>
    <definedName name="v_51_SFe2">Model!$AU$170</definedName>
    <definedName name="v_51_SH2">Model!$AM$170</definedName>
    <definedName name="v_51_SK">Model!$AT$170</definedName>
    <definedName name="v_51_SMEOL">Model!$G$170</definedName>
    <definedName name="v_51_SMg">Model!$AS$170</definedName>
    <definedName name="v_51_SN_B">Model!$AC$170</definedName>
    <definedName name="v_51_SN2">Model!$AB$170</definedName>
    <definedName name="v_51_SNHx">Model!$Y$170</definedName>
    <definedName name="v_51_SNO2">Model!$Z$170</definedName>
    <definedName name="v_51_SNO3">Model!$AA$170</definedName>
    <definedName name="v_51_SO2">Model!$AK$170</definedName>
    <definedName name="v_51_SORPswitch">Model!$BQ$170</definedName>
    <definedName name="v_51_SP_B">Model!$AH$170</definedName>
    <definedName name="v_51_SPO4">Model!$AF$170</definedName>
    <definedName name="v_51_SU">Model!$J$170</definedName>
    <definedName name="v_51_SVFA">Model!$E$170</definedName>
    <definedName name="v_51_XACP">Model!$BK$170</definedName>
    <definedName name="v_51_XAMETO">Model!$W$170</definedName>
    <definedName name="v_51_XAMX">Model!$V$170</definedName>
    <definedName name="v_51_XAOB">Model!$T$170</definedName>
    <definedName name="v_51_XB">Model!$I$170</definedName>
    <definedName name="v_51_XBSH">Model!$BL$170</definedName>
    <definedName name="v_51_XCaCO3">Model!$BJ$170</definedName>
    <definedName name="v_51_XCASTO">Model!$R$170</definedName>
    <definedName name="v_51_XE">Model!$O$170</definedName>
    <definedName name="v_51_XE_ana">Model!$P$170</definedName>
    <definedName name="v_51_XGLY">Model!$N$170</definedName>
    <definedName name="v_51_XHAO_H">Model!$BC$170</definedName>
    <definedName name="v_51_XHAO_H_P">Model!$BF$170</definedName>
    <definedName name="v_51_XHAO_H_P_old">Model!$BH$170</definedName>
    <definedName name="v_51_XHAO_L">Model!$BD$170</definedName>
    <definedName name="v_51_XHAO_L_P">Model!$BG$170</definedName>
    <definedName name="v_51_XHAO_L_P_old">Model!$BI$170</definedName>
    <definedName name="v_51_XHAO_old">Model!$BE$170</definedName>
    <definedName name="v_51_XHFO_H">Model!$AV$170</definedName>
    <definedName name="v_51_XHFO_H_P">Model!$AY$170</definedName>
    <definedName name="v_51_XHFO_H_P_old">Model!$BA$170</definedName>
    <definedName name="v_51_XHFO_L">Model!$AW$170</definedName>
    <definedName name="v_51_XHFO_L_P">Model!$AZ$170</definedName>
    <definedName name="v_51_XHFO_L_P_old">Model!$BB$170</definedName>
    <definedName name="v_51_XHFO_old">Model!$AX$170</definedName>
    <definedName name="v_51_XHMETO">Model!$X$170</definedName>
    <definedName name="v_51_XINORG">Model!$AO$170</definedName>
    <definedName name="v_51_XMEOLO">Model!$S$170</definedName>
    <definedName name="v_51_XN_B">Model!$AD$170</definedName>
    <definedName name="v_51_XN_U">Model!$AE$170</definedName>
    <definedName name="v_51_XNOB">Model!$U$170</definedName>
    <definedName name="v_51_XOHO">Model!$Q$170</definedName>
    <definedName name="v_51_XP_B">Model!$AI$170</definedName>
    <definedName name="v_51_XP_U">Model!$AJ$170</definedName>
    <definedName name="v_51_XPHA">Model!$M$170</definedName>
    <definedName name="v_51_XPP">Model!$AG$170</definedName>
    <definedName name="v_51_XSTR">Model!$BM$170</definedName>
    <definedName name="v_51_XU">Model!$L$170</definedName>
    <definedName name="v_51_XVivi">Model!$BN$170</definedName>
    <definedName name="v_52_CB">Model!$H$171</definedName>
    <definedName name="v_52_CU">Model!$K$171</definedName>
    <definedName name="v_52_GCH4">Model!$BS$171</definedName>
    <definedName name="v_52_GCH4_atm">Model!$BY$171</definedName>
    <definedName name="v_52_GCO2">Model!$BR$171</definedName>
    <definedName name="v_52_GCO2_atm">Model!$BX$171</definedName>
    <definedName name="v_52_GH2">Model!$BT$171</definedName>
    <definedName name="v_52_GH2_atm">Model!$BZ$171</definedName>
    <definedName name="v_52_GN2">Model!$BW$171</definedName>
    <definedName name="v_52_GN2_atm">Model!$CC$171</definedName>
    <definedName name="v_52_GNH3">Model!$BV$171</definedName>
    <definedName name="v_52_GNH3_atm">Model!$CB$171</definedName>
    <definedName name="v_52_GO2">Model!$BU$171</definedName>
    <definedName name="v_52_GO2_atm">Model!$CA$171</definedName>
    <definedName name="v_52_H">Model!$BO$171</definedName>
    <definedName name="v_52_SALPHA">Model!$BP$171</definedName>
    <definedName name="v_52_SAN">Model!$AQ$171</definedName>
    <definedName name="v_52_SB">Model!$F$171</definedName>
    <definedName name="v_52_SCa">Model!$AR$171</definedName>
    <definedName name="v_52_SCAT">Model!$AP$171</definedName>
    <definedName name="v_52_SCH4">Model!$AL$171</definedName>
    <definedName name="v_52_SCO2">Model!$AN$171</definedName>
    <definedName name="v_52_SFe2">Model!$AU$171</definedName>
    <definedName name="v_52_SH2">Model!$AM$171</definedName>
    <definedName name="v_52_SK">Model!$AT$171</definedName>
    <definedName name="v_52_SMEOL">Model!$G$171</definedName>
    <definedName name="v_52_SMg">Model!$AS$171</definedName>
    <definedName name="v_52_SN_B">Model!$AC$171</definedName>
    <definedName name="v_52_SN2">Model!$AB$171</definedName>
    <definedName name="v_52_SNHx">Model!$Y$171</definedName>
    <definedName name="v_52_SNO2">Model!$Z$171</definedName>
    <definedName name="v_52_SNO3">Model!$AA$171</definedName>
    <definedName name="v_52_SO2">Model!$AK$171</definedName>
    <definedName name="v_52_SORPswitch">Model!$BQ$171</definedName>
    <definedName name="v_52_SP_B">Model!$AH$171</definedName>
    <definedName name="v_52_SPO4">Model!$AF$171</definedName>
    <definedName name="v_52_SU">Model!$J$171</definedName>
    <definedName name="v_52_SVFA">Model!$E$171</definedName>
    <definedName name="v_52_XACP">Model!$BK$171</definedName>
    <definedName name="v_52_XAMETO">Model!$W$171</definedName>
    <definedName name="v_52_XAMX">Model!$V$171</definedName>
    <definedName name="v_52_XAOB">Model!$T$171</definedName>
    <definedName name="v_52_XB">Model!$I$171</definedName>
    <definedName name="v_52_XBSH">Model!$BL$171</definedName>
    <definedName name="v_52_XCaCO3">Model!$BJ$171</definedName>
    <definedName name="v_52_XCASTO">Model!$R$171</definedName>
    <definedName name="v_52_XE">Model!$O$171</definedName>
    <definedName name="v_52_XE_ana">Model!$P$171</definedName>
    <definedName name="v_52_XGLY">Model!$N$171</definedName>
    <definedName name="v_52_XHAO_H">Model!$BC$171</definedName>
    <definedName name="v_52_XHAO_H_P">Model!$BF$171</definedName>
    <definedName name="v_52_XHAO_H_P_old">Model!$BH$171</definedName>
    <definedName name="v_52_XHAO_L">Model!$BD$171</definedName>
    <definedName name="v_52_XHAO_L_P">Model!$BG$171</definedName>
    <definedName name="v_52_XHAO_L_P_old">Model!$BI$171</definedName>
    <definedName name="v_52_XHAO_old">Model!$BE$171</definedName>
    <definedName name="v_52_XHFO_H">Model!$AV$171</definedName>
    <definedName name="v_52_XHFO_H_P">Model!$AY$171</definedName>
    <definedName name="v_52_XHFO_H_P_old">Model!$BA$171</definedName>
    <definedName name="v_52_XHFO_L">Model!$AW$171</definedName>
    <definedName name="v_52_XHFO_L_P">Model!$AZ$171</definedName>
    <definedName name="v_52_XHFO_L_P_old">Model!$BB$171</definedName>
    <definedName name="v_52_XHFO_old">Model!$AX$171</definedName>
    <definedName name="v_52_XHMETO">Model!$X$171</definedName>
    <definedName name="v_52_XINORG">Model!$AO$171</definedName>
    <definedName name="v_52_XMEOLO">Model!$S$171</definedName>
    <definedName name="v_52_XN_B">Model!$AD$171</definedName>
    <definedName name="v_52_XN_U">Model!$AE$171</definedName>
    <definedName name="v_52_XNOB">Model!$U$171</definedName>
    <definedName name="v_52_XOHO">Model!$Q$171</definedName>
    <definedName name="v_52_XP_B">Model!$AI$171</definedName>
    <definedName name="v_52_XP_U">Model!$AJ$171</definedName>
    <definedName name="v_52_XPHA">Model!$M$171</definedName>
    <definedName name="v_52_XPP">Model!$AG$171</definedName>
    <definedName name="v_52_XSTR">Model!$BM$171</definedName>
    <definedName name="v_52_XU">Model!$L$171</definedName>
    <definedName name="v_52_XVivi">Model!$BN$171</definedName>
    <definedName name="v_53_CB">Model!$H$172</definedName>
    <definedName name="v_53_CU">Model!$K$172</definedName>
    <definedName name="v_53_GCH4">Model!$BS$172</definedName>
    <definedName name="v_53_GCH4_atm">Model!$BY$172</definedName>
    <definedName name="v_53_GCO2">Model!$BR$172</definedName>
    <definedName name="v_53_GCO2_atm">Model!$BX$172</definedName>
    <definedName name="v_53_GH2">Model!$BT$172</definedName>
    <definedName name="v_53_GH2_atm">Model!$BZ$172</definedName>
    <definedName name="v_53_GN2">Model!$BW$172</definedName>
    <definedName name="v_53_GN2_atm">Model!$CC$172</definedName>
    <definedName name="v_53_GNH3">Model!$BV$172</definedName>
    <definedName name="v_53_GNH3_atm">Model!$CB$172</definedName>
    <definedName name="v_53_GO2">Model!$BU$172</definedName>
    <definedName name="v_53_GO2_atm">Model!$CA$172</definedName>
    <definedName name="v_53_H">Model!$BO$172</definedName>
    <definedName name="v_53_SALPHA">Model!$BP$172</definedName>
    <definedName name="v_53_SAN">Model!$AQ$172</definedName>
    <definedName name="v_53_SB">Model!$F$172</definedName>
    <definedName name="v_53_SCa">Model!$AR$172</definedName>
    <definedName name="v_53_SCAT">Model!$AP$172</definedName>
    <definedName name="v_53_SCH4">Model!$AL$172</definedName>
    <definedName name="v_53_SCO2">Model!$AN$172</definedName>
    <definedName name="v_53_SFe2">Model!$AU$172</definedName>
    <definedName name="v_53_SH2">Model!$AM$172</definedName>
    <definedName name="v_53_SK">Model!$AT$172</definedName>
    <definedName name="v_53_SMEOL">Model!$G$172</definedName>
    <definedName name="v_53_SMg">Model!$AS$172</definedName>
    <definedName name="v_53_SN_B">Model!$AC$172</definedName>
    <definedName name="v_53_SN2">Model!$AB$172</definedName>
    <definedName name="v_53_SNHx">Model!$Y$172</definedName>
    <definedName name="v_53_SNO2">Model!$Z$172</definedName>
    <definedName name="v_53_SNO3">Model!$AA$172</definedName>
    <definedName name="v_53_SO2">Model!$AK$172</definedName>
    <definedName name="v_53_SORPswitch">Model!$BQ$172</definedName>
    <definedName name="v_53_SP_B">Model!$AH$172</definedName>
    <definedName name="v_53_SPO4">Model!$AF$172</definedName>
    <definedName name="v_53_SU">Model!$J$172</definedName>
    <definedName name="v_53_SVFA">Model!$E$172</definedName>
    <definedName name="v_53_XACP">Model!$BK$172</definedName>
    <definedName name="v_53_XAMETO">Model!$W$172</definedName>
    <definedName name="v_53_XAMX">Model!$V$172</definedName>
    <definedName name="v_53_XAOB">Model!$T$172</definedName>
    <definedName name="v_53_XB">Model!$I$172</definedName>
    <definedName name="v_53_XBSH">Model!$BL$172</definedName>
    <definedName name="v_53_XCaCO3">Model!$BJ$172</definedName>
    <definedName name="v_53_XCASTO">Model!$R$172</definedName>
    <definedName name="v_53_XE">Model!$O$172</definedName>
    <definedName name="v_53_XE_ana">Model!$P$172</definedName>
    <definedName name="v_53_XGLY">Model!$N$172</definedName>
    <definedName name="v_53_XHAO_H">Model!$BC$172</definedName>
    <definedName name="v_53_XHAO_H_P">Model!$BF$172</definedName>
    <definedName name="v_53_XHAO_H_P_old">Model!$BH$172</definedName>
    <definedName name="v_53_XHAO_L">Model!$BD$172</definedName>
    <definedName name="v_53_XHAO_L_P">Model!$BG$172</definedName>
    <definedName name="v_53_XHAO_L_P_old">Model!$BI$172</definedName>
    <definedName name="v_53_XHAO_old">Model!$BE$172</definedName>
    <definedName name="v_53_XHFO_H">Model!$AV$172</definedName>
    <definedName name="v_53_XHFO_H_P">Model!$AY$172</definedName>
    <definedName name="v_53_XHFO_H_P_old">Model!$BA$172</definedName>
    <definedName name="v_53_XHFO_L">Model!$AW$172</definedName>
    <definedName name="v_53_XHFO_L_P">Model!$AZ$172</definedName>
    <definedName name="v_53_XHFO_L_P_old">Model!$BB$172</definedName>
    <definedName name="v_53_XHFO_old">Model!$AX$172</definedName>
    <definedName name="v_53_XHMETO">Model!$X$172</definedName>
    <definedName name="v_53_XINORG">Model!$AO$172</definedName>
    <definedName name="v_53_XMEOLO">Model!$S$172</definedName>
    <definedName name="v_53_XN_B">Model!$AD$172</definedName>
    <definedName name="v_53_XN_U">Model!$AE$172</definedName>
    <definedName name="v_53_XNOB">Model!$U$172</definedName>
    <definedName name="v_53_XOHO">Model!$Q$172</definedName>
    <definedName name="v_53_XP_B">Model!$AI$172</definedName>
    <definedName name="v_53_XP_U">Model!$AJ$172</definedName>
    <definedName name="v_53_XPHA">Model!$M$172</definedName>
    <definedName name="v_53_XPP">Model!$AG$172</definedName>
    <definedName name="v_53_XSTR">Model!$BM$172</definedName>
    <definedName name="v_53_XU">Model!$L$172</definedName>
    <definedName name="v_53_XVivi">Model!$BN$172</definedName>
    <definedName name="v_54_CB">Model!$H$173</definedName>
    <definedName name="v_54_CU">Model!$K$173</definedName>
    <definedName name="v_54_GCH4">Model!$BS$173</definedName>
    <definedName name="v_54_GCH4_atm">Model!$BY$173</definedName>
    <definedName name="v_54_GCO2">Model!$BR$173</definedName>
    <definedName name="v_54_GCO2_atm">Model!$BX$173</definedName>
    <definedName name="v_54_GH2">Model!$BT$173</definedName>
    <definedName name="v_54_GH2_atm">Model!$BZ$173</definedName>
    <definedName name="v_54_GN2">Model!$BW$173</definedName>
    <definedName name="v_54_GN2_atm">Model!$CC$173</definedName>
    <definedName name="v_54_GNH3">Model!$BV$173</definedName>
    <definedName name="v_54_GNH3_atm">Model!$CB$173</definedName>
    <definedName name="v_54_GO2">Model!$BU$173</definedName>
    <definedName name="v_54_GO2_atm">Model!$CA$173</definedName>
    <definedName name="v_54_H">Model!$BO$173</definedName>
    <definedName name="v_54_SALPHA">Model!$BP$173</definedName>
    <definedName name="v_54_SAN">Model!$AQ$173</definedName>
    <definedName name="v_54_SB">Model!$F$173</definedName>
    <definedName name="v_54_SCa">Model!$AR$173</definedName>
    <definedName name="v_54_SCAT">Model!$AP$173</definedName>
    <definedName name="v_54_SCH4">Model!$AL$173</definedName>
    <definedName name="v_54_SCO2">Model!$AN$173</definedName>
    <definedName name="v_54_SFe2">Model!$AU$173</definedName>
    <definedName name="v_54_SH2">Model!$AM$173</definedName>
    <definedName name="v_54_SK">Model!$AT$173</definedName>
    <definedName name="v_54_SMEOL">Model!$G$173</definedName>
    <definedName name="v_54_SMg">Model!$AS$173</definedName>
    <definedName name="v_54_SN_B">Model!$AC$173</definedName>
    <definedName name="v_54_SN2">Model!$AB$173</definedName>
    <definedName name="v_54_SNHx">Model!$Y$173</definedName>
    <definedName name="v_54_SNO2">Model!$Z$173</definedName>
    <definedName name="v_54_SNO3">Model!$AA$173</definedName>
    <definedName name="v_54_SO2">Model!$AK$173</definedName>
    <definedName name="v_54_SORPswitch">Model!$BQ$173</definedName>
    <definedName name="v_54_SP_B">Model!$AH$173</definedName>
    <definedName name="v_54_SPO4">Model!$AF$173</definedName>
    <definedName name="v_54_SU">Model!$J$173</definedName>
    <definedName name="v_54_SVFA">Model!$E$173</definedName>
    <definedName name="v_54_XACP">Model!$BK$173</definedName>
    <definedName name="v_54_XAMETO">Model!$W$173</definedName>
    <definedName name="v_54_XAMX">Model!$V$173</definedName>
    <definedName name="v_54_XAOB">Model!$T$173</definedName>
    <definedName name="v_54_XB">Model!$I$173</definedName>
    <definedName name="v_54_XBSH">Model!$BL$173</definedName>
    <definedName name="v_54_XCaCO3">Model!$BJ$173</definedName>
    <definedName name="v_54_XCASTO">Model!$R$173</definedName>
    <definedName name="v_54_XE">Model!$O$173</definedName>
    <definedName name="v_54_XE_ana">Model!$P$173</definedName>
    <definedName name="v_54_XGLY">Model!$N$173</definedName>
    <definedName name="v_54_XHAO_H">Model!$BC$173</definedName>
    <definedName name="v_54_XHAO_H_P">Model!$BF$173</definedName>
    <definedName name="v_54_XHAO_H_P_old">Model!$BH$173</definedName>
    <definedName name="v_54_XHAO_L">Model!$BD$173</definedName>
    <definedName name="v_54_XHAO_L_P">Model!$BG$173</definedName>
    <definedName name="v_54_XHAO_L_P_old">Model!$BI$173</definedName>
    <definedName name="v_54_XHAO_old">Model!$BE$173</definedName>
    <definedName name="v_54_XHFO_H">Model!$AV$173</definedName>
    <definedName name="v_54_XHFO_H_P">Model!$AY$173</definedName>
    <definedName name="v_54_XHFO_H_P_old">Model!$BA$173</definedName>
    <definedName name="v_54_XHFO_L">Model!$AW$173</definedName>
    <definedName name="v_54_XHFO_L_P">Model!$AZ$173</definedName>
    <definedName name="v_54_XHFO_L_P_old">Model!$BB$173</definedName>
    <definedName name="v_54_XHFO_old">Model!$AX$173</definedName>
    <definedName name="v_54_XHMETO">Model!$X$173</definedName>
    <definedName name="v_54_XINORG">Model!$AO$173</definedName>
    <definedName name="v_54_XMEOLO">Model!$S$173</definedName>
    <definedName name="v_54_XN_B">Model!$AD$173</definedName>
    <definedName name="v_54_XN_U">Model!$AE$173</definedName>
    <definedName name="v_54_XNOB">Model!$U$173</definedName>
    <definedName name="v_54_XOHO">Model!$Q$173</definedName>
    <definedName name="v_54_XP_B">Model!$AI$173</definedName>
    <definedName name="v_54_XP_U">Model!$AJ$173</definedName>
    <definedName name="v_54_XPHA">Model!$M$173</definedName>
    <definedName name="v_54_XPP">Model!$AG$173</definedName>
    <definedName name="v_54_XSTR">Model!$BM$173</definedName>
    <definedName name="v_54_XU">Model!$L$173</definedName>
    <definedName name="v_54_XVivi">Model!$BN$173</definedName>
    <definedName name="v_55_CB">Model!$H$174</definedName>
    <definedName name="v_55_CU">Model!$K$174</definedName>
    <definedName name="v_55_GCH4">Model!$BS$174</definedName>
    <definedName name="v_55_GCH4_atm">Model!$BY$174</definedName>
    <definedName name="v_55_GCO2">Model!$BR$174</definedName>
    <definedName name="v_55_GCO2_atm">Model!$BX$174</definedName>
    <definedName name="v_55_GH2">Model!$BT$174</definedName>
    <definedName name="v_55_GH2_atm">Model!$BZ$174</definedName>
    <definedName name="v_55_GN2">Model!$BW$174</definedName>
    <definedName name="v_55_GN2_atm">Model!$CC$174</definedName>
    <definedName name="v_55_GNH3">Model!$BV$174</definedName>
    <definedName name="v_55_GNH3_atm">Model!$CB$174</definedName>
    <definedName name="v_55_GO2">Model!$BU$174</definedName>
    <definedName name="v_55_GO2_atm">Model!$CA$174</definedName>
    <definedName name="v_55_H">Model!$BO$174</definedName>
    <definedName name="v_55_SALPHA">Model!$BP$174</definedName>
    <definedName name="v_55_SAN">Model!$AQ$174</definedName>
    <definedName name="v_55_SB">Model!$F$174</definedName>
    <definedName name="v_55_SCa">Model!$AR$174</definedName>
    <definedName name="v_55_SCAT">Model!$AP$174</definedName>
    <definedName name="v_55_SCH4">Model!$AL$174</definedName>
    <definedName name="v_55_SCO2">Model!$AN$174</definedName>
    <definedName name="v_55_SFe2">Model!$AU$174</definedName>
    <definedName name="v_55_SH2">Model!$AM$174</definedName>
    <definedName name="v_55_SK">Model!$AT$174</definedName>
    <definedName name="v_55_SMEOL">Model!$G$174</definedName>
    <definedName name="v_55_SMg">Model!$AS$174</definedName>
    <definedName name="v_55_SN_B">Model!$AC$174</definedName>
    <definedName name="v_55_SN2">Model!$AB$174</definedName>
    <definedName name="v_55_SNHx">Model!$Y$174</definedName>
    <definedName name="v_55_SNO2">Model!$Z$174</definedName>
    <definedName name="v_55_SNO3">Model!$AA$174</definedName>
    <definedName name="v_55_SO2">Model!$AK$174</definedName>
    <definedName name="v_55_SORPswitch">Model!$BQ$174</definedName>
    <definedName name="v_55_SP_B">Model!$AH$174</definedName>
    <definedName name="v_55_SPO4">Model!$AF$174</definedName>
    <definedName name="v_55_SU">Model!$J$174</definedName>
    <definedName name="v_55_SVFA">Model!$E$174</definedName>
    <definedName name="v_55_XACP">Model!$BK$174</definedName>
    <definedName name="v_55_XAMETO">Model!$W$174</definedName>
    <definedName name="v_55_XAMX">Model!$V$174</definedName>
    <definedName name="v_55_XAOB">Model!$T$174</definedName>
    <definedName name="v_55_XB">Model!$I$174</definedName>
    <definedName name="v_55_XBSH">Model!$BL$174</definedName>
    <definedName name="v_55_XCaCO3">Model!$BJ$174</definedName>
    <definedName name="v_55_XCASTO">Model!$R$174</definedName>
    <definedName name="v_55_XE">Model!$O$174</definedName>
    <definedName name="v_55_XE_ana">Model!$P$174</definedName>
    <definedName name="v_55_XGLY">Model!$N$174</definedName>
    <definedName name="v_55_XHAO_H">Model!$BC$174</definedName>
    <definedName name="v_55_XHAO_H_P">Model!$BF$174</definedName>
    <definedName name="v_55_XHAO_H_P_old">Model!$BH$174</definedName>
    <definedName name="v_55_XHAO_L">Model!$BD$174</definedName>
    <definedName name="v_55_XHAO_L_P">Model!$BG$174</definedName>
    <definedName name="v_55_XHAO_L_P_old">Model!$BI$174</definedName>
    <definedName name="v_55_XHAO_old">Model!$BE$174</definedName>
    <definedName name="v_55_XHFO_H">Model!$AV$174</definedName>
    <definedName name="v_55_XHFO_H_P">Model!$AY$174</definedName>
    <definedName name="v_55_XHFO_H_P_old">Model!$BA$174</definedName>
    <definedName name="v_55_XHFO_L">Model!$AW$174</definedName>
    <definedName name="v_55_XHFO_L_P">Model!$AZ$174</definedName>
    <definedName name="v_55_XHFO_L_P_old">Model!$BB$174</definedName>
    <definedName name="v_55_XHFO_old">Model!$AX$174</definedName>
    <definedName name="v_55_XHMETO">Model!$X$174</definedName>
    <definedName name="v_55_XINORG">Model!$AO$174</definedName>
    <definedName name="v_55_XMEOLO">Model!$S$174</definedName>
    <definedName name="v_55_XN_B">Model!$AD$174</definedName>
    <definedName name="v_55_XN_U">Model!$AE$174</definedName>
    <definedName name="v_55_XNOB">Model!$U$174</definedName>
    <definedName name="v_55_XOHO">Model!$Q$174</definedName>
    <definedName name="v_55_XP_B">Model!$AI$174</definedName>
    <definedName name="v_55_XP_U">Model!$AJ$174</definedName>
    <definedName name="v_55_XPHA">Model!$M$174</definedName>
    <definedName name="v_55_XPP">Model!$AG$174</definedName>
    <definedName name="v_55_XSTR">Model!$BM$174</definedName>
    <definedName name="v_55_XU">Model!$L$174</definedName>
    <definedName name="v_55_XVivi">Model!$BN$174</definedName>
    <definedName name="v_56_CB">Model!$H$175</definedName>
    <definedName name="v_56_CU">Model!$K$175</definedName>
    <definedName name="v_56_GCH4">Model!$BS$175</definedName>
    <definedName name="v_56_GCH4_atm">Model!$BY$175</definedName>
    <definedName name="v_56_GCO2">Model!$BR$175</definedName>
    <definedName name="v_56_GCO2_atm">Model!$BX$175</definedName>
    <definedName name="v_56_GH2">Model!$BT$175</definedName>
    <definedName name="v_56_GH2_atm">Model!$BZ$175</definedName>
    <definedName name="v_56_GN2">Model!$BW$175</definedName>
    <definedName name="v_56_GN2_atm">Model!$CC$175</definedName>
    <definedName name="v_56_GNH3">Model!$BV$175</definedName>
    <definedName name="v_56_GNH3_atm">Model!$CB$175</definedName>
    <definedName name="v_56_GO2">Model!$BU$175</definedName>
    <definedName name="v_56_GO2_atm">Model!$CA$175</definedName>
    <definedName name="v_56_H">Model!$BO$175</definedName>
    <definedName name="v_56_SALPHA">Model!$BP$175</definedName>
    <definedName name="v_56_SAN">Model!$AQ$175</definedName>
    <definedName name="v_56_SB">Model!$F$175</definedName>
    <definedName name="v_56_SCa">Model!$AR$175</definedName>
    <definedName name="v_56_SCAT">Model!$AP$175</definedName>
    <definedName name="v_56_SCH4">Model!$AL$175</definedName>
    <definedName name="v_56_SCO2">Model!$AN$175</definedName>
    <definedName name="v_56_SFe2">Model!$AU$175</definedName>
    <definedName name="v_56_SH2">Model!$AM$175</definedName>
    <definedName name="v_56_SK">Model!$AT$175</definedName>
    <definedName name="v_56_SMEOL">Model!$G$175</definedName>
    <definedName name="v_56_SMg">Model!$AS$175</definedName>
    <definedName name="v_56_SN_B">Model!$AC$175</definedName>
    <definedName name="v_56_SN2">Model!$AB$175</definedName>
    <definedName name="v_56_SNHx">Model!$Y$175</definedName>
    <definedName name="v_56_SNO2">Model!$Z$175</definedName>
    <definedName name="v_56_SNO3">Model!$AA$175</definedName>
    <definedName name="v_56_SO2">Model!$AK$175</definedName>
    <definedName name="v_56_SORPswitch">Model!$BQ$175</definedName>
    <definedName name="v_56_SP_B">Model!$AH$175</definedName>
    <definedName name="v_56_SPO4">Model!$AF$175</definedName>
    <definedName name="v_56_SU">Model!$J$175</definedName>
    <definedName name="v_56_SVFA">Model!$E$175</definedName>
    <definedName name="v_56_XACP">Model!$BK$175</definedName>
    <definedName name="v_56_XAMETO">Model!$W$175</definedName>
    <definedName name="v_56_XAMX">Model!$V$175</definedName>
    <definedName name="v_56_XAOB">Model!$T$175</definedName>
    <definedName name="v_56_XB">Model!$I$175</definedName>
    <definedName name="v_56_XBSH">Model!$BL$175</definedName>
    <definedName name="v_56_XCaCO3">Model!$BJ$175</definedName>
    <definedName name="v_56_XCASTO">Model!$R$175</definedName>
    <definedName name="v_56_XE">Model!$O$175</definedName>
    <definedName name="v_56_XE_ana">Model!$P$175</definedName>
    <definedName name="v_56_XGLY">Model!$N$175</definedName>
    <definedName name="v_56_XHAO_H">Model!$BC$175</definedName>
    <definedName name="v_56_XHAO_H_P">Model!$BF$175</definedName>
    <definedName name="v_56_XHAO_H_P_old">Model!$BH$175</definedName>
    <definedName name="v_56_XHAO_L">Model!$BD$175</definedName>
    <definedName name="v_56_XHAO_L_P">Model!$BG$175</definedName>
    <definedName name="v_56_XHAO_L_P_old">Model!$BI$175</definedName>
    <definedName name="v_56_XHAO_old">Model!$BE$175</definedName>
    <definedName name="v_56_XHFO_H">Model!$AV$175</definedName>
    <definedName name="v_56_XHFO_H_P">Model!$AY$175</definedName>
    <definedName name="v_56_XHFO_H_P_old">Model!$BA$175</definedName>
    <definedName name="v_56_XHFO_L">Model!$AW$175</definedName>
    <definedName name="v_56_XHFO_L_P">Model!$AZ$175</definedName>
    <definedName name="v_56_XHFO_L_P_old">Model!$BB$175</definedName>
    <definedName name="v_56_XHFO_old">Model!$AX$175</definedName>
    <definedName name="v_56_XHMETO">Model!$X$175</definedName>
    <definedName name="v_56_XINORG">Model!$AO$175</definedName>
    <definedName name="v_56_XMEOLO">Model!$S$175</definedName>
    <definedName name="v_56_XN_B">Model!$AD$175</definedName>
    <definedName name="v_56_XN_U">Model!$AE$175</definedName>
    <definedName name="v_56_XNOB">Model!$U$175</definedName>
    <definedName name="v_56_XOHO">Model!$Q$175</definedName>
    <definedName name="v_56_XP_B">Model!$AI$175</definedName>
    <definedName name="v_56_XP_U">Model!$AJ$175</definedName>
    <definedName name="v_56_XPHA">Model!$M$175</definedName>
    <definedName name="v_56_XPP">Model!$AG$175</definedName>
    <definedName name="v_56_XSTR">Model!$BM$175</definedName>
    <definedName name="v_56_XU">Model!$L$175</definedName>
    <definedName name="v_56_XVivi">Model!$BN$175</definedName>
    <definedName name="v_57_CB">Model!$H$176</definedName>
    <definedName name="v_57_CU">Model!$K$176</definedName>
    <definedName name="v_57_GCH4">Model!$BS$176</definedName>
    <definedName name="v_57_GCH4_atm">Model!$BY$176</definedName>
    <definedName name="v_57_GCO2">Model!$BR$176</definedName>
    <definedName name="v_57_GCO2_atm">Model!$BX$176</definedName>
    <definedName name="v_57_GH2">Model!$BT$176</definedName>
    <definedName name="v_57_GH2_atm">Model!$BZ$176</definedName>
    <definedName name="v_57_GN2">Model!$BW$176</definedName>
    <definedName name="v_57_GN2_atm">Model!$CC$176</definedName>
    <definedName name="v_57_GNH3">Model!$BV$176</definedName>
    <definedName name="v_57_GNH3_atm">Model!$CB$176</definedName>
    <definedName name="v_57_GO2">Model!$BU$176</definedName>
    <definedName name="v_57_GO2_atm">Model!$CA$176</definedName>
    <definedName name="v_57_H">Model!$BO$176</definedName>
    <definedName name="v_57_SALPHA">Model!$BP$176</definedName>
    <definedName name="v_57_SAN">Model!$AQ$176</definedName>
    <definedName name="v_57_SB">Model!$F$176</definedName>
    <definedName name="v_57_SCa">Model!$AR$176</definedName>
    <definedName name="v_57_SCAT">Model!$AP$176</definedName>
    <definedName name="v_57_SCH4">Model!$AL$176</definedName>
    <definedName name="v_57_SCO2">Model!$AN$176</definedName>
    <definedName name="v_57_SFe2">Model!$AU$176</definedName>
    <definedName name="v_57_SH2">Model!$AM$176</definedName>
    <definedName name="v_57_SK">Model!$AT$176</definedName>
    <definedName name="v_57_SMEOL">Model!$G$176</definedName>
    <definedName name="v_57_SMg">Model!$AS$176</definedName>
    <definedName name="v_57_SN_B">Model!$AC$176</definedName>
    <definedName name="v_57_SN2">Model!$AB$176</definedName>
    <definedName name="v_57_SNHx">Model!$Y$176</definedName>
    <definedName name="v_57_SNO2">Model!$Z$176</definedName>
    <definedName name="v_57_SNO3">Model!$AA$176</definedName>
    <definedName name="v_57_SO2">Model!$AK$176</definedName>
    <definedName name="v_57_SORPswitch">Model!$BQ$176</definedName>
    <definedName name="v_57_SP_B">Model!$AH$176</definedName>
    <definedName name="v_57_SPO4">Model!$AF$176</definedName>
    <definedName name="v_57_SU">Model!$J$176</definedName>
    <definedName name="v_57_SVFA">Model!$E$176</definedName>
    <definedName name="v_57_XACP">Model!$BK$176</definedName>
    <definedName name="v_57_XAMETO">Model!$W$176</definedName>
    <definedName name="v_57_XAMX">Model!$V$176</definedName>
    <definedName name="v_57_XAOB">Model!$T$176</definedName>
    <definedName name="v_57_XB">Model!$I$176</definedName>
    <definedName name="v_57_XBSH">Model!$BL$176</definedName>
    <definedName name="v_57_XCaCO3">Model!$BJ$176</definedName>
    <definedName name="v_57_XCASTO">Model!$R$176</definedName>
    <definedName name="v_57_XE">Model!$O$176</definedName>
    <definedName name="v_57_XE_ana">Model!$P$176</definedName>
    <definedName name="v_57_XGLY">Model!$N$176</definedName>
    <definedName name="v_57_XHAO_H">Model!$BC$176</definedName>
    <definedName name="v_57_XHAO_H_P">Model!$BF$176</definedName>
    <definedName name="v_57_XHAO_H_P_old">Model!$BH$176</definedName>
    <definedName name="v_57_XHAO_L">Model!$BD$176</definedName>
    <definedName name="v_57_XHAO_L_P">Model!$BG$176</definedName>
    <definedName name="v_57_XHAO_L_P_old">Model!$BI$176</definedName>
    <definedName name="v_57_XHAO_old">Model!$BE$176</definedName>
    <definedName name="v_57_XHFO_H">Model!$AV$176</definedName>
    <definedName name="v_57_XHFO_H_P">Model!$AY$176</definedName>
    <definedName name="v_57_XHFO_H_P_old">Model!$BA$176</definedName>
    <definedName name="v_57_XHFO_L">Model!$AW$176</definedName>
    <definedName name="v_57_XHFO_L_P">Model!$AZ$176</definedName>
    <definedName name="v_57_XHFO_L_P_old">Model!$BB$176</definedName>
    <definedName name="v_57_XHFO_old">Model!$AX$176</definedName>
    <definedName name="v_57_XHMETO">Model!$X$176</definedName>
    <definedName name="v_57_XINORG">Model!$AO$176</definedName>
    <definedName name="v_57_XMEOLO">Model!$S$176</definedName>
    <definedName name="v_57_XN_B">Model!$AD$176</definedName>
    <definedName name="v_57_XN_U">Model!$AE$176</definedName>
    <definedName name="v_57_XNOB">Model!$U$176</definedName>
    <definedName name="v_57_XOHO">Model!$Q$176</definedName>
    <definedName name="v_57_XP_B">Model!$AI$176</definedName>
    <definedName name="v_57_XP_U">Model!$AJ$176</definedName>
    <definedName name="v_57_XPHA">Model!$M$176</definedName>
    <definedName name="v_57_XPP">Model!$AG$176</definedName>
    <definedName name="v_57_XSTR">Model!$BM$176</definedName>
    <definedName name="v_57_XU">Model!$L$176</definedName>
    <definedName name="v_57_XVivi">Model!$BN$176</definedName>
    <definedName name="v_58_CB">Model!$H$177</definedName>
    <definedName name="v_58_CU">Model!$K$177</definedName>
    <definedName name="v_58_GCH4">Model!$BS$177</definedName>
    <definedName name="v_58_GCH4_atm">Model!$BY$177</definedName>
    <definedName name="v_58_GCO2">Model!$BR$177</definedName>
    <definedName name="v_58_GCO2_atm">Model!$BX$177</definedName>
    <definedName name="v_58_GH2">Model!$BT$177</definedName>
    <definedName name="v_58_GH2_atm">Model!$BZ$177</definedName>
    <definedName name="v_58_GN2">Model!$BW$177</definedName>
    <definedName name="v_58_GN2_atm">Model!$CC$177</definedName>
    <definedName name="v_58_GNH3">Model!$BV$177</definedName>
    <definedName name="v_58_GNH3_atm">Model!$CB$177</definedName>
    <definedName name="v_58_GO2">Model!$BU$177</definedName>
    <definedName name="v_58_GO2_atm">Model!$CA$177</definedName>
    <definedName name="v_58_H">Model!$BO$177</definedName>
    <definedName name="v_58_SALPHA">Model!$BP$177</definedName>
    <definedName name="v_58_SAN">Model!$AQ$177</definedName>
    <definedName name="v_58_SB">Model!$F$177</definedName>
    <definedName name="v_58_SCa">Model!$AR$177</definedName>
    <definedName name="v_58_SCAT">Model!$AP$177</definedName>
    <definedName name="v_58_SCH4">Model!$AL$177</definedName>
    <definedName name="v_58_SCO2">Model!$AN$177</definedName>
    <definedName name="v_58_SFe2">Model!$AU$177</definedName>
    <definedName name="v_58_SH2">Model!$AM$177</definedName>
    <definedName name="v_58_SK">Model!$AT$177</definedName>
    <definedName name="v_58_SMEOL">Model!$G$177</definedName>
    <definedName name="v_58_SMg">Model!$AS$177</definedName>
    <definedName name="v_58_SN_B">Model!$AC$177</definedName>
    <definedName name="v_58_SN2">Model!$AB$177</definedName>
    <definedName name="v_58_SNHx">Model!$Y$177</definedName>
    <definedName name="v_58_SNO2">Model!$Z$177</definedName>
    <definedName name="v_58_SNO3">Model!$AA$177</definedName>
    <definedName name="v_58_SO2">Model!$AK$177</definedName>
    <definedName name="v_58_SORPswitch">Model!$BQ$177</definedName>
    <definedName name="v_58_SP_B">Model!$AH$177</definedName>
    <definedName name="v_58_SPO4">Model!$AF$177</definedName>
    <definedName name="v_58_SU">Model!$J$177</definedName>
    <definedName name="v_58_SVFA">Model!$E$177</definedName>
    <definedName name="v_58_XACP">Model!$BK$177</definedName>
    <definedName name="v_58_XAMETO">Model!$W$177</definedName>
    <definedName name="v_58_XAMX">Model!$V$177</definedName>
    <definedName name="v_58_XAOB">Model!$T$177</definedName>
    <definedName name="v_58_XB">Model!$I$177</definedName>
    <definedName name="v_58_XBSH">Model!$BL$177</definedName>
    <definedName name="v_58_XCaCO3">Model!$BJ$177</definedName>
    <definedName name="v_58_XCASTO">Model!$R$177</definedName>
    <definedName name="v_58_XE">Model!$O$177</definedName>
    <definedName name="v_58_XE_ana">Model!$P$177</definedName>
    <definedName name="v_58_XGLY">Model!$N$177</definedName>
    <definedName name="v_58_XHAO_H">Model!$BC$177</definedName>
    <definedName name="v_58_XHAO_H_P">Model!$BF$177</definedName>
    <definedName name="v_58_XHAO_H_P_old">Model!$BH$177</definedName>
    <definedName name="v_58_XHAO_L">Model!$BD$177</definedName>
    <definedName name="v_58_XHAO_L_P">Model!$BG$177</definedName>
    <definedName name="v_58_XHAO_L_P_old">Model!$BI$177</definedName>
    <definedName name="v_58_XHAO_old">Model!$BE$177</definedName>
    <definedName name="v_58_XHFO_H">Model!$AV$177</definedName>
    <definedName name="v_58_XHFO_H_P">Model!$AY$177</definedName>
    <definedName name="v_58_XHFO_H_P_old">Model!$BA$177</definedName>
    <definedName name="v_58_XHFO_L">Model!$AW$177</definedName>
    <definedName name="v_58_XHFO_L_P">Model!$AZ$177</definedName>
    <definedName name="v_58_XHFO_L_P_old">Model!$BB$177</definedName>
    <definedName name="v_58_XHFO_old">Model!$AX$177</definedName>
    <definedName name="v_58_XHMETO">Model!$X$177</definedName>
    <definedName name="v_58_XINORG">Model!$AO$177</definedName>
    <definedName name="v_58_XMEOLO">Model!$S$177</definedName>
    <definedName name="v_58_XN_B">Model!$AD$177</definedName>
    <definedName name="v_58_XN_U">Model!$AE$177</definedName>
    <definedName name="v_58_XNOB">Model!$U$177</definedName>
    <definedName name="v_58_XOHO">Model!$Q$177</definedName>
    <definedName name="v_58_XP_B">Model!$AI$177</definedName>
    <definedName name="v_58_XP_U">Model!$AJ$177</definedName>
    <definedName name="v_58_XPHA">Model!$M$177</definedName>
    <definedName name="v_58_XPP">Model!$AG$177</definedName>
    <definedName name="v_58_XSTR">Model!$BM$177</definedName>
    <definedName name="v_58_XU">Model!$L$177</definedName>
    <definedName name="v_58_XVivi">Model!$BN$177</definedName>
    <definedName name="v_59_CB">Model!$H$178</definedName>
    <definedName name="v_59_CU">Model!$K$178</definedName>
    <definedName name="v_59_GCH4">Model!$BS$178</definedName>
    <definedName name="v_59_GCH4_atm">Model!$BY$178</definedName>
    <definedName name="v_59_GCO2">Model!$BR$178</definedName>
    <definedName name="v_59_GCO2_atm">Model!$BX$178</definedName>
    <definedName name="v_59_GH2">Model!$BT$178</definedName>
    <definedName name="v_59_GH2_atm">Model!$BZ$178</definedName>
    <definedName name="v_59_GN2">Model!$BW$178</definedName>
    <definedName name="v_59_GN2_atm">Model!$CC$178</definedName>
    <definedName name="v_59_GNH3">Model!$BV$178</definedName>
    <definedName name="v_59_GNH3_atm">Model!$CB$178</definedName>
    <definedName name="v_59_GO2">Model!$BU$178</definedName>
    <definedName name="v_59_GO2_atm">Model!$CA$178</definedName>
    <definedName name="v_59_H">Model!$BO$178</definedName>
    <definedName name="v_59_SALPHA">Model!$BP$178</definedName>
    <definedName name="v_59_SAN">Model!$AQ$178</definedName>
    <definedName name="v_59_SB">Model!$F$178</definedName>
    <definedName name="v_59_SCa">Model!$AR$178</definedName>
    <definedName name="v_59_SCAT">Model!$AP$178</definedName>
    <definedName name="v_59_SCH4">Model!$AL$178</definedName>
    <definedName name="v_59_SCO2">Model!$AN$178</definedName>
    <definedName name="v_59_SFe2">Model!$AU$178</definedName>
    <definedName name="v_59_SH2">Model!$AM$178</definedName>
    <definedName name="v_59_SK">Model!$AT$178</definedName>
    <definedName name="v_59_SMEOL">Model!$G$178</definedName>
    <definedName name="v_59_SMg">Model!$AS$178</definedName>
    <definedName name="v_59_SN_B">Model!$AC$178</definedName>
    <definedName name="v_59_SN2">Model!$AB$178</definedName>
    <definedName name="v_59_SNHx">Model!$Y$178</definedName>
    <definedName name="v_59_SNO2">Model!$Z$178</definedName>
    <definedName name="v_59_SNO3">Model!$AA$178</definedName>
    <definedName name="v_59_SO2">Model!$AK$178</definedName>
    <definedName name="v_59_SORPswitch">Model!$BQ$178</definedName>
    <definedName name="v_59_SP_B">Model!$AH$178</definedName>
    <definedName name="v_59_SPO4">Model!$AF$178</definedName>
    <definedName name="v_59_SU">Model!$J$178</definedName>
    <definedName name="v_59_SVFA">Model!$E$178</definedName>
    <definedName name="v_59_XACP">Model!$BK$178</definedName>
    <definedName name="v_59_XAMETO">Model!$W$178</definedName>
    <definedName name="v_59_XAMX">Model!$V$178</definedName>
    <definedName name="v_59_XAOB">Model!$T$178</definedName>
    <definedName name="v_59_XB">Model!$I$178</definedName>
    <definedName name="v_59_XBSH">Model!$BL$178</definedName>
    <definedName name="v_59_XCaCO3">Model!$BJ$178</definedName>
    <definedName name="v_59_XCASTO">Model!$R$178</definedName>
    <definedName name="v_59_XE">Model!$O$178</definedName>
    <definedName name="v_59_XE_ana">Model!$P$178</definedName>
    <definedName name="v_59_XGLY">Model!$N$178</definedName>
    <definedName name="v_59_XHAO_H">Model!$BC$178</definedName>
    <definedName name="v_59_XHAO_H_P">Model!$BF$178</definedName>
    <definedName name="v_59_XHAO_H_P_old">Model!$BH$178</definedName>
    <definedName name="v_59_XHAO_L">Model!$BD$178</definedName>
    <definedName name="v_59_XHAO_L_P">Model!$BG$178</definedName>
    <definedName name="v_59_XHAO_L_P_old">Model!$BI$178</definedName>
    <definedName name="v_59_XHAO_old">Model!$BE$178</definedName>
    <definedName name="v_59_XHFO_H">Model!$AV$178</definedName>
    <definedName name="v_59_XHFO_H_P">Model!$AY$178</definedName>
    <definedName name="v_59_XHFO_H_P_old">Model!$BA$178</definedName>
    <definedName name="v_59_XHFO_L">Model!$AW$178</definedName>
    <definedName name="v_59_XHFO_L_P">Model!$AZ$178</definedName>
    <definedName name="v_59_XHFO_L_P_old">Model!$BB$178</definedName>
    <definedName name="v_59_XHFO_old">Model!$AX$178</definedName>
    <definedName name="v_59_XHMETO">Model!$X$178</definedName>
    <definedName name="v_59_XINORG">Model!$AO$178</definedName>
    <definedName name="v_59_XMEOLO">Model!$S$178</definedName>
    <definedName name="v_59_XN_B">Model!$AD$178</definedName>
    <definedName name="v_59_XN_U">Model!$AE$178</definedName>
    <definedName name="v_59_XNOB">Model!$U$178</definedName>
    <definedName name="v_59_XOHO">Model!$Q$178</definedName>
    <definedName name="v_59_XP_B">Model!$AI$178</definedName>
    <definedName name="v_59_XP_U">Model!$AJ$178</definedName>
    <definedName name="v_59_XPHA">Model!$M$178</definedName>
    <definedName name="v_59_XPP">Model!$AG$178</definedName>
    <definedName name="v_59_XSTR">Model!$BM$178</definedName>
    <definedName name="v_59_XU">Model!$L$178</definedName>
    <definedName name="v_59_XVivi">Model!$BN$178</definedName>
    <definedName name="v_6_CB">Model!$H$125</definedName>
    <definedName name="v_6_CU">Model!$K$125</definedName>
    <definedName name="v_6_GCH4">Model!$BS$125</definedName>
    <definedName name="v_6_GCH4_atm">Model!$BY$125</definedName>
    <definedName name="v_6_GCO2">Model!$BR$125</definedName>
    <definedName name="v_6_GCO2_atm">Model!$BX$125</definedName>
    <definedName name="v_6_GH2">Model!$BT$125</definedName>
    <definedName name="v_6_GH2_atm">Model!$BZ$125</definedName>
    <definedName name="v_6_GN2">Model!$BW$125</definedName>
    <definedName name="v_6_GN2_atm">Model!$CC$125</definedName>
    <definedName name="v_6_GNH3">Model!$BV$125</definedName>
    <definedName name="v_6_GNH3_atm">Model!$CB$125</definedName>
    <definedName name="v_6_GO2">Model!$BU$125</definedName>
    <definedName name="v_6_GO2_atm">Model!$CA$125</definedName>
    <definedName name="v_6_H">Model!$BO$125</definedName>
    <definedName name="v_6_SALPHA">Model!$BP$125</definedName>
    <definedName name="v_6_SAN">Model!$AQ$125</definedName>
    <definedName name="v_6_SB">Model!$F$125</definedName>
    <definedName name="v_6_SCa">Model!$AR$125</definedName>
    <definedName name="v_6_SCAT">Model!$AP$125</definedName>
    <definedName name="v_6_SCH4">Model!$AL$125</definedName>
    <definedName name="v_6_SCO2">Model!$AN$125</definedName>
    <definedName name="v_6_SFe2">Model!$AU$125</definedName>
    <definedName name="v_6_SH2">Model!$AM$125</definedName>
    <definedName name="v_6_SK">Model!$AT$125</definedName>
    <definedName name="v_6_SMEOL">Model!$G$125</definedName>
    <definedName name="v_6_SMg">Model!$AS$125</definedName>
    <definedName name="v_6_SN_B">Model!$AC$125</definedName>
    <definedName name="v_6_SN2">Model!$AB$125</definedName>
    <definedName name="v_6_SNHx">Model!$Y$125</definedName>
    <definedName name="v_6_SNO2">Model!$Z$125</definedName>
    <definedName name="v_6_SNO3">Model!$AA$125</definedName>
    <definedName name="v_6_SO2">Model!$AK$125</definedName>
    <definedName name="v_6_SORPswitch">Model!$BQ$125</definedName>
    <definedName name="v_6_SP_B">Model!$AH$125</definedName>
    <definedName name="v_6_SPO4">Model!$AF$125</definedName>
    <definedName name="v_6_SU">Model!$J$125</definedName>
    <definedName name="v_6_SVFA">Model!$E$125</definedName>
    <definedName name="v_6_XACP">Model!$BK$125</definedName>
    <definedName name="v_6_XAMETO">Model!$W$125</definedName>
    <definedName name="v_6_XAMX">Model!$V$125</definedName>
    <definedName name="v_6_XAOB">Model!$T$125</definedName>
    <definedName name="v_6_XB">Model!$I$125</definedName>
    <definedName name="v_6_XBSH">Model!$BL$125</definedName>
    <definedName name="v_6_XCaCO3">Model!$BJ$125</definedName>
    <definedName name="v_6_XCASTO">Model!$R$125</definedName>
    <definedName name="v_6_XE">Model!$O$125</definedName>
    <definedName name="v_6_XE_ana">Model!$P$125</definedName>
    <definedName name="v_6_XGLY">Model!$N$125</definedName>
    <definedName name="v_6_XHAO_H">Model!$BC$125</definedName>
    <definedName name="v_6_XHAO_H_P">Model!$BF$125</definedName>
    <definedName name="v_6_XHAO_H_P_old">Model!$BH$125</definedName>
    <definedName name="v_6_XHAO_L">Model!$BD$125</definedName>
    <definedName name="v_6_XHAO_L_P">Model!$BG$125</definedName>
    <definedName name="v_6_XHAO_L_P_old">Model!$BI$125</definedName>
    <definedName name="v_6_XHAO_old">Model!$BE$125</definedName>
    <definedName name="v_6_XHFO_H">Model!$AV$125</definedName>
    <definedName name="v_6_XHFO_H_P">Model!$AY$125</definedName>
    <definedName name="v_6_XHFO_H_P_old">Model!$BA$125</definedName>
    <definedName name="v_6_XHFO_L">Model!$AW$125</definedName>
    <definedName name="v_6_XHFO_L_P">Model!$AZ$125</definedName>
    <definedName name="v_6_XHFO_L_P_old">Model!$BB$125</definedName>
    <definedName name="v_6_XHFO_old">Model!$AX$125</definedName>
    <definedName name="v_6_XHMETO">Model!$X$125</definedName>
    <definedName name="v_6_XINORG">Model!$AO$125</definedName>
    <definedName name="v_6_XMEOLO">Model!$S$125</definedName>
    <definedName name="v_6_XN_B">Model!$AD$125</definedName>
    <definedName name="v_6_XN_U">Model!$AE$125</definedName>
    <definedName name="v_6_XNOB">Model!$U$125</definedName>
    <definedName name="v_6_XOHO">Model!$Q$125</definedName>
    <definedName name="v_6_XP_B">Model!$AI$125</definedName>
    <definedName name="v_6_XP_U">Model!$AJ$125</definedName>
    <definedName name="v_6_XPHA">Model!$M$125</definedName>
    <definedName name="v_6_XPP">Model!$AG$125</definedName>
    <definedName name="v_6_XSTR">Model!$BM$125</definedName>
    <definedName name="v_6_XU">Model!$L$125</definedName>
    <definedName name="v_6_XVivi">Model!$BN$125</definedName>
    <definedName name="v_60_CB">Model!$H$179</definedName>
    <definedName name="v_60_CU">Model!$K$179</definedName>
    <definedName name="v_60_GCH4">Model!$BS$179</definedName>
    <definedName name="v_60_GCH4_atm">Model!$BY$179</definedName>
    <definedName name="v_60_GCO2">Model!$BR$179</definedName>
    <definedName name="v_60_GCO2_atm">Model!$BX$179</definedName>
    <definedName name="v_60_GH2">Model!$BT$179</definedName>
    <definedName name="v_60_GH2_atm">Model!$BZ$179</definedName>
    <definedName name="v_60_GN2">Model!$BW$179</definedName>
    <definedName name="v_60_GN2_atm">Model!$CC$179</definedName>
    <definedName name="v_60_GNH3">Model!$BV$179</definedName>
    <definedName name="v_60_GNH3_atm">Model!$CB$179</definedName>
    <definedName name="v_60_GO2">Model!$BU$179</definedName>
    <definedName name="v_60_GO2_atm">Model!$CA$179</definedName>
    <definedName name="v_60_H">Model!$BO$179</definedName>
    <definedName name="v_60_SALPHA">Model!$BP$179</definedName>
    <definedName name="v_60_SAN">Model!$AQ$179</definedName>
    <definedName name="v_60_SB">Model!$F$179</definedName>
    <definedName name="v_60_SCa">Model!$AR$179</definedName>
    <definedName name="v_60_SCAT">Model!$AP$179</definedName>
    <definedName name="v_60_SCH4">Model!$AL$179</definedName>
    <definedName name="v_60_SCO2">Model!$AN$179</definedName>
    <definedName name="v_60_SFe2">Model!$AU$179</definedName>
    <definedName name="v_60_SH2">Model!$AM$179</definedName>
    <definedName name="v_60_SK">Model!$AT$179</definedName>
    <definedName name="v_60_SMEOL">Model!$G$179</definedName>
    <definedName name="v_60_SMg">Model!$AS$179</definedName>
    <definedName name="v_60_SN_B">Model!$AC$179</definedName>
    <definedName name="v_60_SN2">Model!$AB$179</definedName>
    <definedName name="v_60_SNHx">Model!$Y$179</definedName>
    <definedName name="v_60_SNO2">Model!$Z$179</definedName>
    <definedName name="v_60_SNO3">Model!$AA$179</definedName>
    <definedName name="v_60_SO2">Model!$AK$179</definedName>
    <definedName name="v_60_SORPswitch">Model!$BQ$179</definedName>
    <definedName name="v_60_SP_B">Model!$AH$179</definedName>
    <definedName name="v_60_SPO4">Model!$AF$179</definedName>
    <definedName name="v_60_SU">Model!$J$179</definedName>
    <definedName name="v_60_SVFA">Model!$E$179</definedName>
    <definedName name="v_60_XACP">Model!$BK$179</definedName>
    <definedName name="v_60_XAMETO">Model!$W$179</definedName>
    <definedName name="v_60_XAMX">Model!$V$179</definedName>
    <definedName name="v_60_XAOB">Model!$T$179</definedName>
    <definedName name="v_60_XB">Model!$I$179</definedName>
    <definedName name="v_60_XBSH">Model!$BL$179</definedName>
    <definedName name="v_60_XCaCO3">Model!$BJ$179</definedName>
    <definedName name="v_60_XCASTO">Model!$R$179</definedName>
    <definedName name="v_60_XE">Model!$O$179</definedName>
    <definedName name="v_60_XE_ana">Model!$P$179</definedName>
    <definedName name="v_60_XGLY">Model!$N$179</definedName>
    <definedName name="v_60_XHAO_H">Model!$BC$179</definedName>
    <definedName name="v_60_XHAO_H_P">Model!$BF$179</definedName>
    <definedName name="v_60_XHAO_H_P_old">Model!$BH$179</definedName>
    <definedName name="v_60_XHAO_L">Model!$BD$179</definedName>
    <definedName name="v_60_XHAO_L_P">Model!$BG$179</definedName>
    <definedName name="v_60_XHAO_L_P_old">Model!$BI$179</definedName>
    <definedName name="v_60_XHAO_old">Model!$BE$179</definedName>
    <definedName name="v_60_XHFO_H">Model!$AV$179</definedName>
    <definedName name="v_60_XHFO_H_P">Model!$AY$179</definedName>
    <definedName name="v_60_XHFO_H_P_old">Model!$BA$179</definedName>
    <definedName name="v_60_XHFO_L">Model!$AW$179</definedName>
    <definedName name="v_60_XHFO_L_P">Model!$AZ$179</definedName>
    <definedName name="v_60_XHFO_L_P_old">Model!$BB$179</definedName>
    <definedName name="v_60_XHFO_old">Model!$AX$179</definedName>
    <definedName name="v_60_XHMETO">Model!$X$179</definedName>
    <definedName name="v_60_XINORG">Model!$AO$179</definedName>
    <definedName name="v_60_XMEOLO">Model!$S$179</definedName>
    <definedName name="v_60_XN_B">Model!$AD$179</definedName>
    <definedName name="v_60_XN_U">Model!$AE$179</definedName>
    <definedName name="v_60_XNOB">Model!$U$179</definedName>
    <definedName name="v_60_XOHO">Model!$Q$179</definedName>
    <definedName name="v_60_XP_B">Model!$AI$179</definedName>
    <definedName name="v_60_XP_U">Model!$AJ$179</definedName>
    <definedName name="v_60_XPHA">Model!$M$179</definedName>
    <definedName name="v_60_XPP">Model!$AG$179</definedName>
    <definedName name="v_60_XSTR">Model!$BM$179</definedName>
    <definedName name="v_60_XU">Model!$L$179</definedName>
    <definedName name="v_60_XVivi">Model!$BN$179</definedName>
    <definedName name="v_61_CB">Model!$H$180</definedName>
    <definedName name="v_61_CU">Model!$K$180</definedName>
    <definedName name="v_61_GCH4">Model!$BS$180</definedName>
    <definedName name="v_61_GCH4_atm">Model!$BY$180</definedName>
    <definedName name="v_61_GCO2">Model!$BR$180</definedName>
    <definedName name="v_61_GCO2_atm">Model!$BX$180</definedName>
    <definedName name="v_61_GH2">Model!$BT$180</definedName>
    <definedName name="v_61_GH2_atm">Model!$BZ$180</definedName>
    <definedName name="v_61_GN2">Model!$BW$180</definedName>
    <definedName name="v_61_GN2_atm">Model!$CC$180</definedName>
    <definedName name="v_61_GNH3">Model!$BV$180</definedName>
    <definedName name="v_61_GNH3_atm">Model!$CB$180</definedName>
    <definedName name="v_61_GO2">Model!$BU$180</definedName>
    <definedName name="v_61_GO2_atm">Model!$CA$180</definedName>
    <definedName name="v_61_H">Model!$BO$180</definedName>
    <definedName name="v_61_SALPHA">Model!$BP$180</definedName>
    <definedName name="v_61_SAN">Model!$AQ$180</definedName>
    <definedName name="v_61_SB">Model!$F$180</definedName>
    <definedName name="v_61_SCa">Model!$AR$180</definedName>
    <definedName name="v_61_SCAT">Model!$AP$180</definedName>
    <definedName name="v_61_SCH4">Model!$AL$180</definedName>
    <definedName name="v_61_SCO2">Model!$AN$180</definedName>
    <definedName name="v_61_SFe2">Model!$AU$180</definedName>
    <definedName name="v_61_SH2">Model!$AM$180</definedName>
    <definedName name="v_61_SK">Model!$AT$180</definedName>
    <definedName name="v_61_SMEOL">Model!$G$180</definedName>
    <definedName name="v_61_SMg">Model!$AS$180</definedName>
    <definedName name="v_61_SN_B">Model!$AC$180</definedName>
    <definedName name="v_61_SN2">Model!$AB$180</definedName>
    <definedName name="v_61_SNHx">Model!$Y$180</definedName>
    <definedName name="v_61_SNO2">Model!$Z$180</definedName>
    <definedName name="v_61_SNO3">Model!$AA$180</definedName>
    <definedName name="v_61_SO2">Model!$AK$180</definedName>
    <definedName name="v_61_SORPswitch">Model!$BQ$180</definedName>
    <definedName name="v_61_SP_B">Model!$AH$180</definedName>
    <definedName name="v_61_SPO4">Model!$AF$180</definedName>
    <definedName name="v_61_SU">Model!$J$180</definedName>
    <definedName name="v_61_SVFA">Model!$E$180</definedName>
    <definedName name="v_61_XACP">Model!$BK$180</definedName>
    <definedName name="v_61_XAMETO">Model!$W$180</definedName>
    <definedName name="v_61_XAMX">Model!$V$180</definedName>
    <definedName name="v_61_XAOB">Model!$T$180</definedName>
    <definedName name="v_61_XB">Model!$I$180</definedName>
    <definedName name="v_61_XBSH">Model!$BL$180</definedName>
    <definedName name="v_61_XCaCO3">Model!$BJ$180</definedName>
    <definedName name="v_61_XCASTO">Model!$R$180</definedName>
    <definedName name="v_61_XE">Model!$O$180</definedName>
    <definedName name="v_61_XE_ana">Model!$P$180</definedName>
    <definedName name="v_61_XGLY">Model!$N$180</definedName>
    <definedName name="v_61_XHAO_H">Model!$BC$180</definedName>
    <definedName name="v_61_XHAO_H_P">Model!$BF$180</definedName>
    <definedName name="v_61_XHAO_H_P_old">Model!$BH$180</definedName>
    <definedName name="v_61_XHAO_L">Model!$BD$180</definedName>
    <definedName name="v_61_XHAO_L_P">Model!$BG$180</definedName>
    <definedName name="v_61_XHAO_L_P_old">Model!$BI$180</definedName>
    <definedName name="v_61_XHAO_old">Model!$BE$180</definedName>
    <definedName name="v_61_XHFO_H">Model!$AV$180</definedName>
    <definedName name="v_61_XHFO_H_P">Model!$AY$180</definedName>
    <definedName name="v_61_XHFO_H_P_old">Model!$BA$180</definedName>
    <definedName name="v_61_XHFO_L">Model!$AW$180</definedName>
    <definedName name="v_61_XHFO_L_P">Model!$AZ$180</definedName>
    <definedName name="v_61_XHFO_L_P_old">Model!$BB$180</definedName>
    <definedName name="v_61_XHFO_old">Model!$AX$180</definedName>
    <definedName name="v_61_XHMETO">Model!$X$180</definedName>
    <definedName name="v_61_XINORG">Model!$AO$180</definedName>
    <definedName name="v_61_XMEOLO">Model!$S$180</definedName>
    <definedName name="v_61_XN_B">Model!$AD$180</definedName>
    <definedName name="v_61_XN_U">Model!$AE$180</definedName>
    <definedName name="v_61_XNOB">Model!$U$180</definedName>
    <definedName name="v_61_XOHO">Model!$Q$180</definedName>
    <definedName name="v_61_XP_B">Model!$AI$180</definedName>
    <definedName name="v_61_XP_U">Model!$AJ$180</definedName>
    <definedName name="v_61_XPHA">Model!$M$180</definedName>
    <definedName name="v_61_XPP">Model!$AG$180</definedName>
    <definedName name="v_61_XSTR">Model!$BM$180</definedName>
    <definedName name="v_61_XU">Model!$L$180</definedName>
    <definedName name="v_61_XVivi">Model!$BN$180</definedName>
    <definedName name="v_62_CB">Model!$H$181</definedName>
    <definedName name="v_62_CU">Model!$K$181</definedName>
    <definedName name="v_62_GCH4">Model!$BS$181</definedName>
    <definedName name="v_62_GCH4_atm">Model!$BY$181</definedName>
    <definedName name="v_62_GCO2">Model!$BR$181</definedName>
    <definedName name="v_62_GCO2_atm">Model!$BX$181</definedName>
    <definedName name="v_62_GH2">Model!$BT$181</definedName>
    <definedName name="v_62_GH2_atm">Model!$BZ$181</definedName>
    <definedName name="v_62_GN2">Model!$BW$181</definedName>
    <definedName name="v_62_GN2_atm">Model!$CC$181</definedName>
    <definedName name="v_62_GNH3">Model!$BV$181</definedName>
    <definedName name="v_62_GNH3_atm">Model!$CB$181</definedName>
    <definedName name="v_62_GO2">Model!$BU$181</definedName>
    <definedName name="v_62_GO2_atm">Model!$CA$181</definedName>
    <definedName name="v_62_H">Model!$BO$181</definedName>
    <definedName name="v_62_SALPHA">Model!$BP$181</definedName>
    <definedName name="v_62_SAN">Model!$AQ$181</definedName>
    <definedName name="v_62_SB">Model!$F$181</definedName>
    <definedName name="v_62_SCa">Model!$AR$181</definedName>
    <definedName name="v_62_SCAT">Model!$AP$181</definedName>
    <definedName name="v_62_SCH4">Model!$AL$181</definedName>
    <definedName name="v_62_SCO2">Model!$AN$181</definedName>
    <definedName name="v_62_SFe2">Model!$AU$181</definedName>
    <definedName name="v_62_SH2">Model!$AM$181</definedName>
    <definedName name="v_62_SK">Model!$AT$181</definedName>
    <definedName name="v_62_SMEOL">Model!$G$181</definedName>
    <definedName name="v_62_SMg">Model!$AS$181</definedName>
    <definedName name="v_62_SN_B">Model!$AC$181</definedName>
    <definedName name="v_62_SN2">Model!$AB$181</definedName>
    <definedName name="v_62_SNHx">Model!$Y$181</definedName>
    <definedName name="v_62_SNO2">Model!$Z$181</definedName>
    <definedName name="v_62_SNO3">Model!$AA$181</definedName>
    <definedName name="v_62_SO2">Model!$AK$181</definedName>
    <definedName name="v_62_SORPswitch">Model!$BQ$181</definedName>
    <definedName name="v_62_SP_B">Model!$AH$181</definedName>
    <definedName name="v_62_SPO4">Model!$AF$181</definedName>
    <definedName name="v_62_SU">Model!$J$181</definedName>
    <definedName name="v_62_SVFA">Model!$E$181</definedName>
    <definedName name="v_62_XACP">Model!$BK$181</definedName>
    <definedName name="v_62_XAMETO">Model!$W$181</definedName>
    <definedName name="v_62_XAMX">Model!$V$181</definedName>
    <definedName name="v_62_XAOB">Model!$T$181</definedName>
    <definedName name="v_62_XB">Model!$I$181</definedName>
    <definedName name="v_62_XBSH">Model!$BL$181</definedName>
    <definedName name="v_62_XCaCO3">Model!$BJ$181</definedName>
    <definedName name="v_62_XCASTO">Model!$R$181</definedName>
    <definedName name="v_62_XE">Model!$O$181</definedName>
    <definedName name="v_62_XE_ana">Model!$P$181</definedName>
    <definedName name="v_62_XGLY">Model!$N$181</definedName>
    <definedName name="v_62_XHAO_H">Model!$BC$181</definedName>
    <definedName name="v_62_XHAO_H_P">Model!$BF$181</definedName>
    <definedName name="v_62_XHAO_H_P_old">Model!$BH$181</definedName>
    <definedName name="v_62_XHAO_L">Model!$BD$181</definedName>
    <definedName name="v_62_XHAO_L_P">Model!$BG$181</definedName>
    <definedName name="v_62_XHAO_L_P_old">Model!$BI$181</definedName>
    <definedName name="v_62_XHAO_old">Model!$BE$181</definedName>
    <definedName name="v_62_XHFO_H">Model!$AV$181</definedName>
    <definedName name="v_62_XHFO_H_P">Model!$AY$181</definedName>
    <definedName name="v_62_XHFO_H_P_old">Model!$BA$181</definedName>
    <definedName name="v_62_XHFO_L">Model!$AW$181</definedName>
    <definedName name="v_62_XHFO_L_P">Model!$AZ$181</definedName>
    <definedName name="v_62_XHFO_L_P_old">Model!$BB$181</definedName>
    <definedName name="v_62_XHFO_old">Model!$AX$181</definedName>
    <definedName name="v_62_XHMETO">Model!$X$181</definedName>
    <definedName name="v_62_XINORG">Model!$AO$181</definedName>
    <definedName name="v_62_XMEOLO">Model!$S$181</definedName>
    <definedName name="v_62_XN_B">Model!$AD$181</definedName>
    <definedName name="v_62_XN_U">Model!$AE$181</definedName>
    <definedName name="v_62_XNOB">Model!$U$181</definedName>
    <definedName name="v_62_XOHO">Model!$Q$181</definedName>
    <definedName name="v_62_XP_B">Model!$AI$181</definedName>
    <definedName name="v_62_XP_U">Model!$AJ$181</definedName>
    <definedName name="v_62_XPHA">Model!$M$181</definedName>
    <definedName name="v_62_XPP">Model!$AG$181</definedName>
    <definedName name="v_62_XSTR">Model!$BM$181</definedName>
    <definedName name="v_62_XU">Model!$L$181</definedName>
    <definedName name="v_62_XVivi">Model!$BN$181</definedName>
    <definedName name="v_63_CB">Model!$H$182</definedName>
    <definedName name="v_63_CU">Model!$K$182</definedName>
    <definedName name="v_63_GCH4">Model!$BS$182</definedName>
    <definedName name="v_63_GCH4_atm">Model!$BY$182</definedName>
    <definedName name="v_63_GCO2">Model!$BR$182</definedName>
    <definedName name="v_63_GCO2_atm">Model!$BX$182</definedName>
    <definedName name="v_63_GH2">Model!$BT$182</definedName>
    <definedName name="v_63_GH2_atm">Model!$BZ$182</definedName>
    <definedName name="v_63_GN2">Model!$BW$182</definedName>
    <definedName name="v_63_GN2_atm">Model!$CC$182</definedName>
    <definedName name="v_63_GNH3">Model!$BV$182</definedName>
    <definedName name="v_63_GNH3_atm">Model!$CB$182</definedName>
    <definedName name="v_63_GO2">Model!$BU$182</definedName>
    <definedName name="v_63_GO2_atm">Model!$CA$182</definedName>
    <definedName name="v_63_H">Model!$BO$182</definedName>
    <definedName name="v_63_SALPHA">Model!$BP$182</definedName>
    <definedName name="v_63_SAN">Model!$AQ$182</definedName>
    <definedName name="v_63_SB">Model!$F$182</definedName>
    <definedName name="v_63_SCa">Model!$AR$182</definedName>
    <definedName name="v_63_SCAT">Model!$AP$182</definedName>
    <definedName name="v_63_SCH4">Model!$AL$182</definedName>
    <definedName name="v_63_SCO2">Model!$AN$182</definedName>
    <definedName name="v_63_SFe2">Model!$AU$182</definedName>
    <definedName name="v_63_SH2">Model!$AM$182</definedName>
    <definedName name="v_63_SK">Model!$AT$182</definedName>
    <definedName name="v_63_SMEOL">Model!$G$182</definedName>
    <definedName name="v_63_SMg">Model!$AS$182</definedName>
    <definedName name="v_63_SN_B">Model!$AC$182</definedName>
    <definedName name="v_63_SN2">Model!$AB$182</definedName>
    <definedName name="v_63_SNHx">Model!$Y$182</definedName>
    <definedName name="v_63_SNO2">Model!$Z$182</definedName>
    <definedName name="v_63_SNO3">Model!$AA$182</definedName>
    <definedName name="v_63_SO2">Model!$AK$182</definedName>
    <definedName name="v_63_SORPswitch">Model!$BQ$182</definedName>
    <definedName name="v_63_SP_B">Model!$AH$182</definedName>
    <definedName name="v_63_SPO4">Model!$AF$182</definedName>
    <definedName name="v_63_SU">Model!$J$182</definedName>
    <definedName name="v_63_SVFA">Model!$E$182</definedName>
    <definedName name="v_63_XACP">Model!$BK$182</definedName>
    <definedName name="v_63_XAMETO">Model!$W$182</definedName>
    <definedName name="v_63_XAMX">Model!$V$182</definedName>
    <definedName name="v_63_XAOB">Model!$T$182</definedName>
    <definedName name="v_63_XB">Model!$I$182</definedName>
    <definedName name="v_63_XBSH">Model!$BL$182</definedName>
    <definedName name="v_63_XCaCO3">Model!$BJ$182</definedName>
    <definedName name="v_63_XCASTO">Model!$R$182</definedName>
    <definedName name="v_63_XE">Model!$O$182</definedName>
    <definedName name="v_63_XE_ana">Model!$P$182</definedName>
    <definedName name="v_63_XGLY">Model!$N$182</definedName>
    <definedName name="v_63_XHAO_H">Model!$BC$182</definedName>
    <definedName name="v_63_XHAO_H_P">Model!$BF$182</definedName>
    <definedName name="v_63_XHAO_H_P_old">Model!$BH$182</definedName>
    <definedName name="v_63_XHAO_L">Model!$BD$182</definedName>
    <definedName name="v_63_XHAO_L_P">Model!$BG$182</definedName>
    <definedName name="v_63_XHAO_L_P_old">Model!$BI$182</definedName>
    <definedName name="v_63_XHAO_old">Model!$BE$182</definedName>
    <definedName name="v_63_XHFO_H">Model!$AV$182</definedName>
    <definedName name="v_63_XHFO_H_P">Model!$AY$182</definedName>
    <definedName name="v_63_XHFO_H_P_old">Model!$BA$182</definedName>
    <definedName name="v_63_XHFO_L">Model!$AW$182</definedName>
    <definedName name="v_63_XHFO_L_P">Model!$AZ$182</definedName>
    <definedName name="v_63_XHFO_L_P_old">Model!$BB$182</definedName>
    <definedName name="v_63_XHFO_old">Model!$AX$182</definedName>
    <definedName name="v_63_XHMETO">Model!$X$182</definedName>
    <definedName name="v_63_XINORG">Model!$AO$182</definedName>
    <definedName name="v_63_XMEOLO">Model!$S$182</definedName>
    <definedName name="v_63_XN_B">Model!$AD$182</definedName>
    <definedName name="v_63_XN_U">Model!$AE$182</definedName>
    <definedName name="v_63_XNOB">Model!$U$182</definedName>
    <definedName name="v_63_XOHO">Model!$Q$182</definedName>
    <definedName name="v_63_XP_B">Model!$AI$182</definedName>
    <definedName name="v_63_XP_U">Model!$AJ$182</definedName>
    <definedName name="v_63_XPHA">Model!$M$182</definedName>
    <definedName name="v_63_XPP">Model!$AG$182</definedName>
    <definedName name="v_63_XSTR">Model!$BM$182</definedName>
    <definedName name="v_63_XU">Model!$L$182</definedName>
    <definedName name="v_63_XVivi">Model!$BN$182</definedName>
    <definedName name="v_64_CB">Model!$H$183</definedName>
    <definedName name="v_64_CU">Model!$K$183</definedName>
    <definedName name="v_64_GCH4">Model!$BS$183</definedName>
    <definedName name="v_64_GCH4_atm">Model!$BY$183</definedName>
    <definedName name="v_64_GCO2">Model!$BR$183</definedName>
    <definedName name="v_64_GCO2_atm">Model!$BX$183</definedName>
    <definedName name="v_64_GH2">Model!$BT$183</definedName>
    <definedName name="v_64_GH2_atm">Model!$BZ$183</definedName>
    <definedName name="v_64_GN2">Model!$BW$183</definedName>
    <definedName name="v_64_GN2_atm">Model!$CC$183</definedName>
    <definedName name="v_64_GNH3">Model!$BV$183</definedName>
    <definedName name="v_64_GNH3_atm">Model!$CB$183</definedName>
    <definedName name="v_64_GO2">Model!$BU$183</definedName>
    <definedName name="v_64_GO2_atm">Model!$CA$183</definedName>
    <definedName name="v_64_H">Model!$BO$183</definedName>
    <definedName name="v_64_SALPHA">Model!$BP$183</definedName>
    <definedName name="v_64_SAN">Model!$AQ$183</definedName>
    <definedName name="v_64_SB">Model!$F$183</definedName>
    <definedName name="v_64_SCa">Model!$AR$183</definedName>
    <definedName name="v_64_SCAT">Model!$AP$183</definedName>
    <definedName name="v_64_SCH4">Model!$AL$183</definedName>
    <definedName name="v_64_SCO2">Model!$AN$183</definedName>
    <definedName name="v_64_SFe2">Model!$AU$183</definedName>
    <definedName name="v_64_SH2">Model!$AM$183</definedName>
    <definedName name="v_64_SK">Model!$AT$183</definedName>
    <definedName name="v_64_SMEOL">Model!$G$183</definedName>
    <definedName name="v_64_SMg">Model!$AS$183</definedName>
    <definedName name="v_64_SN_B">Model!$AC$183</definedName>
    <definedName name="v_64_SN2">Model!$AB$183</definedName>
    <definedName name="v_64_SNHx">Model!$Y$183</definedName>
    <definedName name="v_64_SNO2">Model!$Z$183</definedName>
    <definedName name="v_64_SNO3">Model!$AA$183</definedName>
    <definedName name="v_64_SO2">Model!$AK$183</definedName>
    <definedName name="v_64_SORPswitch">Model!$BQ$183</definedName>
    <definedName name="v_64_SP_B">Model!$AH$183</definedName>
    <definedName name="v_64_SPO4">Model!$AF$183</definedName>
    <definedName name="v_64_SU">Model!$J$183</definedName>
    <definedName name="v_64_SVFA">Model!$E$183</definedName>
    <definedName name="v_64_XACP">Model!$BK$183</definedName>
    <definedName name="v_64_XAMETO">Model!$W$183</definedName>
    <definedName name="v_64_XAMX">Model!$V$183</definedName>
    <definedName name="v_64_XAOB">Model!$T$183</definedName>
    <definedName name="v_64_XB">Model!$I$183</definedName>
    <definedName name="v_64_XBSH">Model!$BL$183</definedName>
    <definedName name="v_64_XCaCO3">Model!$BJ$183</definedName>
    <definedName name="v_64_XCASTO">Model!$R$183</definedName>
    <definedName name="v_64_XE">Model!$O$183</definedName>
    <definedName name="v_64_XE_ana">Model!$P$183</definedName>
    <definedName name="v_64_XGLY">Model!$N$183</definedName>
    <definedName name="v_64_XHAO_H">Model!$BC$183</definedName>
    <definedName name="v_64_XHAO_H_P">Model!$BF$183</definedName>
    <definedName name="v_64_XHAO_H_P_old">Model!$BH$183</definedName>
    <definedName name="v_64_XHAO_L">Model!$BD$183</definedName>
    <definedName name="v_64_XHAO_L_P">Model!$BG$183</definedName>
    <definedName name="v_64_XHAO_L_P_old">Model!$BI$183</definedName>
    <definedName name="v_64_XHAO_old">Model!$BE$183</definedName>
    <definedName name="v_64_XHFO_H">Model!$AV$183</definedName>
    <definedName name="v_64_XHFO_H_P">Model!$AY$183</definedName>
    <definedName name="v_64_XHFO_H_P_old">Model!$BA$183</definedName>
    <definedName name="v_64_XHFO_L">Model!$AW$183</definedName>
    <definedName name="v_64_XHFO_L_P">Model!$AZ$183</definedName>
    <definedName name="v_64_XHFO_L_P_old">Model!$BB$183</definedName>
    <definedName name="v_64_XHFO_old">Model!$AX$183</definedName>
    <definedName name="v_64_XHMETO">Model!$X$183</definedName>
    <definedName name="v_64_XINORG">Model!$AO$183</definedName>
    <definedName name="v_64_XMEOLO">Model!$S$183</definedName>
    <definedName name="v_64_XN_B">Model!$AD$183</definedName>
    <definedName name="v_64_XN_U">Model!$AE$183</definedName>
    <definedName name="v_64_XNOB">Model!$U$183</definedName>
    <definedName name="v_64_XOHO">Model!$Q$183</definedName>
    <definedName name="v_64_XP_B">Model!$AI$183</definedName>
    <definedName name="v_64_XP_U">Model!$AJ$183</definedName>
    <definedName name="v_64_XPHA">Model!$M$183</definedName>
    <definedName name="v_64_XPP">Model!$AG$183</definedName>
    <definedName name="v_64_XSTR">Model!$BM$183</definedName>
    <definedName name="v_64_XU">Model!$L$183</definedName>
    <definedName name="v_64_XVivi">Model!$BN$183</definedName>
    <definedName name="v_65_CB">Model!$H$184</definedName>
    <definedName name="v_65_CU">Model!$K$184</definedName>
    <definedName name="v_65_GCH4">Model!$BS$184</definedName>
    <definedName name="v_65_GCH4_atm">Model!$BY$184</definedName>
    <definedName name="v_65_GCO2">Model!$BR$184</definedName>
    <definedName name="v_65_GCO2_atm">Model!$BX$184</definedName>
    <definedName name="v_65_GH2">Model!$BT$184</definedName>
    <definedName name="v_65_GH2_atm">Model!$BZ$184</definedName>
    <definedName name="v_65_GN2">Model!$BW$184</definedName>
    <definedName name="v_65_GN2_atm">Model!$CC$184</definedName>
    <definedName name="v_65_GNH3">Model!$BV$184</definedName>
    <definedName name="v_65_GNH3_atm">Model!$CB$184</definedName>
    <definedName name="v_65_GO2">Model!$BU$184</definedName>
    <definedName name="v_65_GO2_atm">Model!$CA$184</definedName>
    <definedName name="v_65_H">Model!$BO$184</definedName>
    <definedName name="v_65_SALPHA">Model!$BP$184</definedName>
    <definedName name="v_65_SAN">Model!$AQ$184</definedName>
    <definedName name="v_65_SB">Model!$F$184</definedName>
    <definedName name="v_65_SCa">Model!$AR$184</definedName>
    <definedName name="v_65_SCAT">Model!$AP$184</definedName>
    <definedName name="v_65_SCH4">Model!$AL$184</definedName>
    <definedName name="v_65_SCO2">Model!$AN$184</definedName>
    <definedName name="v_65_SFe2">Model!$AU$184</definedName>
    <definedName name="v_65_SH2">Model!$AM$184</definedName>
    <definedName name="v_65_SK">Model!$AT$184</definedName>
    <definedName name="v_65_SMEOL">Model!$G$184</definedName>
    <definedName name="v_65_SMg">Model!$AS$184</definedName>
    <definedName name="v_65_SN_B">Model!$AC$184</definedName>
    <definedName name="v_65_SN2">Model!$AB$184</definedName>
    <definedName name="v_65_SNHx">Model!$Y$184</definedName>
    <definedName name="v_65_SNO2">Model!$Z$184</definedName>
    <definedName name="v_65_SNO3">Model!$AA$184</definedName>
    <definedName name="v_65_SO2">Model!$AK$184</definedName>
    <definedName name="v_65_SORPswitch">Model!$BQ$184</definedName>
    <definedName name="v_65_SP_B">Model!$AH$184</definedName>
    <definedName name="v_65_SPO4">Model!$AF$184</definedName>
    <definedName name="v_65_SU">Model!$J$184</definedName>
    <definedName name="v_65_SVFA">Model!$E$184</definedName>
    <definedName name="v_65_XACP">Model!$BK$184</definedName>
    <definedName name="v_65_XAMETO">Model!$W$184</definedName>
    <definedName name="v_65_XAMX">Model!$V$184</definedName>
    <definedName name="v_65_XAOB">Model!$T$184</definedName>
    <definedName name="v_65_XB">Model!$I$184</definedName>
    <definedName name="v_65_XBSH">Model!$BL$184</definedName>
    <definedName name="v_65_XCaCO3">Model!$BJ$184</definedName>
    <definedName name="v_65_XCASTO">Model!$R$184</definedName>
    <definedName name="v_65_XE">Model!$O$184</definedName>
    <definedName name="v_65_XE_ana">Model!$P$184</definedName>
    <definedName name="v_65_XGLY">Model!$N$184</definedName>
    <definedName name="v_65_XHAO_H">Model!$BC$184</definedName>
    <definedName name="v_65_XHAO_H_P">Model!$BF$184</definedName>
    <definedName name="v_65_XHAO_H_P_old">Model!$BH$184</definedName>
    <definedName name="v_65_XHAO_L">Model!$BD$184</definedName>
    <definedName name="v_65_XHAO_L_P">Model!$BG$184</definedName>
    <definedName name="v_65_XHAO_L_P_old">Model!$BI$184</definedName>
    <definedName name="v_65_XHAO_old">Model!$BE$184</definedName>
    <definedName name="v_65_XHFO_H">Model!$AV$184</definedName>
    <definedName name="v_65_XHFO_H_P">Model!$AY$184</definedName>
    <definedName name="v_65_XHFO_H_P_old">Model!$BA$184</definedName>
    <definedName name="v_65_XHFO_L">Model!$AW$184</definedName>
    <definedName name="v_65_XHFO_L_P">Model!$AZ$184</definedName>
    <definedName name="v_65_XHFO_L_P_old">Model!$BB$184</definedName>
    <definedName name="v_65_XHFO_old">Model!$AX$184</definedName>
    <definedName name="v_65_XHMETO">Model!$X$184</definedName>
    <definedName name="v_65_XINORG">Model!$AO$184</definedName>
    <definedName name="v_65_XMEOLO">Model!$S$184</definedName>
    <definedName name="v_65_XN_B">Model!$AD$184</definedName>
    <definedName name="v_65_XN_U">Model!$AE$184</definedName>
    <definedName name="v_65_XNOB">Model!$U$184</definedName>
    <definedName name="v_65_XOHO">Model!$Q$184</definedName>
    <definedName name="v_65_XP_B">Model!$AI$184</definedName>
    <definedName name="v_65_XP_U">Model!$AJ$184</definedName>
    <definedName name="v_65_XPHA">Model!$M$184</definedName>
    <definedName name="v_65_XPP">Model!$AG$184</definedName>
    <definedName name="v_65_XSTR">Model!$BM$184</definedName>
    <definedName name="v_65_XU">Model!$L$184</definedName>
    <definedName name="v_65_XVivi">Model!$BN$184</definedName>
    <definedName name="v_66_CB">Model!$H$185</definedName>
    <definedName name="v_66_CU">Model!$K$185</definedName>
    <definedName name="v_66_GCH4">Model!$BS$185</definedName>
    <definedName name="v_66_GCH4_atm">Model!$BY$185</definedName>
    <definedName name="v_66_GCO2">Model!$BR$185</definedName>
    <definedName name="v_66_GCO2_atm">Model!$BX$185</definedName>
    <definedName name="v_66_GH2">Model!$BT$185</definedName>
    <definedName name="v_66_GH2_atm">Model!$BZ$185</definedName>
    <definedName name="v_66_GN2">Model!$BW$185</definedName>
    <definedName name="v_66_GN2_atm">Model!$CC$185</definedName>
    <definedName name="v_66_GNH3">Model!$BV$185</definedName>
    <definedName name="v_66_GNH3_atm">Model!$CB$185</definedName>
    <definedName name="v_66_GO2">Model!$BU$185</definedName>
    <definedName name="v_66_GO2_atm">Model!$CA$185</definedName>
    <definedName name="v_66_H">Model!$BO$185</definedName>
    <definedName name="v_66_SALPHA">Model!$BP$185</definedName>
    <definedName name="v_66_SAN">Model!$AQ$185</definedName>
    <definedName name="v_66_SB">Model!$F$185</definedName>
    <definedName name="v_66_SCa">Model!$AR$185</definedName>
    <definedName name="v_66_SCAT">Model!$AP$185</definedName>
    <definedName name="v_66_SCH4">Model!$AL$185</definedName>
    <definedName name="v_66_SCO2">Model!$AN$185</definedName>
    <definedName name="v_66_SFe2">Model!$AU$185</definedName>
    <definedName name="v_66_SH2">Model!$AM$185</definedName>
    <definedName name="v_66_SK">Model!$AT$185</definedName>
    <definedName name="v_66_SMEOL">Model!$G$185</definedName>
    <definedName name="v_66_SMg">Model!$AS$185</definedName>
    <definedName name="v_66_SN_B">Model!$AC$185</definedName>
    <definedName name="v_66_SN2">Model!$AB$185</definedName>
    <definedName name="v_66_SNHx">Model!$Y$185</definedName>
    <definedName name="v_66_SNO2">Model!$Z$185</definedName>
    <definedName name="v_66_SNO3">Model!$AA$185</definedName>
    <definedName name="v_66_SO2">Model!$AK$185</definedName>
    <definedName name="v_66_SORPswitch">Model!$BQ$185</definedName>
    <definedName name="v_66_SP_B">Model!$AH$185</definedName>
    <definedName name="v_66_SPO4">Model!$AF$185</definedName>
    <definedName name="v_66_SU">Model!$J$185</definedName>
    <definedName name="v_66_SVFA">Model!$E$185</definedName>
    <definedName name="v_66_XACP">Model!$BK$185</definedName>
    <definedName name="v_66_XAMETO">Model!$W$185</definedName>
    <definedName name="v_66_XAMX">Model!$V$185</definedName>
    <definedName name="v_66_XAOB">Model!$T$185</definedName>
    <definedName name="v_66_XB">Model!$I$185</definedName>
    <definedName name="v_66_XBSH">Model!$BL$185</definedName>
    <definedName name="v_66_XCaCO3">Model!$BJ$185</definedName>
    <definedName name="v_66_XCASTO">Model!$R$185</definedName>
    <definedName name="v_66_XE">Model!$O$185</definedName>
    <definedName name="v_66_XE_ana">Model!$P$185</definedName>
    <definedName name="v_66_XGLY">Model!$N$185</definedName>
    <definedName name="v_66_XHAO_H">Model!$BC$185</definedName>
    <definedName name="v_66_XHAO_H_P">Model!$BF$185</definedName>
    <definedName name="v_66_XHAO_H_P_old">Model!$BH$185</definedName>
    <definedName name="v_66_XHAO_L">Model!$BD$185</definedName>
    <definedName name="v_66_XHAO_L_P">Model!$BG$185</definedName>
    <definedName name="v_66_XHAO_L_P_old">Model!$BI$185</definedName>
    <definedName name="v_66_XHAO_old">Model!$BE$185</definedName>
    <definedName name="v_66_XHFO_H">Model!$AV$185</definedName>
    <definedName name="v_66_XHFO_H_P">Model!$AY$185</definedName>
    <definedName name="v_66_XHFO_H_P_old">Model!$BA$185</definedName>
    <definedName name="v_66_XHFO_L">Model!$AW$185</definedName>
    <definedName name="v_66_XHFO_L_P">Model!$AZ$185</definedName>
    <definedName name="v_66_XHFO_L_P_old">Model!$BB$185</definedName>
    <definedName name="v_66_XHFO_old">Model!$AX$185</definedName>
    <definedName name="v_66_XHMETO">Model!$X$185</definedName>
    <definedName name="v_66_XINORG">Model!$AO$185</definedName>
    <definedName name="v_66_XMEOLO">Model!$S$185</definedName>
    <definedName name="v_66_XN_B">Model!$AD$185</definedName>
    <definedName name="v_66_XN_U">Model!$AE$185</definedName>
    <definedName name="v_66_XNOB">Model!$U$185</definedName>
    <definedName name="v_66_XOHO">Model!$Q$185</definedName>
    <definedName name="v_66_XP_B">Model!$AI$185</definedName>
    <definedName name="v_66_XP_U">Model!$AJ$185</definedName>
    <definedName name="v_66_XPHA">Model!$M$185</definedName>
    <definedName name="v_66_XPP">Model!$AG$185</definedName>
    <definedName name="v_66_XSTR">Model!$BM$185</definedName>
    <definedName name="v_66_XU">Model!$L$185</definedName>
    <definedName name="v_66_XVivi">Model!$BN$185</definedName>
    <definedName name="v_67_CB">Model!$H$186</definedName>
    <definedName name="v_67_CU">Model!$K$186</definedName>
    <definedName name="v_67_GCH4">Model!$BS$186</definedName>
    <definedName name="v_67_GCH4_atm">Model!$BY$186</definedName>
    <definedName name="v_67_GCO2">Model!$BR$186</definedName>
    <definedName name="v_67_GCO2_atm">Model!$BX$186</definedName>
    <definedName name="v_67_GH2">Model!$BT$186</definedName>
    <definedName name="v_67_GH2_atm">Model!$BZ$186</definedName>
    <definedName name="v_67_GN2">Model!$BW$186</definedName>
    <definedName name="v_67_GN2_atm">Model!$CC$186</definedName>
    <definedName name="v_67_GNH3">Model!$BV$186</definedName>
    <definedName name="v_67_GNH3_atm">Model!$CB$186</definedName>
    <definedName name="v_67_GO2">Model!$BU$186</definedName>
    <definedName name="v_67_GO2_atm">Model!$CA$186</definedName>
    <definedName name="v_67_H">Model!$BO$186</definedName>
    <definedName name="v_67_SALPHA">Model!$BP$186</definedName>
    <definedName name="v_67_SAN">Model!$AQ$186</definedName>
    <definedName name="v_67_SB">Model!$F$186</definedName>
    <definedName name="v_67_SCa">Model!$AR$186</definedName>
    <definedName name="v_67_SCAT">Model!$AP$186</definedName>
    <definedName name="v_67_SCH4">Model!$AL$186</definedName>
    <definedName name="v_67_SCO2">Model!$AN$186</definedName>
    <definedName name="v_67_SFe2">Model!$AU$186</definedName>
    <definedName name="v_67_SH2">Model!$AM$186</definedName>
    <definedName name="v_67_SK">Model!$AT$186</definedName>
    <definedName name="v_67_SMEOL">Model!$G$186</definedName>
    <definedName name="v_67_SMg">Model!$AS$186</definedName>
    <definedName name="v_67_SN_B">Model!$AC$186</definedName>
    <definedName name="v_67_SN2">Model!$AB$186</definedName>
    <definedName name="v_67_SNHx">Model!$Y$186</definedName>
    <definedName name="v_67_SNO2">Model!$Z$186</definedName>
    <definedName name="v_67_SNO3">Model!$AA$186</definedName>
    <definedName name="v_67_SO2">Model!$AK$186</definedName>
    <definedName name="v_67_SORPswitch">Model!$BQ$186</definedName>
    <definedName name="v_67_SP_B">Model!$AH$186</definedName>
    <definedName name="v_67_SPO4">Model!$AF$186</definedName>
    <definedName name="v_67_SU">Model!$J$186</definedName>
    <definedName name="v_67_SVFA">Model!$E$186</definedName>
    <definedName name="v_67_XACP">Model!$BK$186</definedName>
    <definedName name="v_67_XAMETO">Model!$W$186</definedName>
    <definedName name="v_67_XAMX">Model!$V$186</definedName>
    <definedName name="v_67_XAOB">Model!$T$186</definedName>
    <definedName name="v_67_XB">Model!$I$186</definedName>
    <definedName name="v_67_XBSH">Model!$BL$186</definedName>
    <definedName name="v_67_XCaCO3">Model!$BJ$186</definedName>
    <definedName name="v_67_XCASTO">Model!$R$186</definedName>
    <definedName name="v_67_XE">Model!$O$186</definedName>
    <definedName name="v_67_XE_ana">Model!$P$186</definedName>
    <definedName name="v_67_XGLY">Model!$N$186</definedName>
    <definedName name="v_67_XHAO_H">Model!$BC$186</definedName>
    <definedName name="v_67_XHAO_H_P">Model!$BF$186</definedName>
    <definedName name="v_67_XHAO_H_P_old">Model!$BH$186</definedName>
    <definedName name="v_67_XHAO_L">Model!$BD$186</definedName>
    <definedName name="v_67_XHAO_L_P">Model!$BG$186</definedName>
    <definedName name="v_67_XHAO_L_P_old">Model!$BI$186</definedName>
    <definedName name="v_67_XHAO_old">Model!$BE$186</definedName>
    <definedName name="v_67_XHFO_H">Model!$AV$186</definedName>
    <definedName name="v_67_XHFO_H_P">Model!$AY$186</definedName>
    <definedName name="v_67_XHFO_H_P_old">Model!$BA$186</definedName>
    <definedName name="v_67_XHFO_L">Model!$AW$186</definedName>
    <definedName name="v_67_XHFO_L_P">Model!$AZ$186</definedName>
    <definedName name="v_67_XHFO_L_P_old">Model!$BB$186</definedName>
    <definedName name="v_67_XHFO_old">Model!$AX$186</definedName>
    <definedName name="v_67_XHMETO">Model!$X$186</definedName>
    <definedName name="v_67_XINORG">Model!$AO$186</definedName>
    <definedName name="v_67_XMEOLO">Model!$S$186</definedName>
    <definedName name="v_67_XN_B">Model!$AD$186</definedName>
    <definedName name="v_67_XN_U">Model!$AE$186</definedName>
    <definedName name="v_67_XNOB">Model!$U$186</definedName>
    <definedName name="v_67_XOHO">Model!$Q$186</definedName>
    <definedName name="v_67_XP_B">Model!$AI$186</definedName>
    <definedName name="v_67_XP_U">Model!$AJ$186</definedName>
    <definedName name="v_67_XPHA">Model!$M$186</definedName>
    <definedName name="v_67_XPP">Model!$AG$186</definedName>
    <definedName name="v_67_XSTR">Model!$BM$186</definedName>
    <definedName name="v_67_XU">Model!$L$186</definedName>
    <definedName name="v_67_XVivi">Model!$BN$186</definedName>
    <definedName name="v_68_CB">Model!$H$187</definedName>
    <definedName name="v_68_CU">Model!$K$187</definedName>
    <definedName name="v_68_GCH4">Model!$BS$187</definedName>
    <definedName name="v_68_GCH4_atm">Model!$BY$187</definedName>
    <definedName name="v_68_GCO2">Model!$BR$187</definedName>
    <definedName name="v_68_GCO2_atm">Model!$BX$187</definedName>
    <definedName name="v_68_GH2">Model!$BT$187</definedName>
    <definedName name="v_68_GH2_atm">Model!$BZ$187</definedName>
    <definedName name="v_68_GN2">Model!$BW$187</definedName>
    <definedName name="v_68_GN2_atm">Model!$CC$187</definedName>
    <definedName name="v_68_GNH3">Model!$BV$187</definedName>
    <definedName name="v_68_GNH3_atm">Model!$CB$187</definedName>
    <definedName name="v_68_GO2">Model!$BU$187</definedName>
    <definedName name="v_68_GO2_atm">Model!$CA$187</definedName>
    <definedName name="v_68_H">Model!$BO$187</definedName>
    <definedName name="v_68_SALPHA">Model!$BP$187</definedName>
    <definedName name="v_68_SAN">Model!$AQ$187</definedName>
    <definedName name="v_68_SB">Model!$F$187</definedName>
    <definedName name="v_68_SCa">Model!$AR$187</definedName>
    <definedName name="v_68_SCAT">Model!$AP$187</definedName>
    <definedName name="v_68_SCH4">Model!$AL$187</definedName>
    <definedName name="v_68_SCO2">Model!$AN$187</definedName>
    <definedName name="v_68_SFe2">Model!$AU$187</definedName>
    <definedName name="v_68_SH2">Model!$AM$187</definedName>
    <definedName name="v_68_SK">Model!$AT$187</definedName>
    <definedName name="v_68_SMEOL">Model!$G$187</definedName>
    <definedName name="v_68_SMg">Model!$AS$187</definedName>
    <definedName name="v_68_SN_B">Model!$AC$187</definedName>
    <definedName name="v_68_SN2">Model!$AB$187</definedName>
    <definedName name="v_68_SNHx">Model!$Y$187</definedName>
    <definedName name="v_68_SNO2">Model!$Z$187</definedName>
    <definedName name="v_68_SNO3">Model!$AA$187</definedName>
    <definedName name="v_68_SO2">Model!$AK$187</definedName>
    <definedName name="v_68_SORPswitch">Model!$BQ$187</definedName>
    <definedName name="v_68_SP_B">Model!$AH$187</definedName>
    <definedName name="v_68_SPO4">Model!$AF$187</definedName>
    <definedName name="v_68_SU">Model!$J$187</definedName>
    <definedName name="v_68_SVFA">Model!$E$187</definedName>
    <definedName name="v_68_XACP">Model!$BK$187</definedName>
    <definedName name="v_68_XAMETO">Model!$W$187</definedName>
    <definedName name="v_68_XAMX">Model!$V$187</definedName>
    <definedName name="v_68_XAOB">Model!$T$187</definedName>
    <definedName name="v_68_XB">Model!$I$187</definedName>
    <definedName name="v_68_XBSH">Model!$BL$187</definedName>
    <definedName name="v_68_XCaCO3">Model!$BJ$187</definedName>
    <definedName name="v_68_XCASTO">Model!$R$187</definedName>
    <definedName name="v_68_XE">Model!$O$187</definedName>
    <definedName name="v_68_XE_ana">Model!$P$187</definedName>
    <definedName name="v_68_XGLY">Model!$N$187</definedName>
    <definedName name="v_68_XHAO_H">Model!$BC$187</definedName>
    <definedName name="v_68_XHAO_H_P">Model!$BF$187</definedName>
    <definedName name="v_68_XHAO_H_P_old">Model!$BH$187</definedName>
    <definedName name="v_68_XHAO_L">Model!$BD$187</definedName>
    <definedName name="v_68_XHAO_L_P">Model!$BG$187</definedName>
    <definedName name="v_68_XHAO_L_P_old">Model!$BI$187</definedName>
    <definedName name="v_68_XHAO_old">Model!$BE$187</definedName>
    <definedName name="v_68_XHFO_H">Model!$AV$187</definedName>
    <definedName name="v_68_XHFO_H_P">Model!$AY$187</definedName>
    <definedName name="v_68_XHFO_H_P_old">Model!$BA$187</definedName>
    <definedName name="v_68_XHFO_L">Model!$AW$187</definedName>
    <definedName name="v_68_XHFO_L_P">Model!$AZ$187</definedName>
    <definedName name="v_68_XHFO_L_P_old">Model!$BB$187</definedName>
    <definedName name="v_68_XHFO_old">Model!$AX$187</definedName>
    <definedName name="v_68_XHMETO">Model!$X$187</definedName>
    <definedName name="v_68_XINORG">Model!$AO$187</definedName>
    <definedName name="v_68_XMEOLO">Model!$S$187</definedName>
    <definedName name="v_68_XN_B">Model!$AD$187</definedName>
    <definedName name="v_68_XN_U">Model!$AE$187</definedName>
    <definedName name="v_68_XNOB">Model!$U$187</definedName>
    <definedName name="v_68_XOHO">Model!$Q$187</definedName>
    <definedName name="v_68_XP_B">Model!$AI$187</definedName>
    <definedName name="v_68_XP_U">Model!$AJ$187</definedName>
    <definedName name="v_68_XPHA">Model!$M$187</definedName>
    <definedName name="v_68_XPP">Model!$AG$187</definedName>
    <definedName name="v_68_XSTR">Model!$BM$187</definedName>
    <definedName name="v_68_XU">Model!$L$187</definedName>
    <definedName name="v_68_XVivi">Model!$BN$187</definedName>
    <definedName name="v_69_CB">Model!$H$188</definedName>
    <definedName name="v_69_CU">Model!$K$188</definedName>
    <definedName name="v_69_GCH4">Model!$BS$188</definedName>
    <definedName name="v_69_GCH4_atm">Model!$BY$188</definedName>
    <definedName name="v_69_GCO2">Model!$BR$188</definedName>
    <definedName name="v_69_GCO2_atm">Model!$BX$188</definedName>
    <definedName name="v_69_GH2">Model!$BT$188</definedName>
    <definedName name="v_69_GH2_atm">Model!$BZ$188</definedName>
    <definedName name="v_69_GN2">Model!$BW$188</definedName>
    <definedName name="v_69_GN2_atm">Model!$CC$188</definedName>
    <definedName name="v_69_GNH3">Model!$BV$188</definedName>
    <definedName name="v_69_GNH3_atm">Model!$CB$188</definedName>
    <definedName name="v_69_GO2">Model!$BU$188</definedName>
    <definedName name="v_69_GO2_atm">Model!$CA$188</definedName>
    <definedName name="v_69_H">Model!$BO$188</definedName>
    <definedName name="v_69_SALPHA">Model!$BP$188</definedName>
    <definedName name="v_69_SAN">Model!$AQ$188</definedName>
    <definedName name="v_69_SB">Model!$F$188</definedName>
    <definedName name="v_69_SCa">Model!$AR$188</definedName>
    <definedName name="v_69_SCAT">Model!$AP$188</definedName>
    <definedName name="v_69_SCH4">Model!$AL$188</definedName>
    <definedName name="v_69_SCO2">Model!$AN$188</definedName>
    <definedName name="v_69_SFe2">Model!$AU$188</definedName>
    <definedName name="v_69_SH2">Model!$AM$188</definedName>
    <definedName name="v_69_SK">Model!$AT$188</definedName>
    <definedName name="v_69_SMEOL">Model!$G$188</definedName>
    <definedName name="v_69_SMg">Model!$AS$188</definedName>
    <definedName name="v_69_SN_B">Model!$AC$188</definedName>
    <definedName name="v_69_SN2">Model!$AB$188</definedName>
    <definedName name="v_69_SNHx">Model!$Y$188</definedName>
    <definedName name="v_69_SNO2">Model!$Z$188</definedName>
    <definedName name="v_69_SNO3">Model!$AA$188</definedName>
    <definedName name="v_69_SO2">Model!$AK$188</definedName>
    <definedName name="v_69_SORPswitch">Model!$BQ$188</definedName>
    <definedName name="v_69_SP_B">Model!$AH$188</definedName>
    <definedName name="v_69_SPO4">Model!$AF$188</definedName>
    <definedName name="v_69_SU">Model!$J$188</definedName>
    <definedName name="v_69_SVFA">Model!$E$188</definedName>
    <definedName name="v_69_XACP">Model!$BK$188</definedName>
    <definedName name="v_69_XAMETO">Model!$W$188</definedName>
    <definedName name="v_69_XAMX">Model!$V$188</definedName>
    <definedName name="v_69_XAOB">Model!$T$188</definedName>
    <definedName name="v_69_XB">Model!$I$188</definedName>
    <definedName name="v_69_XBSH">Model!$BL$188</definedName>
    <definedName name="v_69_XCaCO3">Model!$BJ$188</definedName>
    <definedName name="v_69_XCASTO">Model!$R$188</definedName>
    <definedName name="v_69_XE">Model!$O$188</definedName>
    <definedName name="v_69_XE_ana">Model!$P$188</definedName>
    <definedName name="v_69_XGLY">Model!$N$188</definedName>
    <definedName name="v_69_XHAO_H">Model!$BC$188</definedName>
    <definedName name="v_69_XHAO_H_P">Model!$BF$188</definedName>
    <definedName name="v_69_XHAO_H_P_old">Model!$BH$188</definedName>
    <definedName name="v_69_XHAO_L">Model!$BD$188</definedName>
    <definedName name="v_69_XHAO_L_P">Model!$BG$188</definedName>
    <definedName name="v_69_XHAO_L_P_old">Model!$BI$188</definedName>
    <definedName name="v_69_XHAO_old">Model!$BE$188</definedName>
    <definedName name="v_69_XHFO_H">Model!$AV$188</definedName>
    <definedName name="v_69_XHFO_H_P">Model!$AY$188</definedName>
    <definedName name="v_69_XHFO_H_P_old">Model!$BA$188</definedName>
    <definedName name="v_69_XHFO_L">Model!$AW$188</definedName>
    <definedName name="v_69_XHFO_L_P">Model!$AZ$188</definedName>
    <definedName name="v_69_XHFO_L_P_old">Model!$BB$188</definedName>
    <definedName name="v_69_XHFO_old">Model!$AX$188</definedName>
    <definedName name="v_69_XHMETO">Model!$X$188</definedName>
    <definedName name="v_69_XINORG">Model!$AO$188</definedName>
    <definedName name="v_69_XMEOLO">Model!$S$188</definedName>
    <definedName name="v_69_XN_B">Model!$AD$188</definedName>
    <definedName name="v_69_XN_U">Model!$AE$188</definedName>
    <definedName name="v_69_XNOB">Model!$U$188</definedName>
    <definedName name="v_69_XOHO">Model!$Q$188</definedName>
    <definedName name="v_69_XP_B">Model!$AI$188</definedName>
    <definedName name="v_69_XP_U">Model!$AJ$188</definedName>
    <definedName name="v_69_XPHA">Model!$M$188</definedName>
    <definedName name="v_69_XPP">Model!$AG$188</definedName>
    <definedName name="v_69_XSTR">Model!$BM$188</definedName>
    <definedName name="v_69_XU">Model!$L$188</definedName>
    <definedName name="v_69_XVivi">Model!$BN$188</definedName>
    <definedName name="v_7_CB">Model!$H$126</definedName>
    <definedName name="v_7_CU">Model!$K$126</definedName>
    <definedName name="v_7_GCH4">Model!$BS$126</definedName>
    <definedName name="v_7_GCH4_atm">Model!$BY$126</definedName>
    <definedName name="v_7_GCO2">Model!$BR$126</definedName>
    <definedName name="v_7_GCO2_atm">Model!$BX$126</definedName>
    <definedName name="v_7_GH2">Model!$BT$126</definedName>
    <definedName name="v_7_GH2_atm">Model!$BZ$126</definedName>
    <definedName name="v_7_GN2">Model!$BW$126</definedName>
    <definedName name="v_7_GN2_atm">Model!$CC$126</definedName>
    <definedName name="v_7_GNH3">Model!$BV$126</definedName>
    <definedName name="v_7_GNH3_atm">Model!$CB$126</definedName>
    <definedName name="v_7_GO2">Model!$BU$126</definedName>
    <definedName name="v_7_GO2_atm">Model!$CA$126</definedName>
    <definedName name="v_7_H">Model!$BO$126</definedName>
    <definedName name="v_7_SALPHA">Model!$BP$126</definedName>
    <definedName name="v_7_SAN">Model!$AQ$126</definedName>
    <definedName name="v_7_SB">Model!$F$126</definedName>
    <definedName name="v_7_SCa">Model!$AR$126</definedName>
    <definedName name="v_7_SCAT">Model!$AP$126</definedName>
    <definedName name="v_7_SCH4">Model!$AL$126</definedName>
    <definedName name="v_7_SCO2">Model!$AN$126</definedName>
    <definedName name="v_7_SFe2">Model!$AU$126</definedName>
    <definedName name="v_7_SH2">Model!$AM$126</definedName>
    <definedName name="v_7_SK">Model!$AT$126</definedName>
    <definedName name="v_7_SMEOL">Model!$G$126</definedName>
    <definedName name="v_7_SMg">Model!$AS$126</definedName>
    <definedName name="v_7_SN_B">Model!$AC$126</definedName>
    <definedName name="v_7_SN2">Model!$AB$126</definedName>
    <definedName name="v_7_SNHx">Model!$Y$126</definedName>
    <definedName name="v_7_SNO2">Model!$Z$126</definedName>
    <definedName name="v_7_SNO3">Model!$AA$126</definedName>
    <definedName name="v_7_SO2">Model!$AK$126</definedName>
    <definedName name="v_7_SORPswitch">Model!$BQ$126</definedName>
    <definedName name="v_7_SP_B">Model!$AH$126</definedName>
    <definedName name="v_7_SPO4">Model!$AF$126</definedName>
    <definedName name="v_7_SU">Model!$J$126</definedName>
    <definedName name="v_7_SVFA">Model!$E$126</definedName>
    <definedName name="v_7_XACP">Model!$BK$126</definedName>
    <definedName name="v_7_XAMETO">Model!$W$126</definedName>
    <definedName name="v_7_XAMX">Model!$V$126</definedName>
    <definedName name="v_7_XAOB">Model!$T$126</definedName>
    <definedName name="v_7_XB">Model!$I$126</definedName>
    <definedName name="v_7_XBSH">Model!$BL$126</definedName>
    <definedName name="v_7_XCaCO3">Model!$BJ$126</definedName>
    <definedName name="v_7_XCASTO">Model!$R$126</definedName>
    <definedName name="v_7_XE">Model!$O$126</definedName>
    <definedName name="v_7_XE_ana">Model!$P$126</definedName>
    <definedName name="v_7_XGLY">Model!$N$126</definedName>
    <definedName name="v_7_XHAO_H">Model!$BC$126</definedName>
    <definedName name="v_7_XHAO_H_P">Model!$BF$126</definedName>
    <definedName name="v_7_XHAO_H_P_old">Model!$BH$126</definedName>
    <definedName name="v_7_XHAO_L">Model!$BD$126</definedName>
    <definedName name="v_7_XHAO_L_P">Model!$BG$126</definedName>
    <definedName name="v_7_XHAO_L_P_old">Model!$BI$126</definedName>
    <definedName name="v_7_XHAO_old">Model!$BE$126</definedName>
    <definedName name="v_7_XHFO_H">Model!$AV$126</definedName>
    <definedName name="v_7_XHFO_H_P">Model!$AY$126</definedName>
    <definedName name="v_7_XHFO_H_P_old">Model!$BA$126</definedName>
    <definedName name="v_7_XHFO_L">Model!$AW$126</definedName>
    <definedName name="v_7_XHFO_L_P">Model!$AZ$126</definedName>
    <definedName name="v_7_XHFO_L_P_old">Model!$BB$126</definedName>
    <definedName name="v_7_XHFO_old">Model!$AX$126</definedName>
    <definedName name="v_7_XHMETO">Model!$X$126</definedName>
    <definedName name="v_7_XINORG">Model!$AO$126</definedName>
    <definedName name="v_7_XMEOLO">Model!$S$126</definedName>
    <definedName name="v_7_XN_B">Model!$AD$126</definedName>
    <definedName name="v_7_XN_U">Model!$AE$126</definedName>
    <definedName name="v_7_XNOB">Model!$U$126</definedName>
    <definedName name="v_7_XOHO">Model!$Q$126</definedName>
    <definedName name="v_7_XP_B">Model!$AI$126</definedName>
    <definedName name="v_7_XP_U">Model!$AJ$126</definedName>
    <definedName name="v_7_XPHA">Model!$M$126</definedName>
    <definedName name="v_7_XPP">Model!$AG$126</definedName>
    <definedName name="v_7_XSTR">Model!$BM$126</definedName>
    <definedName name="v_7_XU">Model!$L$126</definedName>
    <definedName name="v_7_XVivi">Model!$BN$126</definedName>
    <definedName name="v_70_CB">Model!$H$189</definedName>
    <definedName name="v_70_CU">Model!$K$189</definedName>
    <definedName name="v_70_GCH4">Model!$BS$189</definedName>
    <definedName name="v_70_GCH4_atm">Model!$BY$189</definedName>
    <definedName name="v_70_GCO2">Model!$BR$189</definedName>
    <definedName name="v_70_GCO2_atm">Model!$BX$189</definedName>
    <definedName name="v_70_GH2">Model!$BT$189</definedName>
    <definedName name="v_70_GH2_atm">Model!$BZ$189</definedName>
    <definedName name="v_70_GN2">Model!$BW$189</definedName>
    <definedName name="v_70_GN2_atm">Model!$CC$189</definedName>
    <definedName name="v_70_GNH3">Model!$BV$189</definedName>
    <definedName name="v_70_GNH3_atm">Model!$CB$189</definedName>
    <definedName name="v_70_GO2">Model!$BU$189</definedName>
    <definedName name="v_70_GO2_atm">Model!$CA$189</definedName>
    <definedName name="v_70_H">Model!$BO$189</definedName>
    <definedName name="v_70_SALPHA">Model!$BP$189</definedName>
    <definedName name="v_70_SAN">Model!$AQ$189</definedName>
    <definedName name="v_70_SB">Model!$F$189</definedName>
    <definedName name="v_70_SCa">Model!$AR$189</definedName>
    <definedName name="v_70_SCAT">Model!$AP$189</definedName>
    <definedName name="v_70_SCH4">Model!$AL$189</definedName>
    <definedName name="v_70_SCO2">Model!$AN$189</definedName>
    <definedName name="v_70_SFe2">Model!$AU$189</definedName>
    <definedName name="v_70_SH2">Model!$AM$189</definedName>
    <definedName name="v_70_SK">Model!$AT$189</definedName>
    <definedName name="v_70_SMEOL">Model!$G$189</definedName>
    <definedName name="v_70_SMg">Model!$AS$189</definedName>
    <definedName name="v_70_SN_B">Model!$AC$189</definedName>
    <definedName name="v_70_SN2">Model!$AB$189</definedName>
    <definedName name="v_70_SNHx">Model!$Y$189</definedName>
    <definedName name="v_70_SNO2">Model!$Z$189</definedName>
    <definedName name="v_70_SNO3">Model!$AA$189</definedName>
    <definedName name="v_70_SO2">Model!$AK$189</definedName>
    <definedName name="v_70_SORPswitch">Model!$BQ$189</definedName>
    <definedName name="v_70_SP_B">Model!$AH$189</definedName>
    <definedName name="v_70_SPO4">Model!$AF$189</definedName>
    <definedName name="v_70_SU">Model!$J$189</definedName>
    <definedName name="v_70_SVFA">Model!$E$189</definedName>
    <definedName name="v_70_XACP">Model!$BK$189</definedName>
    <definedName name="v_70_XAMETO">Model!$W$189</definedName>
    <definedName name="v_70_XAMX">Model!$V$189</definedName>
    <definedName name="v_70_XAOB">Model!$T$189</definedName>
    <definedName name="v_70_XB">Model!$I$189</definedName>
    <definedName name="v_70_XBSH">Model!$BL$189</definedName>
    <definedName name="v_70_XCaCO3">Model!$BJ$189</definedName>
    <definedName name="v_70_XCASTO">Model!$R$189</definedName>
    <definedName name="v_70_XE">Model!$O$189</definedName>
    <definedName name="v_70_XE_ana">Model!$P$189</definedName>
    <definedName name="v_70_XGLY">Model!$N$189</definedName>
    <definedName name="v_70_XHAO_H">Model!$BC$189</definedName>
    <definedName name="v_70_XHAO_H_P">Model!$BF$189</definedName>
    <definedName name="v_70_XHAO_H_P_old">Model!$BH$189</definedName>
    <definedName name="v_70_XHAO_L">Model!$BD$189</definedName>
    <definedName name="v_70_XHAO_L_P">Model!$BG$189</definedName>
    <definedName name="v_70_XHAO_L_P_old">Model!$BI$189</definedName>
    <definedName name="v_70_XHAO_old">Model!$BE$189</definedName>
    <definedName name="v_70_XHFO_H">Model!$AV$189</definedName>
    <definedName name="v_70_XHFO_H_P">Model!$AY$189</definedName>
    <definedName name="v_70_XHFO_H_P_old">Model!$BA$189</definedName>
    <definedName name="v_70_XHFO_L">Model!$AW$189</definedName>
    <definedName name="v_70_XHFO_L_P">Model!$AZ$189</definedName>
    <definedName name="v_70_XHFO_L_P_old">Model!$BB$189</definedName>
    <definedName name="v_70_XHFO_old">Model!$AX$189</definedName>
    <definedName name="v_70_XHMETO">Model!$X$189</definedName>
    <definedName name="v_70_XINORG">Model!$AO$189</definedName>
    <definedName name="v_70_XMEOLO">Model!$S$189</definedName>
    <definedName name="v_70_XN_B">Model!$AD$189</definedName>
    <definedName name="v_70_XN_U">Model!$AE$189</definedName>
    <definedName name="v_70_XNOB">Model!$U$189</definedName>
    <definedName name="v_70_XOHO">Model!$Q$189</definedName>
    <definedName name="v_70_XP_B">Model!$AI$189</definedName>
    <definedName name="v_70_XP_U">Model!$AJ$189</definedName>
    <definedName name="v_70_XPHA">Model!$M$189</definedName>
    <definedName name="v_70_XPP">Model!$AG$189</definedName>
    <definedName name="v_70_XSTR">Model!$BM$189</definedName>
    <definedName name="v_70_XU">Model!$L$189</definedName>
    <definedName name="v_70_XVivi">Model!$BN$189</definedName>
    <definedName name="v_71_CB">Model!$H$190</definedName>
    <definedName name="v_71_CU">Model!$K$190</definedName>
    <definedName name="v_71_GCH4">Model!$BS$190</definedName>
    <definedName name="v_71_GCH4_atm">Model!$BY$190</definedName>
    <definedName name="v_71_GCO2">Model!$BR$190</definedName>
    <definedName name="v_71_GCO2_atm">Model!$BX$190</definedName>
    <definedName name="v_71_GH2">Model!$BT$190</definedName>
    <definedName name="v_71_GH2_atm">Model!$BZ$190</definedName>
    <definedName name="v_71_GN2">Model!$BW$190</definedName>
    <definedName name="v_71_GN2_atm">Model!$CC$190</definedName>
    <definedName name="v_71_GNH3">Model!$BV$190</definedName>
    <definedName name="v_71_GNH3_atm">Model!$CB$190</definedName>
    <definedName name="v_71_GO2">Model!$BU$190</definedName>
    <definedName name="v_71_GO2_atm">Model!$CA$190</definedName>
    <definedName name="v_71_H">Model!$BO$190</definedName>
    <definedName name="v_71_SALPHA">Model!$BP$190</definedName>
    <definedName name="v_71_SAN">Model!$AQ$190</definedName>
    <definedName name="v_71_SB">Model!$F$190</definedName>
    <definedName name="v_71_SCa">Model!$AR$190</definedName>
    <definedName name="v_71_SCAT">Model!$AP$190</definedName>
    <definedName name="v_71_SCH4">Model!$AL$190</definedName>
    <definedName name="v_71_SCO2">Model!$AN$190</definedName>
    <definedName name="v_71_SFe2">Model!$AU$190</definedName>
    <definedName name="v_71_SH2">Model!$AM$190</definedName>
    <definedName name="v_71_SK">Model!$AT$190</definedName>
    <definedName name="v_71_SMEOL">Model!$G$190</definedName>
    <definedName name="v_71_SMg">Model!$AS$190</definedName>
    <definedName name="v_71_SN_B">Model!$AC$190</definedName>
    <definedName name="v_71_SN2">Model!$AB$190</definedName>
    <definedName name="v_71_SNHx">Model!$Y$190</definedName>
    <definedName name="v_71_SNO2">Model!$Z$190</definedName>
    <definedName name="v_71_SNO3">Model!$AA$190</definedName>
    <definedName name="v_71_SO2">Model!$AK$190</definedName>
    <definedName name="v_71_SORPswitch">Model!$BQ$190</definedName>
    <definedName name="v_71_SP_B">Model!$AH$190</definedName>
    <definedName name="v_71_SPO4">Model!$AF$190</definedName>
    <definedName name="v_71_SU">Model!$J$190</definedName>
    <definedName name="v_71_SVFA">Model!$E$190</definedName>
    <definedName name="v_71_XACP">Model!$BK$190</definedName>
    <definedName name="v_71_XAMETO">Model!$W$190</definedName>
    <definedName name="v_71_XAMX">Model!$V$190</definedName>
    <definedName name="v_71_XAOB">Model!$T$190</definedName>
    <definedName name="v_71_XB">Model!$I$190</definedName>
    <definedName name="v_71_XBSH">Model!$BL$190</definedName>
    <definedName name="v_71_XCaCO3">Model!$BJ$190</definedName>
    <definedName name="v_71_XCASTO">Model!$R$190</definedName>
    <definedName name="v_71_XE">Model!$O$190</definedName>
    <definedName name="v_71_XE_ana">Model!$P$190</definedName>
    <definedName name="v_71_XGLY">Model!$N$190</definedName>
    <definedName name="v_71_XHAO_H">Model!$BC$190</definedName>
    <definedName name="v_71_XHAO_H_P">Model!$BF$190</definedName>
    <definedName name="v_71_XHAO_H_P_old">Model!$BH$190</definedName>
    <definedName name="v_71_XHAO_L">Model!$BD$190</definedName>
    <definedName name="v_71_XHAO_L_P">Model!$BG$190</definedName>
    <definedName name="v_71_XHAO_L_P_old">Model!$BI$190</definedName>
    <definedName name="v_71_XHAO_old">Model!$BE$190</definedName>
    <definedName name="v_71_XHFO_H">Model!$AV$190</definedName>
    <definedName name="v_71_XHFO_H_P">Model!$AY$190</definedName>
    <definedName name="v_71_XHFO_H_P_old">Model!$BA$190</definedName>
    <definedName name="v_71_XHFO_L">Model!$AW$190</definedName>
    <definedName name="v_71_XHFO_L_P">Model!$AZ$190</definedName>
    <definedName name="v_71_XHFO_L_P_old">Model!$BB$190</definedName>
    <definedName name="v_71_XHFO_old">Model!$AX$190</definedName>
    <definedName name="v_71_XHMETO">Model!$X$190</definedName>
    <definedName name="v_71_XINORG">Model!$AO$190</definedName>
    <definedName name="v_71_XMEOLO">Model!$S$190</definedName>
    <definedName name="v_71_XN_B">Model!$AD$190</definedName>
    <definedName name="v_71_XN_U">Model!$AE$190</definedName>
    <definedName name="v_71_XNOB">Model!$U$190</definedName>
    <definedName name="v_71_XOHO">Model!$Q$190</definedName>
    <definedName name="v_71_XP_B">Model!$AI$190</definedName>
    <definedName name="v_71_XP_U">Model!$AJ$190</definedName>
    <definedName name="v_71_XPHA">Model!$M$190</definedName>
    <definedName name="v_71_XPP">Model!$AG$190</definedName>
    <definedName name="v_71_XSTR">Model!$BM$190</definedName>
    <definedName name="v_71_XU">Model!$L$190</definedName>
    <definedName name="v_71_XVivi">Model!$BN$190</definedName>
    <definedName name="v_72_CB">Model!$H$191</definedName>
    <definedName name="v_72_CU">Model!$K$191</definedName>
    <definedName name="v_72_GCH4">Model!$BS$191</definedName>
    <definedName name="v_72_GCH4_atm">Model!$BY$191</definedName>
    <definedName name="v_72_GCO2">Model!$BR$191</definedName>
    <definedName name="v_72_GCO2_atm">Model!$BX$191</definedName>
    <definedName name="v_72_GH2">Model!$BT$191</definedName>
    <definedName name="v_72_GH2_atm">Model!$BZ$191</definedName>
    <definedName name="v_72_GN2">Model!$BW$191</definedName>
    <definedName name="v_72_GN2_atm">Model!$CC$191</definedName>
    <definedName name="v_72_GNH3">Model!$BV$191</definedName>
    <definedName name="v_72_GNH3_atm">Model!$CB$191</definedName>
    <definedName name="v_72_GO2">Model!$BU$191</definedName>
    <definedName name="v_72_GO2_atm">Model!$CA$191</definedName>
    <definedName name="v_72_H">Model!$BO$191</definedName>
    <definedName name="v_72_SALPHA">Model!$BP$191</definedName>
    <definedName name="v_72_SAN">Model!$AQ$191</definedName>
    <definedName name="v_72_SB">Model!$F$191</definedName>
    <definedName name="v_72_SCa">Model!$AR$191</definedName>
    <definedName name="v_72_SCAT">Model!$AP$191</definedName>
    <definedName name="v_72_SCH4">Model!$AL$191</definedName>
    <definedName name="v_72_SCO2">Model!$AN$191</definedName>
    <definedName name="v_72_SFe2">Model!$AU$191</definedName>
    <definedName name="v_72_SH2">Model!$AM$191</definedName>
    <definedName name="v_72_SK">Model!$AT$191</definedName>
    <definedName name="v_72_SMEOL">Model!$G$191</definedName>
    <definedName name="v_72_SMg">Model!$AS$191</definedName>
    <definedName name="v_72_SN_B">Model!$AC$191</definedName>
    <definedName name="v_72_SN2">Model!$AB$191</definedName>
    <definedName name="v_72_SNHx">Model!$Y$191</definedName>
    <definedName name="v_72_SNO2">Model!$Z$191</definedName>
    <definedName name="v_72_SNO3">Model!$AA$191</definedName>
    <definedName name="v_72_SO2">Model!$AK$191</definedName>
    <definedName name="v_72_SORPswitch">Model!$BQ$191</definedName>
    <definedName name="v_72_SP_B">Model!$AH$191</definedName>
    <definedName name="v_72_SPO4">Model!$AF$191</definedName>
    <definedName name="v_72_SU">Model!$J$191</definedName>
    <definedName name="v_72_SVFA">Model!$E$191</definedName>
    <definedName name="v_72_XACP">Model!$BK$191</definedName>
    <definedName name="v_72_XAMETO">Model!$W$191</definedName>
    <definedName name="v_72_XAMX">Model!$V$191</definedName>
    <definedName name="v_72_XAOB">Model!$T$191</definedName>
    <definedName name="v_72_XB">Model!$I$191</definedName>
    <definedName name="v_72_XBSH">Model!$BL$191</definedName>
    <definedName name="v_72_XCaCO3">Model!$BJ$191</definedName>
    <definedName name="v_72_XCASTO">Model!$R$191</definedName>
    <definedName name="v_72_XE">Model!$O$191</definedName>
    <definedName name="v_72_XE_ana">Model!$P$191</definedName>
    <definedName name="v_72_XGLY">Model!$N$191</definedName>
    <definedName name="v_72_XHAO_H">Model!$BC$191</definedName>
    <definedName name="v_72_XHAO_H_P">Model!$BF$191</definedName>
    <definedName name="v_72_XHAO_H_P_old">Model!$BH$191</definedName>
    <definedName name="v_72_XHAO_L">Model!$BD$191</definedName>
    <definedName name="v_72_XHAO_L_P">Model!$BG$191</definedName>
    <definedName name="v_72_XHAO_L_P_old">Model!$BI$191</definedName>
    <definedName name="v_72_XHAO_old">Model!$BE$191</definedName>
    <definedName name="v_72_XHFO_H">Model!$AV$191</definedName>
    <definedName name="v_72_XHFO_H_P">Model!$AY$191</definedName>
    <definedName name="v_72_XHFO_H_P_old">Model!$BA$191</definedName>
    <definedName name="v_72_XHFO_L">Model!$AW$191</definedName>
    <definedName name="v_72_XHFO_L_P">Model!$AZ$191</definedName>
    <definedName name="v_72_XHFO_L_P_old">Model!$BB$191</definedName>
    <definedName name="v_72_XHFO_old">Model!$AX$191</definedName>
    <definedName name="v_72_XHMETO">Model!$X$191</definedName>
    <definedName name="v_72_XINORG">Model!$AO$191</definedName>
    <definedName name="v_72_XMEOLO">Model!$S$191</definedName>
    <definedName name="v_72_XN_B">Model!$AD$191</definedName>
    <definedName name="v_72_XN_U">Model!$AE$191</definedName>
    <definedName name="v_72_XNOB">Model!$U$191</definedName>
    <definedName name="v_72_XOHO">Model!$Q$191</definedName>
    <definedName name="v_72_XP_B">Model!$AI$191</definedName>
    <definedName name="v_72_XP_U">Model!$AJ$191</definedName>
    <definedName name="v_72_XPHA">Model!$M$191</definedName>
    <definedName name="v_72_XPP">Model!$AG$191</definedName>
    <definedName name="v_72_XSTR">Model!$BM$191</definedName>
    <definedName name="v_72_XU">Model!$L$191</definedName>
    <definedName name="v_72_XVivi">Model!$BN$191</definedName>
    <definedName name="v_73_CB">Model!$H$192</definedName>
    <definedName name="v_73_CU">Model!$K$192</definedName>
    <definedName name="v_73_GCH4">Model!$BS$192</definedName>
    <definedName name="v_73_GCH4_atm">Model!$BY$192</definedName>
    <definedName name="v_73_GCO2">Model!$BR$192</definedName>
    <definedName name="v_73_GCO2_atm">Model!$BX$192</definedName>
    <definedName name="v_73_GH2">Model!$BT$192</definedName>
    <definedName name="v_73_GH2_atm">Model!$BZ$192</definedName>
    <definedName name="v_73_GN2">Model!$BW$192</definedName>
    <definedName name="v_73_GN2_atm">Model!$CC$192</definedName>
    <definedName name="v_73_GNH3">Model!$BV$192</definedName>
    <definedName name="v_73_GNH3_atm">Model!$CB$192</definedName>
    <definedName name="v_73_GO2">Model!$BU$192</definedName>
    <definedName name="v_73_GO2_atm">Model!$CA$192</definedName>
    <definedName name="v_73_H">Model!$BO$192</definedName>
    <definedName name="v_73_SALPHA">Model!$BP$192</definedName>
    <definedName name="v_73_SAN">Model!$AQ$192</definedName>
    <definedName name="v_73_SB">Model!$F$192</definedName>
    <definedName name="v_73_SCa">Model!$AR$192</definedName>
    <definedName name="v_73_SCAT">Model!$AP$192</definedName>
    <definedName name="v_73_SCH4">Model!$AL$192</definedName>
    <definedName name="v_73_SCO2">Model!$AN$192</definedName>
    <definedName name="v_73_SFe2">Model!$AU$192</definedName>
    <definedName name="v_73_SH2">Model!$AM$192</definedName>
    <definedName name="v_73_SK">Model!$AT$192</definedName>
    <definedName name="v_73_SMEOL">Model!$G$192</definedName>
    <definedName name="v_73_SMg">Model!$AS$192</definedName>
    <definedName name="v_73_SN_B">Model!$AC$192</definedName>
    <definedName name="v_73_SN2">Model!$AB$192</definedName>
    <definedName name="v_73_SNHx">Model!$Y$192</definedName>
    <definedName name="v_73_SNO2">Model!$Z$192</definedName>
    <definedName name="v_73_SNO3">Model!$AA$192</definedName>
    <definedName name="v_73_SO2">Model!$AK$192</definedName>
    <definedName name="v_73_SORPswitch">Model!$BQ$192</definedName>
    <definedName name="v_73_SP_B">Model!$AH$192</definedName>
    <definedName name="v_73_SPO4">Model!$AF$192</definedName>
    <definedName name="v_73_SU">Model!$J$192</definedName>
    <definedName name="v_73_SVFA">Model!$E$192</definedName>
    <definedName name="v_73_XACP">Model!$BK$192</definedName>
    <definedName name="v_73_XAMETO">Model!$W$192</definedName>
    <definedName name="v_73_XAMX">Model!$V$192</definedName>
    <definedName name="v_73_XAOB">Model!$T$192</definedName>
    <definedName name="v_73_XB">Model!$I$192</definedName>
    <definedName name="v_73_XBSH">Model!$BL$192</definedName>
    <definedName name="v_73_XCaCO3">Model!$BJ$192</definedName>
    <definedName name="v_73_XCASTO">Model!$R$192</definedName>
    <definedName name="v_73_XE">Model!$O$192</definedName>
    <definedName name="v_73_XE_ana">Model!$P$192</definedName>
    <definedName name="v_73_XGLY">Model!$N$192</definedName>
    <definedName name="v_73_XHAO_H">Model!$BC$192</definedName>
    <definedName name="v_73_XHAO_H_P">Model!$BF$192</definedName>
    <definedName name="v_73_XHAO_H_P_old">Model!$BH$192</definedName>
    <definedName name="v_73_XHAO_L">Model!$BD$192</definedName>
    <definedName name="v_73_XHAO_L_P">Model!$BG$192</definedName>
    <definedName name="v_73_XHAO_L_P_old">Model!$BI$192</definedName>
    <definedName name="v_73_XHAO_old">Model!$BE$192</definedName>
    <definedName name="v_73_XHFO_H">Model!$AV$192</definedName>
    <definedName name="v_73_XHFO_H_P">Model!$AY$192</definedName>
    <definedName name="v_73_XHFO_H_P_old">Model!$BA$192</definedName>
    <definedName name="v_73_XHFO_L">Model!$AW$192</definedName>
    <definedName name="v_73_XHFO_L_P">Model!$AZ$192</definedName>
    <definedName name="v_73_XHFO_L_P_old">Model!$BB$192</definedName>
    <definedName name="v_73_XHFO_old">Model!$AX$192</definedName>
    <definedName name="v_73_XHMETO">Model!$X$192</definedName>
    <definedName name="v_73_XINORG">Model!$AO$192</definedName>
    <definedName name="v_73_XMEOLO">Model!$S$192</definedName>
    <definedName name="v_73_XN_B">Model!$AD$192</definedName>
    <definedName name="v_73_XN_U">Model!$AE$192</definedName>
    <definedName name="v_73_XNOB">Model!$U$192</definedName>
    <definedName name="v_73_XOHO">Model!$Q$192</definedName>
    <definedName name="v_73_XP_B">Model!$AI$192</definedName>
    <definedName name="v_73_XP_U">Model!$AJ$192</definedName>
    <definedName name="v_73_XPHA">Model!$M$192</definedName>
    <definedName name="v_73_XPP">Model!$AG$192</definedName>
    <definedName name="v_73_XSTR">Model!$BM$192</definedName>
    <definedName name="v_73_XU">Model!$L$192</definedName>
    <definedName name="v_73_XVivi">Model!$BN$192</definedName>
    <definedName name="v_74_CB">Model!$H$193</definedName>
    <definedName name="v_74_CU">Model!$K$193</definedName>
    <definedName name="v_74_GCH4">Model!$BS$193</definedName>
    <definedName name="v_74_GCH4_atm">Model!$BY$193</definedName>
    <definedName name="v_74_GCO2">Model!$BR$193</definedName>
    <definedName name="v_74_GCO2_atm">Model!$BX$193</definedName>
    <definedName name="v_74_GH2">Model!$BT$193</definedName>
    <definedName name="v_74_GH2_atm">Model!$BZ$193</definedName>
    <definedName name="v_74_GN2">Model!$BW$193</definedName>
    <definedName name="v_74_GN2_atm">Model!$CC$193</definedName>
    <definedName name="v_74_GNH3">Model!$BV$193</definedName>
    <definedName name="v_74_GNH3_atm">Model!$CB$193</definedName>
    <definedName name="v_74_GO2">Model!$BU$193</definedName>
    <definedName name="v_74_GO2_atm">Model!$CA$193</definedName>
    <definedName name="v_74_H">Model!$BO$193</definedName>
    <definedName name="v_74_SALPHA">Model!$BP$193</definedName>
    <definedName name="v_74_SAN">Model!$AQ$193</definedName>
    <definedName name="v_74_SB">Model!$F$193</definedName>
    <definedName name="v_74_SCa">Model!$AR$193</definedName>
    <definedName name="v_74_SCAT">Model!$AP$193</definedName>
    <definedName name="v_74_SCH4">Model!$AL$193</definedName>
    <definedName name="v_74_SCO2">Model!$AN$193</definedName>
    <definedName name="v_74_SFe2">Model!$AU$193</definedName>
    <definedName name="v_74_SH2">Model!$AM$193</definedName>
    <definedName name="v_74_SK">Model!$AT$193</definedName>
    <definedName name="v_74_SMEOL">Model!$G$193</definedName>
    <definedName name="v_74_SMg">Model!$AS$193</definedName>
    <definedName name="v_74_SN_B">Model!$AC$193</definedName>
    <definedName name="v_74_SN2">Model!$AB$193</definedName>
    <definedName name="v_74_SNHx">Model!$Y$193</definedName>
    <definedName name="v_74_SNO2">Model!$Z$193</definedName>
    <definedName name="v_74_SNO3">Model!$AA$193</definedName>
    <definedName name="v_74_SO2">Model!$AK$193</definedName>
    <definedName name="v_74_SORPswitch">Model!$BQ$193</definedName>
    <definedName name="v_74_SP_B">Model!$AH$193</definedName>
    <definedName name="v_74_SPO4">Model!$AF$193</definedName>
    <definedName name="v_74_SU">Model!$J$193</definedName>
    <definedName name="v_74_SVFA">Model!$E$193</definedName>
    <definedName name="v_74_XACP">Model!$BK$193</definedName>
    <definedName name="v_74_XAMETO">Model!$W$193</definedName>
    <definedName name="v_74_XAMX">Model!$V$193</definedName>
    <definedName name="v_74_XAOB">Model!$T$193</definedName>
    <definedName name="v_74_XB">Model!$I$193</definedName>
    <definedName name="v_74_XBSH">Model!$BL$193</definedName>
    <definedName name="v_74_XCaCO3">Model!$BJ$193</definedName>
    <definedName name="v_74_XCASTO">Model!$R$193</definedName>
    <definedName name="v_74_XE">Model!$O$193</definedName>
    <definedName name="v_74_XE_ana">Model!$P$193</definedName>
    <definedName name="v_74_XGLY">Model!$N$193</definedName>
    <definedName name="v_74_XHAO_H">Model!$BC$193</definedName>
    <definedName name="v_74_XHAO_H_P">Model!$BF$193</definedName>
    <definedName name="v_74_XHAO_H_P_old">Model!$BH$193</definedName>
    <definedName name="v_74_XHAO_L">Model!$BD$193</definedName>
    <definedName name="v_74_XHAO_L_P">Model!$BG$193</definedName>
    <definedName name="v_74_XHAO_L_P_old">Model!$BI$193</definedName>
    <definedName name="v_74_XHAO_old">Model!$BE$193</definedName>
    <definedName name="v_74_XHFO_H">Model!$AV$193</definedName>
    <definedName name="v_74_XHFO_H_P">Model!$AY$193</definedName>
    <definedName name="v_74_XHFO_H_P_old">Model!$BA$193</definedName>
    <definedName name="v_74_XHFO_L">Model!$AW$193</definedName>
    <definedName name="v_74_XHFO_L_P">Model!$AZ$193</definedName>
    <definedName name="v_74_XHFO_L_P_old">Model!$BB$193</definedName>
    <definedName name="v_74_XHFO_old">Model!$AX$193</definedName>
    <definedName name="v_74_XHMETO">Model!$X$193</definedName>
    <definedName name="v_74_XINORG">Model!$AO$193</definedName>
    <definedName name="v_74_XMEOLO">Model!$S$193</definedName>
    <definedName name="v_74_XN_B">Model!$AD$193</definedName>
    <definedName name="v_74_XN_U">Model!$AE$193</definedName>
    <definedName name="v_74_XNOB">Model!$U$193</definedName>
    <definedName name="v_74_XOHO">Model!$Q$193</definedName>
    <definedName name="v_74_XP_B">Model!$AI$193</definedName>
    <definedName name="v_74_XP_U">Model!$AJ$193</definedName>
    <definedName name="v_74_XPHA">Model!$M$193</definedName>
    <definedName name="v_74_XPP">Model!$AG$193</definedName>
    <definedName name="v_74_XSTR">Model!$BM$193</definedName>
    <definedName name="v_74_XU">Model!$L$193</definedName>
    <definedName name="v_74_XVivi">Model!$BN$193</definedName>
    <definedName name="v_75_CB">Model!$H$194</definedName>
    <definedName name="v_75_CU">Model!$K$194</definedName>
    <definedName name="v_75_GCH4">Model!$BS$194</definedName>
    <definedName name="v_75_GCH4_atm">Model!$BY$194</definedName>
    <definedName name="v_75_GCO2">Model!$BR$194</definedName>
    <definedName name="v_75_GCO2_atm">Model!$BX$194</definedName>
    <definedName name="v_75_GH2">Model!$BT$194</definedName>
    <definedName name="v_75_GH2_atm">Model!$BZ$194</definedName>
    <definedName name="v_75_GN2">Model!$BW$194</definedName>
    <definedName name="v_75_GN2_atm">Model!$CC$194</definedName>
    <definedName name="v_75_GNH3">Model!$BV$194</definedName>
    <definedName name="v_75_GNH3_atm">Model!$CB$194</definedName>
    <definedName name="v_75_GO2">Model!$BU$194</definedName>
    <definedName name="v_75_GO2_atm">Model!$CA$194</definedName>
    <definedName name="v_75_H">Model!$BO$194</definedName>
    <definedName name="v_75_SALPHA">Model!$BP$194</definedName>
    <definedName name="v_75_SAN">Model!$AQ$194</definedName>
    <definedName name="v_75_SB">Model!$F$194</definedName>
    <definedName name="v_75_SCa">Model!$AR$194</definedName>
    <definedName name="v_75_SCAT">Model!$AP$194</definedName>
    <definedName name="v_75_SCH4">Model!$AL$194</definedName>
    <definedName name="v_75_SCO2">Model!$AN$194</definedName>
    <definedName name="v_75_SFe2">Model!$AU$194</definedName>
    <definedName name="v_75_SH2">Model!$AM$194</definedName>
    <definedName name="v_75_SK">Model!$AT$194</definedName>
    <definedName name="v_75_SMEOL">Model!$G$194</definedName>
    <definedName name="v_75_SMg">Model!$AS$194</definedName>
    <definedName name="v_75_SN_B">Model!$AC$194</definedName>
    <definedName name="v_75_SN2">Model!$AB$194</definedName>
    <definedName name="v_75_SNHx">Model!$Y$194</definedName>
    <definedName name="v_75_SNO2">Model!$Z$194</definedName>
    <definedName name="v_75_SNO3">Model!$AA$194</definedName>
    <definedName name="v_75_SO2">Model!$AK$194</definedName>
    <definedName name="v_75_SORPswitch">Model!$BQ$194</definedName>
    <definedName name="v_75_SP_B">Model!$AH$194</definedName>
    <definedName name="v_75_SPO4">Model!$AF$194</definedName>
    <definedName name="v_75_SU">Model!$J$194</definedName>
    <definedName name="v_75_SVFA">Model!$E$194</definedName>
    <definedName name="v_75_XACP">Model!$BK$194</definedName>
    <definedName name="v_75_XAMETO">Model!$W$194</definedName>
    <definedName name="v_75_XAMX">Model!$V$194</definedName>
    <definedName name="v_75_XAOB">Model!$T$194</definedName>
    <definedName name="v_75_XB">Model!$I$194</definedName>
    <definedName name="v_75_XBSH">Model!$BL$194</definedName>
    <definedName name="v_75_XCaCO3">Model!$BJ$194</definedName>
    <definedName name="v_75_XCASTO">Model!$R$194</definedName>
    <definedName name="v_75_XE">Model!$O$194</definedName>
    <definedName name="v_75_XE_ana">Model!$P$194</definedName>
    <definedName name="v_75_XGLY">Model!$N$194</definedName>
    <definedName name="v_75_XHAO_H">Model!$BC$194</definedName>
    <definedName name="v_75_XHAO_H_P">Model!$BF$194</definedName>
    <definedName name="v_75_XHAO_H_P_old">Model!$BH$194</definedName>
    <definedName name="v_75_XHAO_L">Model!$BD$194</definedName>
    <definedName name="v_75_XHAO_L_P">Model!$BG$194</definedName>
    <definedName name="v_75_XHAO_L_P_old">Model!$BI$194</definedName>
    <definedName name="v_75_XHAO_old">Model!$BE$194</definedName>
    <definedName name="v_75_XHFO_H">Model!$AV$194</definedName>
    <definedName name="v_75_XHFO_H_P">Model!$AY$194</definedName>
    <definedName name="v_75_XHFO_H_P_old">Model!$BA$194</definedName>
    <definedName name="v_75_XHFO_L">Model!$AW$194</definedName>
    <definedName name="v_75_XHFO_L_P">Model!$AZ$194</definedName>
    <definedName name="v_75_XHFO_L_P_old">Model!$BB$194</definedName>
    <definedName name="v_75_XHFO_old">Model!$AX$194</definedName>
    <definedName name="v_75_XHMETO">Model!$X$194</definedName>
    <definedName name="v_75_XINORG">Model!$AO$194</definedName>
    <definedName name="v_75_XMEOLO">Model!$S$194</definedName>
    <definedName name="v_75_XN_B">Model!$AD$194</definedName>
    <definedName name="v_75_XN_U">Model!$AE$194</definedName>
    <definedName name="v_75_XNOB">Model!$U$194</definedName>
    <definedName name="v_75_XOHO">Model!$Q$194</definedName>
    <definedName name="v_75_XP_B">Model!$AI$194</definedName>
    <definedName name="v_75_XP_U">Model!$AJ$194</definedName>
    <definedName name="v_75_XPHA">Model!$M$194</definedName>
    <definedName name="v_75_XPP">Model!$AG$194</definedName>
    <definedName name="v_75_XSTR">Model!$BM$194</definedName>
    <definedName name="v_75_XU">Model!$L$194</definedName>
    <definedName name="v_75_XVivi">Model!$BN$194</definedName>
    <definedName name="v_76_CB">Model!$H$195</definedName>
    <definedName name="v_76_CU">Model!$K$195</definedName>
    <definedName name="v_76_GCH4">Model!$BS$195</definedName>
    <definedName name="v_76_GCH4_atm">Model!$BY$195</definedName>
    <definedName name="v_76_GCO2">Model!$BR$195</definedName>
    <definedName name="v_76_GCO2_atm">Model!$BX$195</definedName>
    <definedName name="v_76_GH2">Model!$BT$195</definedName>
    <definedName name="v_76_GH2_atm">Model!$BZ$195</definedName>
    <definedName name="v_76_GN2">Model!$BW$195</definedName>
    <definedName name="v_76_GN2_atm">Model!$CC$195</definedName>
    <definedName name="v_76_GNH3">Model!$BV$195</definedName>
    <definedName name="v_76_GNH3_atm">Model!$CB$195</definedName>
    <definedName name="v_76_GO2">Model!$BU$195</definedName>
    <definedName name="v_76_GO2_atm">Model!$CA$195</definedName>
    <definedName name="v_76_H">Model!$BO$195</definedName>
    <definedName name="v_76_SALPHA">Model!$BP$195</definedName>
    <definedName name="v_76_SAN">Model!$AQ$195</definedName>
    <definedName name="v_76_SB">Model!$F$195</definedName>
    <definedName name="v_76_SCa">Model!$AR$195</definedName>
    <definedName name="v_76_SCAT">Model!$AP$195</definedName>
    <definedName name="v_76_SCH4">Model!$AL$195</definedName>
    <definedName name="v_76_SCO2">Model!$AN$195</definedName>
    <definedName name="v_76_SFe2">Model!$AU$195</definedName>
    <definedName name="v_76_SH2">Model!$AM$195</definedName>
    <definedName name="v_76_SK">Model!$AT$195</definedName>
    <definedName name="v_76_SMEOL">Model!$G$195</definedName>
    <definedName name="v_76_SMg">Model!$AS$195</definedName>
    <definedName name="v_76_SN_B">Model!$AC$195</definedName>
    <definedName name="v_76_SN2">Model!$AB$195</definedName>
    <definedName name="v_76_SNHx">Model!$Y$195</definedName>
    <definedName name="v_76_SNO2">Model!$Z$195</definedName>
    <definedName name="v_76_SNO3">Model!$AA$195</definedName>
    <definedName name="v_76_SO2">Model!$AK$195</definedName>
    <definedName name="v_76_SORPswitch">Model!$BQ$195</definedName>
    <definedName name="v_76_SP_B">Model!$AH$195</definedName>
    <definedName name="v_76_SPO4">Model!$AF$195</definedName>
    <definedName name="v_76_SU">Model!$J$195</definedName>
    <definedName name="v_76_SVFA">Model!$E$195</definedName>
    <definedName name="v_76_XACP">Model!$BK$195</definedName>
    <definedName name="v_76_XAMETO">Model!$W$195</definedName>
    <definedName name="v_76_XAMX">Model!$V$195</definedName>
    <definedName name="v_76_XAOB">Model!$T$195</definedName>
    <definedName name="v_76_XB">Model!$I$195</definedName>
    <definedName name="v_76_XBSH">Model!$BL$195</definedName>
    <definedName name="v_76_XCaCO3">Model!$BJ$195</definedName>
    <definedName name="v_76_XCASTO">Model!$R$195</definedName>
    <definedName name="v_76_XE">Model!$O$195</definedName>
    <definedName name="v_76_XE_ana">Model!$P$195</definedName>
    <definedName name="v_76_XGLY">Model!$N$195</definedName>
    <definedName name="v_76_XHAO_H">Model!$BC$195</definedName>
    <definedName name="v_76_XHAO_H_P">Model!$BF$195</definedName>
    <definedName name="v_76_XHAO_H_P_old">Model!$BH$195</definedName>
    <definedName name="v_76_XHAO_L">Model!$BD$195</definedName>
    <definedName name="v_76_XHAO_L_P">Model!$BG$195</definedName>
    <definedName name="v_76_XHAO_L_P_old">Model!$BI$195</definedName>
    <definedName name="v_76_XHAO_old">Model!$BE$195</definedName>
    <definedName name="v_76_XHFO_H">Model!$AV$195</definedName>
    <definedName name="v_76_XHFO_H_P">Model!$AY$195</definedName>
    <definedName name="v_76_XHFO_H_P_old">Model!$BA$195</definedName>
    <definedName name="v_76_XHFO_L">Model!$AW$195</definedName>
    <definedName name="v_76_XHFO_L_P">Model!$AZ$195</definedName>
    <definedName name="v_76_XHFO_L_P_old">Model!$BB$195</definedName>
    <definedName name="v_76_XHFO_old">Model!$AX$195</definedName>
    <definedName name="v_76_XHMETO">Model!$X$195</definedName>
    <definedName name="v_76_XINORG">Model!$AO$195</definedName>
    <definedName name="v_76_XMEOLO">Model!$S$195</definedName>
    <definedName name="v_76_XN_B">Model!$AD$195</definedName>
    <definedName name="v_76_XN_U">Model!$AE$195</definedName>
    <definedName name="v_76_XNOB">Model!$U$195</definedName>
    <definedName name="v_76_XOHO">Model!$Q$195</definedName>
    <definedName name="v_76_XP_B">Model!$AI$195</definedName>
    <definedName name="v_76_XP_U">Model!$AJ$195</definedName>
    <definedName name="v_76_XPHA">Model!$M$195</definedName>
    <definedName name="v_76_XPP">Model!$AG$195</definedName>
    <definedName name="v_76_XSTR">Model!$BM$195</definedName>
    <definedName name="v_76_XU">Model!$L$195</definedName>
    <definedName name="v_76_XVivi">Model!$BN$195</definedName>
    <definedName name="v_77_CB">Model!$H$196</definedName>
    <definedName name="v_77_CU">Model!$K$196</definedName>
    <definedName name="v_77_GCH4">Model!$BS$196</definedName>
    <definedName name="v_77_GCH4_atm">Model!$BY$196</definedName>
    <definedName name="v_77_GCO2">Model!$BR$196</definedName>
    <definedName name="v_77_GCO2_atm">Model!$BX$196</definedName>
    <definedName name="v_77_GH2">Model!$BT$196</definedName>
    <definedName name="v_77_GH2_atm">Model!$BZ$196</definedName>
    <definedName name="v_77_GN2">Model!$BW$196</definedName>
    <definedName name="v_77_GN2_atm">Model!$CC$196</definedName>
    <definedName name="v_77_GNH3">Model!$BV$196</definedName>
    <definedName name="v_77_GNH3_atm">Model!$CB$196</definedName>
    <definedName name="v_77_GO2">Model!$BU$196</definedName>
    <definedName name="v_77_GO2_atm">Model!$CA$196</definedName>
    <definedName name="v_77_H">Model!$BO$196</definedName>
    <definedName name="v_77_SALPHA">Model!$BP$196</definedName>
    <definedName name="v_77_SAN">Model!$AQ$196</definedName>
    <definedName name="v_77_SB">Model!$F$196</definedName>
    <definedName name="v_77_SCa">Model!$AR$196</definedName>
    <definedName name="v_77_SCAT">Model!$AP$196</definedName>
    <definedName name="v_77_SCH4">Model!$AL$196</definedName>
    <definedName name="v_77_SCO2">Model!$AN$196</definedName>
    <definedName name="v_77_SFe2">Model!$AU$196</definedName>
    <definedName name="v_77_SH2">Model!$AM$196</definedName>
    <definedName name="v_77_SK">Model!$AT$196</definedName>
    <definedName name="v_77_SMEOL">Model!$G$196</definedName>
    <definedName name="v_77_SMg">Model!$AS$196</definedName>
    <definedName name="v_77_SN_B">Model!$AC$196</definedName>
    <definedName name="v_77_SN2">Model!$AB$196</definedName>
    <definedName name="v_77_SNHx">Model!$Y$196</definedName>
    <definedName name="v_77_SNO2">Model!$Z$196</definedName>
    <definedName name="v_77_SNO3">Model!$AA$196</definedName>
    <definedName name="v_77_SO2">Model!$AK$196</definedName>
    <definedName name="v_77_SORPswitch">Model!$BQ$196</definedName>
    <definedName name="v_77_SP_B">Model!$AH$196</definedName>
    <definedName name="v_77_SPO4">Model!$AF$196</definedName>
    <definedName name="v_77_SU">Model!$J$196</definedName>
    <definedName name="v_77_SVFA">Model!$E$196</definedName>
    <definedName name="v_77_XACP">Model!$BK$196</definedName>
    <definedName name="v_77_XAMETO">Model!$W$196</definedName>
    <definedName name="v_77_XAMX">Model!$V$196</definedName>
    <definedName name="v_77_XAOB">Model!$T$196</definedName>
    <definedName name="v_77_XB">Model!$I$196</definedName>
    <definedName name="v_77_XBSH">Model!$BL$196</definedName>
    <definedName name="v_77_XCaCO3">Model!$BJ$196</definedName>
    <definedName name="v_77_XCASTO">Model!$R$196</definedName>
    <definedName name="v_77_XE">Model!$O$196</definedName>
    <definedName name="v_77_XE_ana">Model!$P$196</definedName>
    <definedName name="v_77_XGLY">Model!$N$196</definedName>
    <definedName name="v_77_XHAO_H">Model!$BC$196</definedName>
    <definedName name="v_77_XHAO_H_P">Model!$BF$196</definedName>
    <definedName name="v_77_XHAO_H_P_old">Model!$BH$196</definedName>
    <definedName name="v_77_XHAO_L">Model!$BD$196</definedName>
    <definedName name="v_77_XHAO_L_P">Model!$BG$196</definedName>
    <definedName name="v_77_XHAO_L_P_old">Model!$BI$196</definedName>
    <definedName name="v_77_XHAO_old">Model!$BE$196</definedName>
    <definedName name="v_77_XHFO_H">Model!$AV$196</definedName>
    <definedName name="v_77_XHFO_H_P">Model!$AY$196</definedName>
    <definedName name="v_77_XHFO_H_P_old">Model!$BA$196</definedName>
    <definedName name="v_77_XHFO_L">Model!$AW$196</definedName>
    <definedName name="v_77_XHFO_L_P">Model!$AZ$196</definedName>
    <definedName name="v_77_XHFO_L_P_old">Model!$BB$196</definedName>
    <definedName name="v_77_XHFO_old">Model!$AX$196</definedName>
    <definedName name="v_77_XHMETO">Model!$X$196</definedName>
    <definedName name="v_77_XINORG">Model!$AO$196</definedName>
    <definedName name="v_77_XMEOLO">Model!$S$196</definedName>
    <definedName name="v_77_XN_B">Model!$AD$196</definedName>
    <definedName name="v_77_XN_U">Model!$AE$196</definedName>
    <definedName name="v_77_XNOB">Model!$U$196</definedName>
    <definedName name="v_77_XOHO">Model!$Q$196</definedName>
    <definedName name="v_77_XP_B">Model!$AI$196</definedName>
    <definedName name="v_77_XP_U">Model!$AJ$196</definedName>
    <definedName name="v_77_XPHA">Model!$M$196</definedName>
    <definedName name="v_77_XPP">Model!$AG$196</definedName>
    <definedName name="v_77_XSTR">Model!$BM$196</definedName>
    <definedName name="v_77_XU">Model!$L$196</definedName>
    <definedName name="v_77_XVivi">Model!$BN$196</definedName>
    <definedName name="v_78_CB">Model!$H$197</definedName>
    <definedName name="v_78_CU">Model!$K$197</definedName>
    <definedName name="v_78_GCH4">Model!$BS$197</definedName>
    <definedName name="v_78_GCH4_atm">Model!$BY$197</definedName>
    <definedName name="v_78_GCO2">Model!$BR$197</definedName>
    <definedName name="v_78_GCO2_atm">Model!$BX$197</definedName>
    <definedName name="v_78_GH2">Model!$BT$197</definedName>
    <definedName name="v_78_GH2_atm">Model!$BZ$197</definedName>
    <definedName name="v_78_GN2">Model!$BW$197</definedName>
    <definedName name="v_78_GN2_atm">Model!$CC$197</definedName>
    <definedName name="v_78_GNH3">Model!$BV$197</definedName>
    <definedName name="v_78_GNH3_atm">Model!$CB$197</definedName>
    <definedName name="v_78_GO2">Model!$BU$197</definedName>
    <definedName name="v_78_GO2_atm">Model!$CA$197</definedName>
    <definedName name="v_78_H">Model!$BO$197</definedName>
    <definedName name="v_78_SALPHA">Model!$BP$197</definedName>
    <definedName name="v_78_SAN">Model!$AQ$197</definedName>
    <definedName name="v_78_SB">Model!$F$197</definedName>
    <definedName name="v_78_SCa">Model!$AR$197</definedName>
    <definedName name="v_78_SCAT">Model!$AP$197</definedName>
    <definedName name="v_78_SCH4">Model!$AL$197</definedName>
    <definedName name="v_78_SCO2">Model!$AN$197</definedName>
    <definedName name="v_78_SFe2">Model!$AU$197</definedName>
    <definedName name="v_78_SH2">Model!$AM$197</definedName>
    <definedName name="v_78_SK">Model!$AT$197</definedName>
    <definedName name="v_78_SMEOL">Model!$G$197</definedName>
    <definedName name="v_78_SMg">Model!$AS$197</definedName>
    <definedName name="v_78_SN_B">Model!$AC$197</definedName>
    <definedName name="v_78_SN2">Model!$AB$197</definedName>
    <definedName name="v_78_SNHx">Model!$Y$197</definedName>
    <definedName name="v_78_SNO2">Model!$Z$197</definedName>
    <definedName name="v_78_SNO3">Model!$AA$197</definedName>
    <definedName name="v_78_SO2">Model!$AK$197</definedName>
    <definedName name="v_78_SORPswitch">Model!$BQ$197</definedName>
    <definedName name="v_78_SP_B">Model!$AH$197</definedName>
    <definedName name="v_78_SPO4">Model!$AF$197</definedName>
    <definedName name="v_78_SU">Model!$J$197</definedName>
    <definedName name="v_78_SVFA">Model!$E$197</definedName>
    <definedName name="v_78_XACP">Model!$BK$197</definedName>
    <definedName name="v_78_XAMETO">Model!$W$197</definedName>
    <definedName name="v_78_XAMX">Model!$V$197</definedName>
    <definedName name="v_78_XAOB">Model!$T$197</definedName>
    <definedName name="v_78_XB">Model!$I$197</definedName>
    <definedName name="v_78_XBSH">Model!$BL$197</definedName>
    <definedName name="v_78_XCaCO3">Model!$BJ$197</definedName>
    <definedName name="v_78_XCASTO">Model!$R$197</definedName>
    <definedName name="v_78_XE">Model!$O$197</definedName>
    <definedName name="v_78_XE_ana">Model!$P$197</definedName>
    <definedName name="v_78_XGLY">Model!$N$197</definedName>
    <definedName name="v_78_XHAO_H">Model!$BC$197</definedName>
    <definedName name="v_78_XHAO_H_P">Model!$BF$197</definedName>
    <definedName name="v_78_XHAO_H_P_old">Model!$BH$197</definedName>
    <definedName name="v_78_XHAO_L">Model!$BD$197</definedName>
    <definedName name="v_78_XHAO_L_P">Model!$BG$197</definedName>
    <definedName name="v_78_XHAO_L_P_old">Model!$BI$197</definedName>
    <definedName name="v_78_XHAO_old">Model!$BE$197</definedName>
    <definedName name="v_78_XHFO_H">Model!$AV$197</definedName>
    <definedName name="v_78_XHFO_H_P">Model!$AY$197</definedName>
    <definedName name="v_78_XHFO_H_P_old">Model!$BA$197</definedName>
    <definedName name="v_78_XHFO_L">Model!$AW$197</definedName>
    <definedName name="v_78_XHFO_L_P">Model!$AZ$197</definedName>
    <definedName name="v_78_XHFO_L_P_old">Model!$BB$197</definedName>
    <definedName name="v_78_XHFO_old">Model!$AX$197</definedName>
    <definedName name="v_78_XHMETO">Model!$X$197</definedName>
    <definedName name="v_78_XINORG">Model!$AO$197</definedName>
    <definedName name="v_78_XMEOLO">Model!$S$197</definedName>
    <definedName name="v_78_XN_B">Model!$AD$197</definedName>
    <definedName name="v_78_XN_U">Model!$AE$197</definedName>
    <definedName name="v_78_XNOB">Model!$U$197</definedName>
    <definedName name="v_78_XOHO">Model!$Q$197</definedName>
    <definedName name="v_78_XP_B">Model!$AI$197</definedName>
    <definedName name="v_78_XP_U">Model!$AJ$197</definedName>
    <definedName name="v_78_XPHA">Model!$M$197</definedName>
    <definedName name="v_78_XPP">Model!$AG$197</definedName>
    <definedName name="v_78_XSTR">Model!$BM$197</definedName>
    <definedName name="v_78_XU">Model!$L$197</definedName>
    <definedName name="v_78_XVivi">Model!$BN$197</definedName>
    <definedName name="v_79_CB">Model!$H$198</definedName>
    <definedName name="v_79_CU">Model!$K$198</definedName>
    <definedName name="v_79_GCH4">Model!$BS$198</definedName>
    <definedName name="v_79_GCH4_atm">Model!$BY$198</definedName>
    <definedName name="v_79_GCO2">Model!$BR$198</definedName>
    <definedName name="v_79_GCO2_atm">Model!$BX$198</definedName>
    <definedName name="v_79_GH2">Model!$BT$198</definedName>
    <definedName name="v_79_GH2_atm">Model!$BZ$198</definedName>
    <definedName name="v_79_GN2">Model!$BW$198</definedName>
    <definedName name="v_79_GN2_atm">Model!$CC$198</definedName>
    <definedName name="v_79_GNH3">Model!$BV$198</definedName>
    <definedName name="v_79_GNH3_atm">Model!$CB$198</definedName>
    <definedName name="v_79_GO2">Model!$BU$198</definedName>
    <definedName name="v_79_GO2_atm">Model!$CA$198</definedName>
    <definedName name="v_79_H">Model!$BO$198</definedName>
    <definedName name="v_79_SALPHA">Model!$BP$198</definedName>
    <definedName name="v_79_SAN">Model!$AQ$198</definedName>
    <definedName name="v_79_SB">Model!$F$198</definedName>
    <definedName name="v_79_SCa">Model!$AR$198</definedName>
    <definedName name="v_79_SCAT">Model!$AP$198</definedName>
    <definedName name="v_79_SCH4">Model!$AL$198</definedName>
    <definedName name="v_79_SCO2">Model!$AN$198</definedName>
    <definedName name="v_79_SFe2">Model!$AU$198</definedName>
    <definedName name="v_79_SH2">Model!$AM$198</definedName>
    <definedName name="v_79_SK">Model!$AT$198</definedName>
    <definedName name="v_79_SMEOL">Model!$G$198</definedName>
    <definedName name="v_79_SMg">Model!$AS$198</definedName>
    <definedName name="v_79_SN_B">Model!$AC$198</definedName>
    <definedName name="v_79_SN2">Model!$AB$198</definedName>
    <definedName name="v_79_SNHx">Model!$Y$198</definedName>
    <definedName name="v_79_SNO2">Model!$Z$198</definedName>
    <definedName name="v_79_SNO3">Model!$AA$198</definedName>
    <definedName name="v_79_SO2">Model!$AK$198</definedName>
    <definedName name="v_79_SORPswitch">Model!$BQ$198</definedName>
    <definedName name="v_79_SP_B">Model!$AH$198</definedName>
    <definedName name="v_79_SPO4">Model!$AF$198</definedName>
    <definedName name="v_79_SU">Model!$J$198</definedName>
    <definedName name="v_79_SVFA">Model!$E$198</definedName>
    <definedName name="v_79_XACP">Model!$BK$198</definedName>
    <definedName name="v_79_XAMETO">Model!$W$198</definedName>
    <definedName name="v_79_XAMX">Model!$V$198</definedName>
    <definedName name="v_79_XAOB">Model!$T$198</definedName>
    <definedName name="v_79_XB">Model!$I$198</definedName>
    <definedName name="v_79_XBSH">Model!$BL$198</definedName>
    <definedName name="v_79_XCaCO3">Model!$BJ$198</definedName>
    <definedName name="v_79_XCASTO">Model!$R$198</definedName>
    <definedName name="v_79_XE">Model!$O$198</definedName>
    <definedName name="v_79_XE_ana">Model!$P$198</definedName>
    <definedName name="v_79_XGLY">Model!$N$198</definedName>
    <definedName name="v_79_XHAO_H">Model!$BC$198</definedName>
    <definedName name="v_79_XHAO_H_P">Model!$BF$198</definedName>
    <definedName name="v_79_XHAO_H_P_old">Model!$BH$198</definedName>
    <definedName name="v_79_XHAO_L">Model!$BD$198</definedName>
    <definedName name="v_79_XHAO_L_P">Model!$BG$198</definedName>
    <definedName name="v_79_XHAO_L_P_old">Model!$BI$198</definedName>
    <definedName name="v_79_XHAO_old">Model!$BE$198</definedName>
    <definedName name="v_79_XHFO_H">Model!$AV$198</definedName>
    <definedName name="v_79_XHFO_H_P">Model!$AY$198</definedName>
    <definedName name="v_79_XHFO_H_P_old">Model!$BA$198</definedName>
    <definedName name="v_79_XHFO_L">Model!$AW$198</definedName>
    <definedName name="v_79_XHFO_L_P">Model!$AZ$198</definedName>
    <definedName name="v_79_XHFO_L_P_old">Model!$BB$198</definedName>
    <definedName name="v_79_XHFO_old">Model!$AX$198</definedName>
    <definedName name="v_79_XHMETO">Model!$X$198</definedName>
    <definedName name="v_79_XINORG">Model!$AO$198</definedName>
    <definedName name="v_79_XMEOLO">Model!$S$198</definedName>
    <definedName name="v_79_XN_B">Model!$AD$198</definedName>
    <definedName name="v_79_XN_U">Model!$AE$198</definedName>
    <definedName name="v_79_XNOB">Model!$U$198</definedName>
    <definedName name="v_79_XOHO">Model!$Q$198</definedName>
    <definedName name="v_79_XP_B">Model!$AI$198</definedName>
    <definedName name="v_79_XP_U">Model!$AJ$198</definedName>
    <definedName name="v_79_XPHA">Model!$M$198</definedName>
    <definedName name="v_79_XPP">Model!$AG$198</definedName>
    <definedName name="v_79_XSTR">Model!$BM$198</definedName>
    <definedName name="v_79_XU">Model!$L$198</definedName>
    <definedName name="v_79_XVivi">Model!$BN$198</definedName>
    <definedName name="v_8_CB">Model!$H$127</definedName>
    <definedName name="v_8_CU">Model!$K$127</definedName>
    <definedName name="v_8_GCH4">Model!$BS$127</definedName>
    <definedName name="v_8_GCH4_atm">Model!$BY$127</definedName>
    <definedName name="v_8_GCO2">Model!$BR$127</definedName>
    <definedName name="v_8_GCO2_atm">Model!$BX$127</definedName>
    <definedName name="v_8_GH2">Model!$BT$127</definedName>
    <definedName name="v_8_GH2_atm">Model!$BZ$127</definedName>
    <definedName name="v_8_GN2">Model!$BW$127</definedName>
    <definedName name="v_8_GN2_atm">Model!$CC$127</definedName>
    <definedName name="v_8_GNH3">Model!$BV$127</definedName>
    <definedName name="v_8_GNH3_atm">Model!$CB$127</definedName>
    <definedName name="v_8_GO2">Model!$BU$127</definedName>
    <definedName name="v_8_GO2_atm">Model!$CA$127</definedName>
    <definedName name="v_8_H">Model!$BO$127</definedName>
    <definedName name="v_8_SALPHA">Model!$BP$127</definedName>
    <definedName name="v_8_SAN">Model!$AQ$127</definedName>
    <definedName name="v_8_SB">Model!$F$127</definedName>
    <definedName name="v_8_SCa">Model!$AR$127</definedName>
    <definedName name="v_8_SCAT">Model!$AP$127</definedName>
    <definedName name="v_8_SCH4">Model!$AL$127</definedName>
    <definedName name="v_8_SCO2">Model!$AN$127</definedName>
    <definedName name="v_8_SFe2">Model!$AU$127</definedName>
    <definedName name="v_8_SH2">Model!$AM$127</definedName>
    <definedName name="v_8_SK">Model!$AT$127</definedName>
    <definedName name="v_8_SMEOL">Model!$G$127</definedName>
    <definedName name="v_8_SMg">Model!$AS$127</definedName>
    <definedName name="v_8_SN_B">Model!$AC$127</definedName>
    <definedName name="v_8_SN2">Model!$AB$127</definedName>
    <definedName name="v_8_SNHx">Model!$Y$127</definedName>
    <definedName name="v_8_SNO2">Model!$Z$127</definedName>
    <definedName name="v_8_SNO3">Model!$AA$127</definedName>
    <definedName name="v_8_SO2">Model!$AK$127</definedName>
    <definedName name="v_8_SORPswitch">Model!$BQ$127</definedName>
    <definedName name="v_8_SP_B">Model!$AH$127</definedName>
    <definedName name="v_8_SPO4">Model!$AF$127</definedName>
    <definedName name="v_8_SU">Model!$J$127</definedName>
    <definedName name="v_8_SVFA">Model!$E$127</definedName>
    <definedName name="v_8_XACP">Model!$BK$127</definedName>
    <definedName name="v_8_XAMETO">Model!$W$127</definedName>
    <definedName name="v_8_XAMX">Model!$V$127</definedName>
    <definedName name="v_8_XAOB">Model!$T$127</definedName>
    <definedName name="v_8_XB">Model!$I$127</definedName>
    <definedName name="v_8_XBSH">Model!$BL$127</definedName>
    <definedName name="v_8_XCaCO3">Model!$BJ$127</definedName>
    <definedName name="v_8_XCASTO">Model!$R$127</definedName>
    <definedName name="v_8_XE">Model!$O$127</definedName>
    <definedName name="v_8_XE_ana">Model!$P$127</definedName>
    <definedName name="v_8_XGLY">Model!$N$127</definedName>
    <definedName name="v_8_XHAO_H">Model!$BC$127</definedName>
    <definedName name="v_8_XHAO_H_P">Model!$BF$127</definedName>
    <definedName name="v_8_XHAO_H_P_old">Model!$BH$127</definedName>
    <definedName name="v_8_XHAO_L">Model!$BD$127</definedName>
    <definedName name="v_8_XHAO_L_P">Model!$BG$127</definedName>
    <definedName name="v_8_XHAO_L_P_old">Model!$BI$127</definedName>
    <definedName name="v_8_XHAO_old">Model!$BE$127</definedName>
    <definedName name="v_8_XHFO_H">Model!$AV$127</definedName>
    <definedName name="v_8_XHFO_H_P">Model!$AY$127</definedName>
    <definedName name="v_8_XHFO_H_P_old">Model!$BA$127</definedName>
    <definedName name="v_8_XHFO_L">Model!$AW$127</definedName>
    <definedName name="v_8_XHFO_L_P">Model!$AZ$127</definedName>
    <definedName name="v_8_XHFO_L_P_old">Model!$BB$127</definedName>
    <definedName name="v_8_XHFO_old">Model!$AX$127</definedName>
    <definedName name="v_8_XHMETO">Model!$X$127</definedName>
    <definedName name="v_8_XINORG">Model!$AO$127</definedName>
    <definedName name="v_8_XMEOLO">Model!$S$127</definedName>
    <definedName name="v_8_XN_B">Model!$AD$127</definedName>
    <definedName name="v_8_XN_U">Model!$AE$127</definedName>
    <definedName name="v_8_XNOB">Model!$U$127</definedName>
    <definedName name="v_8_XOHO">Model!$Q$127</definedName>
    <definedName name="v_8_XP_B">Model!$AI$127</definedName>
    <definedName name="v_8_XP_U">Model!$AJ$127</definedName>
    <definedName name="v_8_XPHA">Model!$M$127</definedName>
    <definedName name="v_8_XPP">Model!$AG$127</definedName>
    <definedName name="v_8_XSTR">Model!$BM$127</definedName>
    <definedName name="v_8_XU">Model!$L$127</definedName>
    <definedName name="v_8_XVivi">Model!$BN$127</definedName>
    <definedName name="v_80_CB">Model!$H$199</definedName>
    <definedName name="v_80_CU">Model!$K$199</definedName>
    <definedName name="v_80_GCH4">Model!$BS$199</definedName>
    <definedName name="v_80_GCH4_atm">Model!$BY$199</definedName>
    <definedName name="v_80_GCO2">Model!$BR$199</definedName>
    <definedName name="v_80_GCO2_atm">Model!$BX$199</definedName>
    <definedName name="v_80_GH2">Model!$BT$199</definedName>
    <definedName name="v_80_GH2_atm">Model!$BZ$199</definedName>
    <definedName name="v_80_GN2">Model!$BW$199</definedName>
    <definedName name="v_80_GN2_atm">Model!$CC$199</definedName>
    <definedName name="v_80_GNH3">Model!$BV$199</definedName>
    <definedName name="v_80_GNH3_atm">Model!$CB$199</definedName>
    <definedName name="v_80_GO2">Model!$BU$199</definedName>
    <definedName name="v_80_GO2_atm">Model!$CA$199</definedName>
    <definedName name="v_80_H">Model!$BO$199</definedName>
    <definedName name="v_80_SALPHA">Model!$BP$199</definedName>
    <definedName name="v_80_SAN">Model!$AQ$199</definedName>
    <definedName name="v_80_SB">Model!$F$199</definedName>
    <definedName name="v_80_SCa">Model!$AR$199</definedName>
    <definedName name="v_80_SCAT">Model!$AP$199</definedName>
    <definedName name="v_80_SCH4">Model!$AL$199</definedName>
    <definedName name="v_80_SCO2">Model!$AN$199</definedName>
    <definedName name="v_80_SFe2">Model!$AU$199</definedName>
    <definedName name="v_80_SH2">Model!$AM$199</definedName>
    <definedName name="v_80_SK">Model!$AT$199</definedName>
    <definedName name="v_80_SMEOL">Model!$G$199</definedName>
    <definedName name="v_80_SMg">Model!$AS$199</definedName>
    <definedName name="v_80_SN_B">Model!$AC$199</definedName>
    <definedName name="v_80_SN2">Model!$AB$199</definedName>
    <definedName name="v_80_SNHx">Model!$Y$199</definedName>
    <definedName name="v_80_SNO2">Model!$Z$199</definedName>
    <definedName name="v_80_SNO3">Model!$AA$199</definedName>
    <definedName name="v_80_SO2">Model!$AK$199</definedName>
    <definedName name="v_80_SORPswitch">Model!$BQ$199</definedName>
    <definedName name="v_80_SP_B">Model!$AH$199</definedName>
    <definedName name="v_80_SPO4">Model!$AF$199</definedName>
    <definedName name="v_80_SU">Model!$J$199</definedName>
    <definedName name="v_80_SVFA">Model!$E$199</definedName>
    <definedName name="v_80_XACP">Model!$BK$199</definedName>
    <definedName name="v_80_XAMETO">Model!$W$199</definedName>
    <definedName name="v_80_XAMX">Model!$V$199</definedName>
    <definedName name="v_80_XAOB">Model!$T$199</definedName>
    <definedName name="v_80_XB">Model!$I$199</definedName>
    <definedName name="v_80_XBSH">Model!$BL$199</definedName>
    <definedName name="v_80_XCaCO3">Model!$BJ$199</definedName>
    <definedName name="v_80_XCASTO">Model!$R$199</definedName>
    <definedName name="v_80_XE">Model!$O$199</definedName>
    <definedName name="v_80_XE_ana">Model!$P$199</definedName>
    <definedName name="v_80_XGLY">Model!$N$199</definedName>
    <definedName name="v_80_XHAO_H">Model!$BC$199</definedName>
    <definedName name="v_80_XHAO_H_P">Model!$BF$199</definedName>
    <definedName name="v_80_XHAO_H_P_old">Model!$BH$199</definedName>
    <definedName name="v_80_XHAO_L">Model!$BD$199</definedName>
    <definedName name="v_80_XHAO_L_P">Model!$BG$199</definedName>
    <definedName name="v_80_XHAO_L_P_old">Model!$BI$199</definedName>
    <definedName name="v_80_XHAO_old">Model!$BE$199</definedName>
    <definedName name="v_80_XHFO_H">Model!$AV$199</definedName>
    <definedName name="v_80_XHFO_H_P">Model!$AY$199</definedName>
    <definedName name="v_80_XHFO_H_P_old">Model!$BA$199</definedName>
    <definedName name="v_80_XHFO_L">Model!$AW$199</definedName>
    <definedName name="v_80_XHFO_L_P">Model!$AZ$199</definedName>
    <definedName name="v_80_XHFO_L_P_old">Model!$BB$199</definedName>
    <definedName name="v_80_XHFO_old">Model!$AX$199</definedName>
    <definedName name="v_80_XHMETO">Model!$X$199</definedName>
    <definedName name="v_80_XINORG">Model!$AO$199</definedName>
    <definedName name="v_80_XMEOLO">Model!$S$199</definedName>
    <definedName name="v_80_XN_B">Model!$AD$199</definedName>
    <definedName name="v_80_XN_U">Model!$AE$199</definedName>
    <definedName name="v_80_XNOB">Model!$U$199</definedName>
    <definedName name="v_80_XOHO">Model!$Q$199</definedName>
    <definedName name="v_80_XP_B">Model!$AI$199</definedName>
    <definedName name="v_80_XP_U">Model!$AJ$199</definedName>
    <definedName name="v_80_XPHA">Model!$M$199</definedName>
    <definedName name="v_80_XPP">Model!$AG$199</definedName>
    <definedName name="v_80_XSTR">Model!$BM$199</definedName>
    <definedName name="v_80_XU">Model!$L$199</definedName>
    <definedName name="v_80_XVivi">Model!$BN$199</definedName>
    <definedName name="v_81_CB">Model!$H$200</definedName>
    <definedName name="v_81_CU">Model!$K$200</definedName>
    <definedName name="v_81_GCH4">Model!$BS$200</definedName>
    <definedName name="v_81_GCH4_atm">Model!$BY$200</definedName>
    <definedName name="v_81_GCO2">Model!$BR$200</definedName>
    <definedName name="v_81_GCO2_atm">Model!$BX$200</definedName>
    <definedName name="v_81_GH2">Model!$BT$200</definedName>
    <definedName name="v_81_GH2_atm">Model!$BZ$200</definedName>
    <definedName name="v_81_GN2">Model!$BW$200</definedName>
    <definedName name="v_81_GN2_atm">Model!$CC$200</definedName>
    <definedName name="v_81_GNH3">Model!$BV$200</definedName>
    <definedName name="v_81_GNH3_atm">Model!$CB$200</definedName>
    <definedName name="v_81_GO2">Model!$BU$200</definedName>
    <definedName name="v_81_GO2_atm">Model!$CA$200</definedName>
    <definedName name="v_81_H">Model!$BO$200</definedName>
    <definedName name="v_81_SALPHA">Model!$BP$200</definedName>
    <definedName name="v_81_SAN">Model!$AQ$200</definedName>
    <definedName name="v_81_SB">Model!$F$200</definedName>
    <definedName name="v_81_SCa">Model!$AR$200</definedName>
    <definedName name="v_81_SCAT">Model!$AP$200</definedName>
    <definedName name="v_81_SCH4">Model!$AL$200</definedName>
    <definedName name="v_81_SCO2">Model!$AN$200</definedName>
    <definedName name="v_81_SFe2">Model!$AU$200</definedName>
    <definedName name="v_81_SH2">Model!$AM$200</definedName>
    <definedName name="v_81_SK">Model!$AT$200</definedName>
    <definedName name="v_81_SMEOL">Model!$G$200</definedName>
    <definedName name="v_81_SMg">Model!$AS$200</definedName>
    <definedName name="v_81_SN_B">Model!$AC$200</definedName>
    <definedName name="v_81_SN2">Model!$AB$200</definedName>
    <definedName name="v_81_SNHx">Model!$Y$200</definedName>
    <definedName name="v_81_SNO2">Model!$Z$200</definedName>
    <definedName name="v_81_SNO3">Model!$AA$200</definedName>
    <definedName name="v_81_SO2">Model!$AK$200</definedName>
    <definedName name="v_81_SORPswitch">Model!$BQ$200</definedName>
    <definedName name="v_81_SP_B">Model!$AH$200</definedName>
    <definedName name="v_81_SPO4">Model!$AF$200</definedName>
    <definedName name="v_81_SU">Model!$J$200</definedName>
    <definedName name="v_81_SVFA">Model!$E$200</definedName>
    <definedName name="v_81_XACP">Model!$BK$200</definedName>
    <definedName name="v_81_XAMETO">Model!$W$200</definedName>
    <definedName name="v_81_XAMX">Model!$V$200</definedName>
    <definedName name="v_81_XAOB">Model!$T$200</definedName>
    <definedName name="v_81_XB">Model!$I$200</definedName>
    <definedName name="v_81_XBSH">Model!$BL$200</definedName>
    <definedName name="v_81_XCaCO3">Model!$BJ$200</definedName>
    <definedName name="v_81_XCASTO">Model!$R$200</definedName>
    <definedName name="v_81_XE">Model!$O$200</definedName>
    <definedName name="v_81_XE_ana">Model!$P$200</definedName>
    <definedName name="v_81_XGLY">Model!$N$200</definedName>
    <definedName name="v_81_XHAO_H">Model!$BC$200</definedName>
    <definedName name="v_81_XHAO_H_P">Model!$BF$200</definedName>
    <definedName name="v_81_XHAO_H_P_old">Model!$BH$200</definedName>
    <definedName name="v_81_XHAO_L">Model!$BD$200</definedName>
    <definedName name="v_81_XHAO_L_P">Model!$BG$200</definedName>
    <definedName name="v_81_XHAO_L_P_old">Model!$BI$200</definedName>
    <definedName name="v_81_XHAO_old">Model!$BE$200</definedName>
    <definedName name="v_81_XHFO_H">Model!$AV$200</definedName>
    <definedName name="v_81_XHFO_H_P">Model!$AY$200</definedName>
    <definedName name="v_81_XHFO_H_P_old">Model!$BA$200</definedName>
    <definedName name="v_81_XHFO_L">Model!$AW$200</definedName>
    <definedName name="v_81_XHFO_L_P">Model!$AZ$200</definedName>
    <definedName name="v_81_XHFO_L_P_old">Model!$BB$200</definedName>
    <definedName name="v_81_XHFO_old">Model!$AX$200</definedName>
    <definedName name="v_81_XHMETO">Model!$X$200</definedName>
    <definedName name="v_81_XINORG">Model!$AO$200</definedName>
    <definedName name="v_81_XMEOLO">Model!$S$200</definedName>
    <definedName name="v_81_XN_B">Model!$AD$200</definedName>
    <definedName name="v_81_XN_U">Model!$AE$200</definedName>
    <definedName name="v_81_XNOB">Model!$U$200</definedName>
    <definedName name="v_81_XOHO">Model!$Q$200</definedName>
    <definedName name="v_81_XP_B">Model!$AI$200</definedName>
    <definedName name="v_81_XP_U">Model!$AJ$200</definedName>
    <definedName name="v_81_XPHA">Model!$M$200</definedName>
    <definedName name="v_81_XPP">Model!$AG$200</definedName>
    <definedName name="v_81_XSTR">Model!$BM$200</definedName>
    <definedName name="v_81_XU">Model!$L$200</definedName>
    <definedName name="v_81_XVivi">Model!$BN$200</definedName>
    <definedName name="v_82_CB">Model!$H$201</definedName>
    <definedName name="v_82_CU">Model!$K$201</definedName>
    <definedName name="v_82_GCH4">Model!$BS$201</definedName>
    <definedName name="v_82_GCH4_atm">Model!$BY$201</definedName>
    <definedName name="v_82_GCO2">Model!$BR$201</definedName>
    <definedName name="v_82_GCO2_atm">Model!$BX$201</definedName>
    <definedName name="v_82_GH2">Model!$BT$201</definedName>
    <definedName name="v_82_GH2_atm">Model!$BZ$201</definedName>
    <definedName name="v_82_GN2">Model!$BW$201</definedName>
    <definedName name="v_82_GN2_atm">Model!$CC$201</definedName>
    <definedName name="v_82_GNH3">Model!$BV$201</definedName>
    <definedName name="v_82_GNH3_atm">Model!$CB$201</definedName>
    <definedName name="v_82_GO2">Model!$BU$201</definedName>
    <definedName name="v_82_GO2_atm">Model!$CA$201</definedName>
    <definedName name="v_82_H">Model!$BO$201</definedName>
    <definedName name="v_82_SALPHA">Model!$BP$201</definedName>
    <definedName name="v_82_SAN">Model!$AQ$201</definedName>
    <definedName name="v_82_SB">Model!$F$201</definedName>
    <definedName name="v_82_SCa">Model!$AR$201</definedName>
    <definedName name="v_82_SCAT">Model!$AP$201</definedName>
    <definedName name="v_82_SCH4">Model!$AL$201</definedName>
    <definedName name="v_82_SCO2">Model!$AN$201</definedName>
    <definedName name="v_82_SFe2">Model!$AU$201</definedName>
    <definedName name="v_82_SH2">Model!$AM$201</definedName>
    <definedName name="v_82_SK">Model!$AT$201</definedName>
    <definedName name="v_82_SMEOL">Model!$G$201</definedName>
    <definedName name="v_82_SMg">Model!$AS$201</definedName>
    <definedName name="v_82_SN_B">Model!$AC$201</definedName>
    <definedName name="v_82_SN2">Model!$AB$201</definedName>
    <definedName name="v_82_SNHx">Model!$Y$201</definedName>
    <definedName name="v_82_SNO2">Model!$Z$201</definedName>
    <definedName name="v_82_SNO3">Model!$AA$201</definedName>
    <definedName name="v_82_SO2">Model!$AK$201</definedName>
    <definedName name="v_82_SORPswitch">Model!$BQ$201</definedName>
    <definedName name="v_82_SP_B">Model!$AH$201</definedName>
    <definedName name="v_82_SPO4">Model!$AF$201</definedName>
    <definedName name="v_82_SU">Model!$J$201</definedName>
    <definedName name="v_82_SVFA">Model!$E$201</definedName>
    <definedName name="v_82_XACP">Model!$BK$201</definedName>
    <definedName name="v_82_XAMETO">Model!$W$201</definedName>
    <definedName name="v_82_XAMX">Model!$V$201</definedName>
    <definedName name="v_82_XAOB">Model!$T$201</definedName>
    <definedName name="v_82_XB">Model!$I$201</definedName>
    <definedName name="v_82_XBSH">Model!$BL$201</definedName>
    <definedName name="v_82_XCaCO3">Model!$BJ$201</definedName>
    <definedName name="v_82_XCASTO">Model!$R$201</definedName>
    <definedName name="v_82_XE">Model!$O$201</definedName>
    <definedName name="v_82_XE_ana">Model!$P$201</definedName>
    <definedName name="v_82_XGLY">Model!$N$201</definedName>
    <definedName name="v_82_XHAO_H">Model!$BC$201</definedName>
    <definedName name="v_82_XHAO_H_P">Model!$BF$201</definedName>
    <definedName name="v_82_XHAO_H_P_old">Model!$BH$201</definedName>
    <definedName name="v_82_XHAO_L">Model!$BD$201</definedName>
    <definedName name="v_82_XHAO_L_P">Model!$BG$201</definedName>
    <definedName name="v_82_XHAO_L_P_old">Model!$BI$201</definedName>
    <definedName name="v_82_XHAO_old">Model!$BE$201</definedName>
    <definedName name="v_82_XHFO_H">Model!$AV$201</definedName>
    <definedName name="v_82_XHFO_H_P">Model!$AY$201</definedName>
    <definedName name="v_82_XHFO_H_P_old">Model!$BA$201</definedName>
    <definedName name="v_82_XHFO_L">Model!$AW$201</definedName>
    <definedName name="v_82_XHFO_L_P">Model!$AZ$201</definedName>
    <definedName name="v_82_XHFO_L_P_old">Model!$BB$201</definedName>
    <definedName name="v_82_XHFO_old">Model!$AX$201</definedName>
    <definedName name="v_82_XHMETO">Model!$X$201</definedName>
    <definedName name="v_82_XINORG">Model!$AO$201</definedName>
    <definedName name="v_82_XMEOLO">Model!$S$201</definedName>
    <definedName name="v_82_XN_B">Model!$AD$201</definedName>
    <definedName name="v_82_XN_U">Model!$AE$201</definedName>
    <definedName name="v_82_XNOB">Model!$U$201</definedName>
    <definedName name="v_82_XOHO">Model!$Q$201</definedName>
    <definedName name="v_82_XP_B">Model!$AI$201</definedName>
    <definedName name="v_82_XP_U">Model!$AJ$201</definedName>
    <definedName name="v_82_XPHA">Model!$M$201</definedName>
    <definedName name="v_82_XPP">Model!$AG$201</definedName>
    <definedName name="v_82_XSTR">Model!$BM$201</definedName>
    <definedName name="v_82_XU">Model!$L$201</definedName>
    <definedName name="v_82_XVivi">Model!$BN$201</definedName>
    <definedName name="v_83_CB">Model!$H$202</definedName>
    <definedName name="v_83_CU">Model!$K$202</definedName>
    <definedName name="v_83_GCH4">Model!$BS$202</definedName>
    <definedName name="v_83_GCH4_atm">Model!$BY$202</definedName>
    <definedName name="v_83_GCO2">Model!$BR$202</definedName>
    <definedName name="v_83_GCO2_atm">Model!$BX$202</definedName>
    <definedName name="v_83_GH2">Model!$BT$202</definedName>
    <definedName name="v_83_GH2_atm">Model!$BZ$202</definedName>
    <definedName name="v_83_GN2">Model!$BW$202</definedName>
    <definedName name="v_83_GN2_atm">Model!$CC$202</definedName>
    <definedName name="v_83_GNH3">Model!$BV$202</definedName>
    <definedName name="v_83_GNH3_atm">Model!$CB$202</definedName>
    <definedName name="v_83_GO2">Model!$BU$202</definedName>
    <definedName name="v_83_GO2_atm">Model!$CA$202</definedName>
    <definedName name="v_83_H">Model!$BO$202</definedName>
    <definedName name="v_83_SALPHA">Model!$BP$202</definedName>
    <definedName name="v_83_SAN">Model!$AQ$202</definedName>
    <definedName name="v_83_SB">Model!$F$202</definedName>
    <definedName name="v_83_SCa">Model!$AR$202</definedName>
    <definedName name="v_83_SCAT">Model!$AP$202</definedName>
    <definedName name="v_83_SCH4">Model!$AL$202</definedName>
    <definedName name="v_83_SCO2">Model!$AN$202</definedName>
    <definedName name="v_83_SFe2">Model!$AU$202</definedName>
    <definedName name="v_83_SH2">Model!$AM$202</definedName>
    <definedName name="v_83_SK">Model!$AT$202</definedName>
    <definedName name="v_83_SMEOL">Model!$G$202</definedName>
    <definedName name="v_83_SMg">Model!$AS$202</definedName>
    <definedName name="v_83_SN_B">Model!$AC$202</definedName>
    <definedName name="v_83_SN2">Model!$AB$202</definedName>
    <definedName name="v_83_SNHx">Model!$Y$202</definedName>
    <definedName name="v_83_SNO2">Model!$Z$202</definedName>
    <definedName name="v_83_SNO3">Model!$AA$202</definedName>
    <definedName name="v_83_SO2">Model!$AK$202</definedName>
    <definedName name="v_83_SORPswitch">Model!$BQ$202</definedName>
    <definedName name="v_83_SP_B">Model!$AH$202</definedName>
    <definedName name="v_83_SPO4">Model!$AF$202</definedName>
    <definedName name="v_83_SU">Model!$J$202</definedName>
    <definedName name="v_83_SVFA">Model!$E$202</definedName>
    <definedName name="v_83_XACP">Model!$BK$202</definedName>
    <definedName name="v_83_XAMETO">Model!$W$202</definedName>
    <definedName name="v_83_XAMX">Model!$V$202</definedName>
    <definedName name="v_83_XAOB">Model!$T$202</definedName>
    <definedName name="v_83_XB">Model!$I$202</definedName>
    <definedName name="v_83_XBSH">Model!$BL$202</definedName>
    <definedName name="v_83_XCaCO3">Model!$BJ$202</definedName>
    <definedName name="v_83_XCASTO">Model!$R$202</definedName>
    <definedName name="v_83_XE">Model!$O$202</definedName>
    <definedName name="v_83_XE_ana">Model!$P$202</definedName>
    <definedName name="v_83_XGLY">Model!$N$202</definedName>
    <definedName name="v_83_XHAO_H">Model!$BC$202</definedName>
    <definedName name="v_83_XHAO_H_P">Model!$BF$202</definedName>
    <definedName name="v_83_XHAO_H_P_old">Model!$BH$202</definedName>
    <definedName name="v_83_XHAO_L">Model!$BD$202</definedName>
    <definedName name="v_83_XHAO_L_P">Model!$BG$202</definedName>
    <definedName name="v_83_XHAO_L_P_old">Model!$BI$202</definedName>
    <definedName name="v_83_XHAO_old">Model!$BE$202</definedName>
    <definedName name="v_83_XHFO_H">Model!$AV$202</definedName>
    <definedName name="v_83_XHFO_H_P">Model!$AY$202</definedName>
    <definedName name="v_83_XHFO_H_P_old">Model!$BA$202</definedName>
    <definedName name="v_83_XHFO_L">Model!$AW$202</definedName>
    <definedName name="v_83_XHFO_L_P">Model!$AZ$202</definedName>
    <definedName name="v_83_XHFO_L_P_old">Model!$BB$202</definedName>
    <definedName name="v_83_XHFO_old">Model!$AX$202</definedName>
    <definedName name="v_83_XHMETO">Model!$X$202</definedName>
    <definedName name="v_83_XINORG">Model!$AO$202</definedName>
    <definedName name="v_83_XMEOLO">Model!$S$202</definedName>
    <definedName name="v_83_XN_B">Model!$AD$202</definedName>
    <definedName name="v_83_XN_U">Model!$AE$202</definedName>
    <definedName name="v_83_XNOB">Model!$U$202</definedName>
    <definedName name="v_83_XOHO">Model!$Q$202</definedName>
    <definedName name="v_83_XP_B">Model!$AI$202</definedName>
    <definedName name="v_83_XP_U">Model!$AJ$202</definedName>
    <definedName name="v_83_XPHA">Model!$M$202</definedName>
    <definedName name="v_83_XPP">Model!$AG$202</definedName>
    <definedName name="v_83_XSTR">Model!$BM$202</definedName>
    <definedName name="v_83_XU">Model!$L$202</definedName>
    <definedName name="v_83_XVivi">Model!$BN$202</definedName>
    <definedName name="v_84_CB">Model!$H$203</definedName>
    <definedName name="v_84_CU">Model!$K$203</definedName>
    <definedName name="v_84_GCH4">Model!$BS$203</definedName>
    <definedName name="v_84_GCH4_atm">Model!$BY$203</definedName>
    <definedName name="v_84_GCO2">Model!$BR$203</definedName>
    <definedName name="v_84_GCO2_atm">Model!$BX$203</definedName>
    <definedName name="v_84_GH2">Model!$BT$203</definedName>
    <definedName name="v_84_GH2_atm">Model!$BZ$203</definedName>
    <definedName name="v_84_GN2">Model!$BW$203</definedName>
    <definedName name="v_84_GN2_atm">Model!$CC$203</definedName>
    <definedName name="v_84_GNH3">Model!$BV$203</definedName>
    <definedName name="v_84_GNH3_atm">Model!$CB$203</definedName>
    <definedName name="v_84_GO2">Model!$BU$203</definedName>
    <definedName name="v_84_GO2_atm">Model!$CA$203</definedName>
    <definedName name="v_84_H">Model!$BO$203</definedName>
    <definedName name="v_84_SALPHA">Model!$BP$203</definedName>
    <definedName name="v_84_SAN">Model!$AQ$203</definedName>
    <definedName name="v_84_SB">Model!$F$203</definedName>
    <definedName name="v_84_SCa">Model!$AR$203</definedName>
    <definedName name="v_84_SCAT">Model!$AP$203</definedName>
    <definedName name="v_84_SCH4">Model!$AL$203</definedName>
    <definedName name="v_84_SCO2">Model!$AN$203</definedName>
    <definedName name="v_84_SFe2">Model!$AU$203</definedName>
    <definedName name="v_84_SH2">Model!$AM$203</definedName>
    <definedName name="v_84_SK">Model!$AT$203</definedName>
    <definedName name="v_84_SMEOL">Model!$G$203</definedName>
    <definedName name="v_84_SMg">Model!$AS$203</definedName>
    <definedName name="v_84_SN_B">Model!$AC$203</definedName>
    <definedName name="v_84_SN2">Model!$AB$203</definedName>
    <definedName name="v_84_SNHx">Model!$Y$203</definedName>
    <definedName name="v_84_SNO2">Model!$Z$203</definedName>
    <definedName name="v_84_SNO3">Model!$AA$203</definedName>
    <definedName name="v_84_SO2">Model!$AK$203</definedName>
    <definedName name="v_84_SORPswitch">Model!$BQ$203</definedName>
    <definedName name="v_84_SP_B">Model!$AH$203</definedName>
    <definedName name="v_84_SPO4">Model!$AF$203</definedName>
    <definedName name="v_84_SU">Model!$J$203</definedName>
    <definedName name="v_84_SVFA">Model!$E$203</definedName>
    <definedName name="v_84_XACP">Model!$BK$203</definedName>
    <definedName name="v_84_XAMETO">Model!$W$203</definedName>
    <definedName name="v_84_XAMX">Model!$V$203</definedName>
    <definedName name="v_84_XAOB">Model!$T$203</definedName>
    <definedName name="v_84_XB">Model!$I$203</definedName>
    <definedName name="v_84_XBSH">Model!$BL$203</definedName>
    <definedName name="v_84_XCaCO3">Model!$BJ$203</definedName>
    <definedName name="v_84_XCASTO">Model!$R$203</definedName>
    <definedName name="v_84_XE">Model!$O$203</definedName>
    <definedName name="v_84_XE_ana">Model!$P$203</definedName>
    <definedName name="v_84_XGLY">Model!$N$203</definedName>
    <definedName name="v_84_XHAO_H">Model!$BC$203</definedName>
    <definedName name="v_84_XHAO_H_P">Model!$BF$203</definedName>
    <definedName name="v_84_XHAO_H_P_old">Model!$BH$203</definedName>
    <definedName name="v_84_XHAO_L">Model!$BD$203</definedName>
    <definedName name="v_84_XHAO_L_P">Model!$BG$203</definedName>
    <definedName name="v_84_XHAO_L_P_old">Model!$BI$203</definedName>
    <definedName name="v_84_XHAO_old">Model!$BE$203</definedName>
    <definedName name="v_84_XHFO_H">Model!$AV$203</definedName>
    <definedName name="v_84_XHFO_H_P">Model!$AY$203</definedName>
    <definedName name="v_84_XHFO_H_P_old">Model!$BA$203</definedName>
    <definedName name="v_84_XHFO_L">Model!$AW$203</definedName>
    <definedName name="v_84_XHFO_L_P">Model!$AZ$203</definedName>
    <definedName name="v_84_XHFO_L_P_old">Model!$BB$203</definedName>
    <definedName name="v_84_XHFO_old">Model!$AX$203</definedName>
    <definedName name="v_84_XHMETO">Model!$X$203</definedName>
    <definedName name="v_84_XINORG">Model!$AO$203</definedName>
    <definedName name="v_84_XMEOLO">Model!$S$203</definedName>
    <definedName name="v_84_XN_B">Model!$AD$203</definedName>
    <definedName name="v_84_XN_U">Model!$AE$203</definedName>
    <definedName name="v_84_XNOB">Model!$U$203</definedName>
    <definedName name="v_84_XOHO">Model!$Q$203</definedName>
    <definedName name="v_84_XP_B">Model!$AI$203</definedName>
    <definedName name="v_84_XP_U">Model!$AJ$203</definedName>
    <definedName name="v_84_XPHA">Model!$M$203</definedName>
    <definedName name="v_84_XPP">Model!$AG$203</definedName>
    <definedName name="v_84_XSTR">Model!$BM$203</definedName>
    <definedName name="v_84_XU">Model!$L$203</definedName>
    <definedName name="v_84_XVivi">Model!$BN$203</definedName>
    <definedName name="v_85_CB">Model!$H$204</definedName>
    <definedName name="v_85_CU">Model!$K$204</definedName>
    <definedName name="v_85_GCH4">Model!$BS$204</definedName>
    <definedName name="v_85_GCH4_atm">Model!$BY$204</definedName>
    <definedName name="v_85_GCO2">Model!$BR$204</definedName>
    <definedName name="v_85_GCO2_atm">Model!$BX$204</definedName>
    <definedName name="v_85_GH2">Model!$BT$204</definedName>
    <definedName name="v_85_GH2_atm">Model!$BZ$204</definedName>
    <definedName name="v_85_GN2">Model!$BW$204</definedName>
    <definedName name="v_85_GN2_atm">Model!$CC$204</definedName>
    <definedName name="v_85_GNH3">Model!$BV$204</definedName>
    <definedName name="v_85_GNH3_atm">Model!$CB$204</definedName>
    <definedName name="v_85_GO2">Model!$BU$204</definedName>
    <definedName name="v_85_GO2_atm">Model!$CA$204</definedName>
    <definedName name="v_85_H">Model!$BO$204</definedName>
    <definedName name="v_85_SALPHA">Model!$BP$204</definedName>
    <definedName name="v_85_SAN">Model!$AQ$204</definedName>
    <definedName name="v_85_SB">Model!$F$204</definedName>
    <definedName name="v_85_SCa">Model!$AR$204</definedName>
    <definedName name="v_85_SCAT">Model!$AP$204</definedName>
    <definedName name="v_85_SCH4">Model!$AL$204</definedName>
    <definedName name="v_85_SCO2">Model!$AN$204</definedName>
    <definedName name="v_85_SFe2">Model!$AU$204</definedName>
    <definedName name="v_85_SH2">Model!$AM$204</definedName>
    <definedName name="v_85_SK">Model!$AT$204</definedName>
    <definedName name="v_85_SMEOL">Model!$G$204</definedName>
    <definedName name="v_85_SMg">Model!$AS$204</definedName>
    <definedName name="v_85_SN_B">Model!$AC$204</definedName>
    <definedName name="v_85_SN2">Model!$AB$204</definedName>
    <definedName name="v_85_SNHx">Model!$Y$204</definedName>
    <definedName name="v_85_SNO2">Model!$Z$204</definedName>
    <definedName name="v_85_SNO3">Model!$AA$204</definedName>
    <definedName name="v_85_SO2">Model!$AK$204</definedName>
    <definedName name="v_85_SORPswitch">Model!$BQ$204</definedName>
    <definedName name="v_85_SP_B">Model!$AH$204</definedName>
    <definedName name="v_85_SPO4">Model!$AF$204</definedName>
    <definedName name="v_85_SU">Model!$J$204</definedName>
    <definedName name="v_85_SVFA">Model!$E$204</definedName>
    <definedName name="v_85_XACP">Model!$BK$204</definedName>
    <definedName name="v_85_XAMETO">Model!$W$204</definedName>
    <definedName name="v_85_XAMX">Model!$V$204</definedName>
    <definedName name="v_85_XAOB">Model!$T$204</definedName>
    <definedName name="v_85_XB">Model!$I$204</definedName>
    <definedName name="v_85_XBSH">Model!$BL$204</definedName>
    <definedName name="v_85_XCaCO3">Model!$BJ$204</definedName>
    <definedName name="v_85_XCASTO">Model!$R$204</definedName>
    <definedName name="v_85_XE">Model!$O$204</definedName>
    <definedName name="v_85_XE_ana">Model!$P$204</definedName>
    <definedName name="v_85_XGLY">Model!$N$204</definedName>
    <definedName name="v_85_XHAO_H">Model!$BC$204</definedName>
    <definedName name="v_85_XHAO_H_P">Model!$BF$204</definedName>
    <definedName name="v_85_XHAO_H_P_old">Model!$BH$204</definedName>
    <definedName name="v_85_XHAO_L">Model!$BD$204</definedName>
    <definedName name="v_85_XHAO_L_P">Model!$BG$204</definedName>
    <definedName name="v_85_XHAO_L_P_old">Model!$BI$204</definedName>
    <definedName name="v_85_XHAO_old">Model!$BE$204</definedName>
    <definedName name="v_85_XHFO_H">Model!$AV$204</definedName>
    <definedName name="v_85_XHFO_H_P">Model!$AY$204</definedName>
    <definedName name="v_85_XHFO_H_P_old">Model!$BA$204</definedName>
    <definedName name="v_85_XHFO_L">Model!$AW$204</definedName>
    <definedName name="v_85_XHFO_L_P">Model!$AZ$204</definedName>
    <definedName name="v_85_XHFO_L_P_old">Model!$BB$204</definedName>
    <definedName name="v_85_XHFO_old">Model!$AX$204</definedName>
    <definedName name="v_85_XHMETO">Model!$X$204</definedName>
    <definedName name="v_85_XINORG">Model!$AO$204</definedName>
    <definedName name="v_85_XMEOLO">Model!$S$204</definedName>
    <definedName name="v_85_XN_B">Model!$AD$204</definedName>
    <definedName name="v_85_XN_U">Model!$AE$204</definedName>
    <definedName name="v_85_XNOB">Model!$U$204</definedName>
    <definedName name="v_85_XOHO">Model!$Q$204</definedName>
    <definedName name="v_85_XP_B">Model!$AI$204</definedName>
    <definedName name="v_85_XP_U">Model!$AJ$204</definedName>
    <definedName name="v_85_XPHA">Model!$M$204</definedName>
    <definedName name="v_85_XPP">Model!$AG$204</definedName>
    <definedName name="v_85_XSTR">Model!$BM$204</definedName>
    <definedName name="v_85_XU">Model!$L$204</definedName>
    <definedName name="v_85_XVivi">Model!$BN$204</definedName>
    <definedName name="v_86_CB">Model!$H$205</definedName>
    <definedName name="v_86_CU">Model!$K$205</definedName>
    <definedName name="v_86_GCH4">Model!$BS$205</definedName>
    <definedName name="v_86_GCH4_atm">Model!$BY$205</definedName>
    <definedName name="v_86_GCO2">Model!$BR$205</definedName>
    <definedName name="v_86_GCO2_atm">Model!$BX$205</definedName>
    <definedName name="v_86_GH2">Model!$BT$205</definedName>
    <definedName name="v_86_GH2_atm">Model!$BZ$205</definedName>
    <definedName name="v_86_GN2">Model!$BW$205</definedName>
    <definedName name="v_86_GN2_atm">Model!$CC$205</definedName>
    <definedName name="v_86_GNH3">Model!$BV$205</definedName>
    <definedName name="v_86_GNH3_atm">Model!$CB$205</definedName>
    <definedName name="v_86_GO2">Model!$BU$205</definedName>
    <definedName name="v_86_GO2_atm">Model!$CA$205</definedName>
    <definedName name="v_86_H">Model!$BO$205</definedName>
    <definedName name="v_86_SALPHA">Model!$BP$205</definedName>
    <definedName name="v_86_SAN">Model!$AQ$205</definedName>
    <definedName name="v_86_SB">Model!$F$205</definedName>
    <definedName name="v_86_SCa">Model!$AR$205</definedName>
    <definedName name="v_86_SCAT">Model!$AP$205</definedName>
    <definedName name="v_86_SCH4">Model!$AL$205</definedName>
    <definedName name="v_86_SCO2">Model!$AN$205</definedName>
    <definedName name="v_86_SFe2">Model!$AU$205</definedName>
    <definedName name="v_86_SH2">Model!$AM$205</definedName>
    <definedName name="v_86_SK">Model!$AT$205</definedName>
    <definedName name="v_86_SMEOL">Model!$G$205</definedName>
    <definedName name="v_86_SMg">Model!$AS$205</definedName>
    <definedName name="v_86_SN_B">Model!$AC$205</definedName>
    <definedName name="v_86_SN2">Model!$AB$205</definedName>
    <definedName name="v_86_SNHx">Model!$Y$205</definedName>
    <definedName name="v_86_SNO2">Model!$Z$205</definedName>
    <definedName name="v_86_SNO3">Model!$AA$205</definedName>
    <definedName name="v_86_SO2">Model!$AK$205</definedName>
    <definedName name="v_86_SORPswitch">Model!$BQ$205</definedName>
    <definedName name="v_86_SP_B">Model!$AH$205</definedName>
    <definedName name="v_86_SPO4">Model!$AF$205</definedName>
    <definedName name="v_86_SU">Model!$J$205</definedName>
    <definedName name="v_86_SVFA">Model!$E$205</definedName>
    <definedName name="v_86_XACP">Model!$BK$205</definedName>
    <definedName name="v_86_XAMETO">Model!$W$205</definedName>
    <definedName name="v_86_XAMX">Model!$V$205</definedName>
    <definedName name="v_86_XAOB">Model!$T$205</definedName>
    <definedName name="v_86_XB">Model!$I$205</definedName>
    <definedName name="v_86_XBSH">Model!$BL$205</definedName>
    <definedName name="v_86_XCaCO3">Model!$BJ$205</definedName>
    <definedName name="v_86_XCASTO">Model!$R$205</definedName>
    <definedName name="v_86_XE">Model!$O$205</definedName>
    <definedName name="v_86_XE_ana">Model!$P$205</definedName>
    <definedName name="v_86_XGLY">Model!$N$205</definedName>
    <definedName name="v_86_XHAO_H">Model!$BC$205</definedName>
    <definedName name="v_86_XHAO_H_P">Model!$BF$205</definedName>
    <definedName name="v_86_XHAO_H_P_old">Model!$BH$205</definedName>
    <definedName name="v_86_XHAO_L">Model!$BD$205</definedName>
    <definedName name="v_86_XHAO_L_P">Model!$BG$205</definedName>
    <definedName name="v_86_XHAO_L_P_old">Model!$BI$205</definedName>
    <definedName name="v_86_XHAO_old">Model!$BE$205</definedName>
    <definedName name="v_86_XHFO_H">Model!$AV$205</definedName>
    <definedName name="v_86_XHFO_H_P">Model!$AY$205</definedName>
    <definedName name="v_86_XHFO_H_P_old">Model!$BA$205</definedName>
    <definedName name="v_86_XHFO_L">Model!$AW$205</definedName>
    <definedName name="v_86_XHFO_L_P">Model!$AZ$205</definedName>
    <definedName name="v_86_XHFO_L_P_old">Model!$BB$205</definedName>
    <definedName name="v_86_XHFO_old">Model!$AX$205</definedName>
    <definedName name="v_86_XHMETO">Model!$X$205</definedName>
    <definedName name="v_86_XINORG">Model!$AO$205</definedName>
    <definedName name="v_86_XMEOLO">Model!$S$205</definedName>
    <definedName name="v_86_XN_B">Model!$AD$205</definedName>
    <definedName name="v_86_XN_U">Model!$AE$205</definedName>
    <definedName name="v_86_XNOB">Model!$U$205</definedName>
    <definedName name="v_86_XOHO">Model!$Q$205</definedName>
    <definedName name="v_86_XP_B">Model!$AI$205</definedName>
    <definedName name="v_86_XP_U">Model!$AJ$205</definedName>
    <definedName name="v_86_XPHA">Model!$M$205</definedName>
    <definedName name="v_86_XPP">Model!$AG$205</definedName>
    <definedName name="v_86_XSTR">Model!$BM$205</definedName>
    <definedName name="v_86_XU">Model!$L$205</definedName>
    <definedName name="v_86_XVivi">Model!$BN$205</definedName>
    <definedName name="v_87_CB">Model!$H$206</definedName>
    <definedName name="v_87_CU">Model!$K$206</definedName>
    <definedName name="v_87_GCH4">Model!$BS$206</definedName>
    <definedName name="v_87_GCH4_atm">Model!$BY$206</definedName>
    <definedName name="v_87_GCO2">Model!$BR$206</definedName>
    <definedName name="v_87_GCO2_atm">Model!$BX$206</definedName>
    <definedName name="v_87_GH2">Model!$BT$206</definedName>
    <definedName name="v_87_GH2_atm">Model!$BZ$206</definedName>
    <definedName name="v_87_GN2">Model!$BW$206</definedName>
    <definedName name="v_87_GN2_atm">Model!$CC$206</definedName>
    <definedName name="v_87_GNH3">Model!$BV$206</definedName>
    <definedName name="v_87_GNH3_atm">Model!$CB$206</definedName>
    <definedName name="v_87_GO2">Model!$BU$206</definedName>
    <definedName name="v_87_GO2_atm">Model!$CA$206</definedName>
    <definedName name="v_87_H">Model!$BO$206</definedName>
    <definedName name="v_87_SALPHA">Model!$BP$206</definedName>
    <definedName name="v_87_SAN">Model!$AQ$206</definedName>
    <definedName name="v_87_SB">Model!$F$206</definedName>
    <definedName name="v_87_SCa">Model!$AR$206</definedName>
    <definedName name="v_87_SCAT">Model!$AP$206</definedName>
    <definedName name="v_87_SCH4">Model!$AL$206</definedName>
    <definedName name="v_87_SCO2">Model!$AN$206</definedName>
    <definedName name="v_87_SFe2">Model!$AU$206</definedName>
    <definedName name="v_87_SH2">Model!$AM$206</definedName>
    <definedName name="v_87_SK">Model!$AT$206</definedName>
    <definedName name="v_87_SMEOL">Model!$G$206</definedName>
    <definedName name="v_87_SMg">Model!$AS$206</definedName>
    <definedName name="v_87_SN_B">Model!$AC$206</definedName>
    <definedName name="v_87_SN2">Model!$AB$206</definedName>
    <definedName name="v_87_SNHx">Model!$Y$206</definedName>
    <definedName name="v_87_SNO2">Model!$Z$206</definedName>
    <definedName name="v_87_SNO3">Model!$AA$206</definedName>
    <definedName name="v_87_SO2">Model!$AK$206</definedName>
    <definedName name="v_87_SORPswitch">Model!$BQ$206</definedName>
    <definedName name="v_87_SP_B">Model!$AH$206</definedName>
    <definedName name="v_87_SPO4">Model!$AF$206</definedName>
    <definedName name="v_87_SU">Model!$J$206</definedName>
    <definedName name="v_87_SVFA">Model!$E$206</definedName>
    <definedName name="v_87_XACP">Model!$BK$206</definedName>
    <definedName name="v_87_XAMETO">Model!$W$206</definedName>
    <definedName name="v_87_XAMX">Model!$V$206</definedName>
    <definedName name="v_87_XAOB">Model!$T$206</definedName>
    <definedName name="v_87_XB">Model!$I$206</definedName>
    <definedName name="v_87_XBSH">Model!$BL$206</definedName>
    <definedName name="v_87_XCaCO3">Model!$BJ$206</definedName>
    <definedName name="v_87_XCASTO">Model!$R$206</definedName>
    <definedName name="v_87_XE">Model!$O$206</definedName>
    <definedName name="v_87_XE_ana">Model!$P$206</definedName>
    <definedName name="v_87_XGLY">Model!$N$206</definedName>
    <definedName name="v_87_XHAO_H">Model!$BC$206</definedName>
    <definedName name="v_87_XHAO_H_P">Model!$BF$206</definedName>
    <definedName name="v_87_XHAO_H_P_old">Model!$BH$206</definedName>
    <definedName name="v_87_XHAO_L">Model!$BD$206</definedName>
    <definedName name="v_87_XHAO_L_P">Model!$BG$206</definedName>
    <definedName name="v_87_XHAO_L_P_old">Model!$BI$206</definedName>
    <definedName name="v_87_XHAO_old">Model!$BE$206</definedName>
    <definedName name="v_87_XHFO_H">Model!$AV$206</definedName>
    <definedName name="v_87_XHFO_H_P">Model!$AY$206</definedName>
    <definedName name="v_87_XHFO_H_P_old">Model!$BA$206</definedName>
    <definedName name="v_87_XHFO_L">Model!$AW$206</definedName>
    <definedName name="v_87_XHFO_L_P">Model!$AZ$206</definedName>
    <definedName name="v_87_XHFO_L_P_old">Model!$BB$206</definedName>
    <definedName name="v_87_XHFO_old">Model!$AX$206</definedName>
    <definedName name="v_87_XHMETO">Model!$X$206</definedName>
    <definedName name="v_87_XINORG">Model!$AO$206</definedName>
    <definedName name="v_87_XMEOLO">Model!$S$206</definedName>
    <definedName name="v_87_XN_B">Model!$AD$206</definedName>
    <definedName name="v_87_XN_U">Model!$AE$206</definedName>
    <definedName name="v_87_XNOB">Model!$U$206</definedName>
    <definedName name="v_87_XOHO">Model!$Q$206</definedName>
    <definedName name="v_87_XP_B">Model!$AI$206</definedName>
    <definedName name="v_87_XP_U">Model!$AJ$206</definedName>
    <definedName name="v_87_XPHA">Model!$M$206</definedName>
    <definedName name="v_87_XPP">Model!$AG$206</definedName>
    <definedName name="v_87_XSTR">Model!$BM$206</definedName>
    <definedName name="v_87_XU">Model!$L$206</definedName>
    <definedName name="v_87_XVivi">Model!$BN$206</definedName>
    <definedName name="v_88_CB">Model!$H$207</definedName>
    <definedName name="v_88_CU">Model!$K$207</definedName>
    <definedName name="v_88_GCH4">Model!$BS$207</definedName>
    <definedName name="v_88_GCH4_atm">Model!$BY$207</definedName>
    <definedName name="v_88_GCO2">Model!$BR$207</definedName>
    <definedName name="v_88_GCO2_atm">Model!$BX$207</definedName>
    <definedName name="v_88_GH2">Model!$BT$207</definedName>
    <definedName name="v_88_GH2_atm">Model!$BZ$207</definedName>
    <definedName name="v_88_GN2">Model!$BW$207</definedName>
    <definedName name="v_88_GN2_atm">Model!$CC$207</definedName>
    <definedName name="v_88_GNH3">Model!$BV$207</definedName>
    <definedName name="v_88_GNH3_atm">Model!$CB$207</definedName>
    <definedName name="v_88_GO2">Model!$BU$207</definedName>
    <definedName name="v_88_GO2_atm">Model!$CA$207</definedName>
    <definedName name="v_88_H">Model!$BO$207</definedName>
    <definedName name="v_88_SALPHA">Model!$BP$207</definedName>
    <definedName name="v_88_SAN">Model!$AQ$207</definedName>
    <definedName name="v_88_SB">Model!$F$207</definedName>
    <definedName name="v_88_SCa">Model!$AR$207</definedName>
    <definedName name="v_88_SCAT">Model!$AP$207</definedName>
    <definedName name="v_88_SCH4">Model!$AL$207</definedName>
    <definedName name="v_88_SCO2">Model!$AN$207</definedName>
    <definedName name="v_88_SFe2">Model!$AU$207</definedName>
    <definedName name="v_88_SH2">Model!$AM$207</definedName>
    <definedName name="v_88_SK">Model!$AT$207</definedName>
    <definedName name="v_88_SMEOL">Model!$G$207</definedName>
    <definedName name="v_88_SMg">Model!$AS$207</definedName>
    <definedName name="v_88_SN_B">Model!$AC$207</definedName>
    <definedName name="v_88_SN2">Model!$AB$207</definedName>
    <definedName name="v_88_SNHx">Model!$Y$207</definedName>
    <definedName name="v_88_SNO2">Model!$Z$207</definedName>
    <definedName name="v_88_SNO3">Model!$AA$207</definedName>
    <definedName name="v_88_SO2">Model!$AK$207</definedName>
    <definedName name="v_88_SORPswitch">Model!$BQ$207</definedName>
    <definedName name="v_88_SP_B">Model!$AH$207</definedName>
    <definedName name="v_88_SPO4">Model!$AF$207</definedName>
    <definedName name="v_88_SU">Model!$J$207</definedName>
    <definedName name="v_88_SVFA">Model!$E$207</definedName>
    <definedName name="v_88_XACP">Model!$BK$207</definedName>
    <definedName name="v_88_XAMETO">Model!$W$207</definedName>
    <definedName name="v_88_XAMX">Model!$V$207</definedName>
    <definedName name="v_88_XAOB">Model!$T$207</definedName>
    <definedName name="v_88_XB">Model!$I$207</definedName>
    <definedName name="v_88_XBSH">Model!$BL$207</definedName>
    <definedName name="v_88_XCaCO3">Model!$BJ$207</definedName>
    <definedName name="v_88_XCASTO">Model!$R$207</definedName>
    <definedName name="v_88_XE">Model!$O$207</definedName>
    <definedName name="v_88_XE_ana">Model!$P$207</definedName>
    <definedName name="v_88_XGLY">Model!$N$207</definedName>
    <definedName name="v_88_XHAO_H">Model!$BC$207</definedName>
    <definedName name="v_88_XHAO_H_P">Model!$BF$207</definedName>
    <definedName name="v_88_XHAO_H_P_old">Model!$BH$207</definedName>
    <definedName name="v_88_XHAO_L">Model!$BD$207</definedName>
    <definedName name="v_88_XHAO_L_P">Model!$BG$207</definedName>
    <definedName name="v_88_XHAO_L_P_old">Model!$BI$207</definedName>
    <definedName name="v_88_XHAO_old">Model!$BE$207</definedName>
    <definedName name="v_88_XHFO_H">Model!$AV$207</definedName>
    <definedName name="v_88_XHFO_H_P">Model!$AY$207</definedName>
    <definedName name="v_88_XHFO_H_P_old">Model!$BA$207</definedName>
    <definedName name="v_88_XHFO_L">Model!$AW$207</definedName>
    <definedName name="v_88_XHFO_L_P">Model!$AZ$207</definedName>
    <definedName name="v_88_XHFO_L_P_old">Model!$BB$207</definedName>
    <definedName name="v_88_XHFO_old">Model!$AX$207</definedName>
    <definedName name="v_88_XHMETO">Model!$X$207</definedName>
    <definedName name="v_88_XINORG">Model!$AO$207</definedName>
    <definedName name="v_88_XMEOLO">Model!$S$207</definedName>
    <definedName name="v_88_XN_B">Model!$AD$207</definedName>
    <definedName name="v_88_XN_U">Model!$AE$207</definedName>
    <definedName name="v_88_XNOB">Model!$U$207</definedName>
    <definedName name="v_88_XOHO">Model!$Q$207</definedName>
    <definedName name="v_88_XP_B">Model!$AI$207</definedName>
    <definedName name="v_88_XP_U">Model!$AJ$207</definedName>
    <definedName name="v_88_XPHA">Model!$M$207</definedName>
    <definedName name="v_88_XPP">Model!$AG$207</definedName>
    <definedName name="v_88_XSTR">Model!$BM$207</definedName>
    <definedName name="v_88_XU">Model!$L$207</definedName>
    <definedName name="v_88_XVivi">Model!$BN$207</definedName>
    <definedName name="v_89_CB">Model!$H$208</definedName>
    <definedName name="v_89_CU">Model!$K$208</definedName>
    <definedName name="v_89_GCH4">Model!$BS$208</definedName>
    <definedName name="v_89_GCH4_atm">Model!$BY$208</definedName>
    <definedName name="v_89_GCO2">Model!$BR$208</definedName>
    <definedName name="v_89_GCO2_atm">Model!$BX$208</definedName>
    <definedName name="v_89_GH2">Model!$BT$208</definedName>
    <definedName name="v_89_GH2_atm">Model!$BZ$208</definedName>
    <definedName name="v_89_GN2">Model!$BW$208</definedName>
    <definedName name="v_89_GN2_atm">Model!$CC$208</definedName>
    <definedName name="v_89_GNH3">Model!$BV$208</definedName>
    <definedName name="v_89_GNH3_atm">Model!$CB$208</definedName>
    <definedName name="v_89_GO2">Model!$BU$208</definedName>
    <definedName name="v_89_GO2_atm">Model!$CA$208</definedName>
    <definedName name="v_89_H">Model!$BO$208</definedName>
    <definedName name="v_89_SALPHA">Model!$BP$208</definedName>
    <definedName name="v_89_SAN">Model!$AQ$208</definedName>
    <definedName name="v_89_SB">Model!$F$208</definedName>
    <definedName name="v_89_SCa">Model!$AR$208</definedName>
    <definedName name="v_89_SCAT">Model!$AP$208</definedName>
    <definedName name="v_89_SCH4">Model!$AL$208</definedName>
    <definedName name="v_89_SCO2">Model!$AN$208</definedName>
    <definedName name="v_89_SFe2">Model!$AU$208</definedName>
    <definedName name="v_89_SH2">Model!$AM$208</definedName>
    <definedName name="v_89_SK">Model!$AT$208</definedName>
    <definedName name="v_89_SMEOL">Model!$G$208</definedName>
    <definedName name="v_89_SMg">Model!$AS$208</definedName>
    <definedName name="v_89_SN_B">Model!$AC$208</definedName>
    <definedName name="v_89_SN2">Model!$AB$208</definedName>
    <definedName name="v_89_SNHx">Model!$Y$208</definedName>
    <definedName name="v_89_SNO2">Model!$Z$208</definedName>
    <definedName name="v_89_SNO3">Model!$AA$208</definedName>
    <definedName name="v_89_SO2">Model!$AK$208</definedName>
    <definedName name="v_89_SORPswitch">Model!$BQ$208</definedName>
    <definedName name="v_89_SP_B">Model!$AH$208</definedName>
    <definedName name="v_89_SPO4">Model!$AF$208</definedName>
    <definedName name="v_89_SU">Model!$J$208</definedName>
    <definedName name="v_89_SVFA">Model!$E$208</definedName>
    <definedName name="v_89_XACP">Model!$BK$208</definedName>
    <definedName name="v_89_XAMETO">Model!$W$208</definedName>
    <definedName name="v_89_XAMX">Model!$V$208</definedName>
    <definedName name="v_89_XAOB">Model!$T$208</definedName>
    <definedName name="v_89_XB">Model!$I$208</definedName>
    <definedName name="v_89_XBSH">Model!$BL$208</definedName>
    <definedName name="v_89_XCaCO3">Model!$BJ$208</definedName>
    <definedName name="v_89_XCASTO">Model!$R$208</definedName>
    <definedName name="v_89_XE">Model!$O$208</definedName>
    <definedName name="v_89_XE_ana">Model!$P$208</definedName>
    <definedName name="v_89_XGLY">Model!$N$208</definedName>
    <definedName name="v_89_XHAO_H">Model!$BC$208</definedName>
    <definedName name="v_89_XHAO_H_P">Model!$BF$208</definedName>
    <definedName name="v_89_XHAO_H_P_old">Model!$BH$208</definedName>
    <definedName name="v_89_XHAO_L">Model!$BD$208</definedName>
    <definedName name="v_89_XHAO_L_P">Model!$BG$208</definedName>
    <definedName name="v_89_XHAO_L_P_old">Model!$BI$208</definedName>
    <definedName name="v_89_XHAO_old">Model!$BE$208</definedName>
    <definedName name="v_89_XHFO_H">Model!$AV$208</definedName>
    <definedName name="v_89_XHFO_H_P">Model!$AY$208</definedName>
    <definedName name="v_89_XHFO_H_P_old">Model!$BA$208</definedName>
    <definedName name="v_89_XHFO_L">Model!$AW$208</definedName>
    <definedName name="v_89_XHFO_L_P">Model!$AZ$208</definedName>
    <definedName name="v_89_XHFO_L_P_old">Model!$BB$208</definedName>
    <definedName name="v_89_XHFO_old">Model!$AX$208</definedName>
    <definedName name="v_89_XHMETO">Model!$X$208</definedName>
    <definedName name="v_89_XINORG">Model!$AO$208</definedName>
    <definedName name="v_89_XMEOLO">Model!$S$208</definedName>
    <definedName name="v_89_XN_B">Model!$AD$208</definedName>
    <definedName name="v_89_XN_U">Model!$AE$208</definedName>
    <definedName name="v_89_XNOB">Model!$U$208</definedName>
    <definedName name="v_89_XOHO">Model!$Q$208</definedName>
    <definedName name="v_89_XP_B">Model!$AI$208</definedName>
    <definedName name="v_89_XP_U">Model!$AJ$208</definedName>
    <definedName name="v_89_XPHA">Model!$M$208</definedName>
    <definedName name="v_89_XPP">Model!$AG$208</definedName>
    <definedName name="v_89_XSTR">Model!$BM$208</definedName>
    <definedName name="v_89_XU">Model!$L$208</definedName>
    <definedName name="v_89_XVivi">Model!$BN$208</definedName>
    <definedName name="v_9_CB">Model!$H$128</definedName>
    <definedName name="v_9_CU">Model!$K$128</definedName>
    <definedName name="v_9_GCH4">Model!$BS$128</definedName>
    <definedName name="v_9_GCH4_atm">Model!$BY$128</definedName>
    <definedName name="v_9_GCO2">Model!$BR$128</definedName>
    <definedName name="v_9_GCO2_atm">Model!$BX$128</definedName>
    <definedName name="v_9_GH2">Model!$BT$128</definedName>
    <definedName name="v_9_GH2_atm">Model!$BZ$128</definedName>
    <definedName name="v_9_GN2">Model!$BW$128</definedName>
    <definedName name="v_9_GN2_atm">Model!$CC$128</definedName>
    <definedName name="v_9_GNH3">Model!$BV$128</definedName>
    <definedName name="v_9_GNH3_atm">Model!$CB$128</definedName>
    <definedName name="v_9_GO2">Model!$BU$128</definedName>
    <definedName name="v_9_GO2_atm">Model!$CA$128</definedName>
    <definedName name="v_9_H">Model!$BO$128</definedName>
    <definedName name="v_9_SALPHA">Model!$BP$128</definedName>
    <definedName name="v_9_SAN">Model!$AQ$128</definedName>
    <definedName name="v_9_SB">Model!$F$128</definedName>
    <definedName name="v_9_SCa">Model!$AR$128</definedName>
    <definedName name="v_9_SCAT">Model!$AP$128</definedName>
    <definedName name="v_9_SCH4">Model!$AL$128</definedName>
    <definedName name="v_9_SCO2">Model!$AN$128</definedName>
    <definedName name="v_9_SFe2">Model!$AU$128</definedName>
    <definedName name="v_9_SH2">Model!$AM$128</definedName>
    <definedName name="v_9_SK">Model!$AT$128</definedName>
    <definedName name="v_9_SMEOL">Model!$G$128</definedName>
    <definedName name="v_9_SMg">Model!$AS$128</definedName>
    <definedName name="v_9_SN_B">Model!$AC$128</definedName>
    <definedName name="v_9_SN2">Model!$AB$128</definedName>
    <definedName name="v_9_SNHx">Model!$Y$128</definedName>
    <definedName name="v_9_SNO2">Model!$Z$128</definedName>
    <definedName name="v_9_SNO3">Model!$AA$128</definedName>
    <definedName name="v_9_SO2">Model!$AK$128</definedName>
    <definedName name="v_9_SORPswitch">Model!$BQ$128</definedName>
    <definedName name="v_9_SP_B">Model!$AH$128</definedName>
    <definedName name="v_9_SPO4">Model!$AF$128</definedName>
    <definedName name="v_9_SU">Model!$J$128</definedName>
    <definedName name="v_9_SVFA">Model!$E$128</definedName>
    <definedName name="v_9_XACP">Model!$BK$128</definedName>
    <definedName name="v_9_XAMETO">Model!$W$128</definedName>
    <definedName name="v_9_XAMX">Model!$V$128</definedName>
    <definedName name="v_9_XAOB">Model!$T$128</definedName>
    <definedName name="v_9_XB">Model!$I$128</definedName>
    <definedName name="v_9_XBSH">Model!$BL$128</definedName>
    <definedName name="v_9_XCaCO3">Model!$BJ$128</definedName>
    <definedName name="v_9_XCASTO">Model!$R$128</definedName>
    <definedName name="v_9_XE">Model!$O$128</definedName>
    <definedName name="v_9_XE_ana">Model!$P$128</definedName>
    <definedName name="v_9_XGLY">Model!$N$128</definedName>
    <definedName name="v_9_XHAO_H">Model!$BC$128</definedName>
    <definedName name="v_9_XHAO_H_P">Model!$BF$128</definedName>
    <definedName name="v_9_XHAO_H_P_old">Model!$BH$128</definedName>
    <definedName name="v_9_XHAO_L">Model!$BD$128</definedName>
    <definedName name="v_9_XHAO_L_P">Model!$BG$128</definedName>
    <definedName name="v_9_XHAO_L_P_old">Model!$BI$128</definedName>
    <definedName name="v_9_XHAO_old">Model!$BE$128</definedName>
    <definedName name="v_9_XHFO_H">Model!$AV$128</definedName>
    <definedName name="v_9_XHFO_H_P">Model!$AY$128</definedName>
    <definedName name="v_9_XHFO_H_P_old">Model!$BA$128</definedName>
    <definedName name="v_9_XHFO_L">Model!$AW$128</definedName>
    <definedName name="v_9_XHFO_L_P">Model!$AZ$128</definedName>
    <definedName name="v_9_XHFO_L_P_old">Model!$BB$128</definedName>
    <definedName name="v_9_XHFO_old">Model!$AX$128</definedName>
    <definedName name="v_9_XHMETO">Model!$X$128</definedName>
    <definedName name="v_9_XINORG">Model!$AO$128</definedName>
    <definedName name="v_9_XMEOLO">Model!$S$128</definedName>
    <definedName name="v_9_XN_B">Model!$AD$128</definedName>
    <definedName name="v_9_XN_U">Model!$AE$128</definedName>
    <definedName name="v_9_XNOB">Model!$U$128</definedName>
    <definedName name="v_9_XOHO">Model!$Q$128</definedName>
    <definedName name="v_9_XP_B">Model!$AI$128</definedName>
    <definedName name="v_9_XP_U">Model!$AJ$128</definedName>
    <definedName name="v_9_XPHA">Model!$M$128</definedName>
    <definedName name="v_9_XPP">Model!$AG$128</definedName>
    <definedName name="v_9_XSTR">Model!$BM$128</definedName>
    <definedName name="v_9_XU">Model!$L$128</definedName>
    <definedName name="v_9_XVivi">Model!$BN$128</definedName>
    <definedName name="v_90_CB">Model!$H$209</definedName>
    <definedName name="v_90_CU">Model!$K$209</definedName>
    <definedName name="v_90_GCH4">Model!$BS$209</definedName>
    <definedName name="v_90_GCH4_atm">Model!$BY$209</definedName>
    <definedName name="v_90_GCO2">Model!$BR$209</definedName>
    <definedName name="v_90_GCO2_atm">Model!$BX$209</definedName>
    <definedName name="v_90_GH2">Model!$BT$209</definedName>
    <definedName name="v_90_GH2_atm">Model!$BZ$209</definedName>
    <definedName name="v_90_GN2">Model!$BW$209</definedName>
    <definedName name="v_90_GN2_atm">Model!$CC$209</definedName>
    <definedName name="v_90_GNH3">Model!$BV$209</definedName>
    <definedName name="v_90_GNH3_atm">Model!$CB$209</definedName>
    <definedName name="v_90_GO2">Model!$BU$209</definedName>
    <definedName name="v_90_GO2_atm">Model!$CA$209</definedName>
    <definedName name="v_90_H">Model!$BO$209</definedName>
    <definedName name="v_90_SALPHA">Model!$BP$209</definedName>
    <definedName name="v_90_SAN">Model!$AQ$209</definedName>
    <definedName name="v_90_SB">Model!$F$209</definedName>
    <definedName name="v_90_SCa">Model!$AR$209</definedName>
    <definedName name="v_90_SCAT">Model!$AP$209</definedName>
    <definedName name="v_90_SCH4">Model!$AL$209</definedName>
    <definedName name="v_90_SCO2">Model!$AN$209</definedName>
    <definedName name="v_90_SFe2">Model!$AU$209</definedName>
    <definedName name="v_90_SH2">Model!$AM$209</definedName>
    <definedName name="v_90_SK">Model!$AT$209</definedName>
    <definedName name="v_90_SMEOL">Model!$G$209</definedName>
    <definedName name="v_90_SMg">Model!$AS$209</definedName>
    <definedName name="v_90_SN_B">Model!$AC$209</definedName>
    <definedName name="v_90_SN2">Model!$AB$209</definedName>
    <definedName name="v_90_SNHx">Model!$Y$209</definedName>
    <definedName name="v_90_SNO2">Model!$Z$209</definedName>
    <definedName name="v_90_SNO3">Model!$AA$209</definedName>
    <definedName name="v_90_SO2">Model!$AK$209</definedName>
    <definedName name="v_90_SORPswitch">Model!$BQ$209</definedName>
    <definedName name="v_90_SP_B">Model!$AH$209</definedName>
    <definedName name="v_90_SPO4">Model!$AF$209</definedName>
    <definedName name="v_90_SU">Model!$J$209</definedName>
    <definedName name="v_90_SVFA">Model!$E$209</definedName>
    <definedName name="v_90_XACP">Model!$BK$209</definedName>
    <definedName name="v_90_XAMETO">Model!$W$209</definedName>
    <definedName name="v_90_XAMX">Model!$V$209</definedName>
    <definedName name="v_90_XAOB">Model!$T$209</definedName>
    <definedName name="v_90_XB">Model!$I$209</definedName>
    <definedName name="v_90_XBSH">Model!$BL$209</definedName>
    <definedName name="v_90_XCaCO3">Model!$BJ$209</definedName>
    <definedName name="v_90_XCASTO">Model!$R$209</definedName>
    <definedName name="v_90_XE">Model!$O$209</definedName>
    <definedName name="v_90_XE_ana">Model!$P$209</definedName>
    <definedName name="v_90_XGLY">Model!$N$209</definedName>
    <definedName name="v_90_XHAO_H">Model!$BC$209</definedName>
    <definedName name="v_90_XHAO_H_P">Model!$BF$209</definedName>
    <definedName name="v_90_XHAO_H_P_old">Model!$BH$209</definedName>
    <definedName name="v_90_XHAO_L">Model!$BD$209</definedName>
    <definedName name="v_90_XHAO_L_P">Model!$BG$209</definedName>
    <definedName name="v_90_XHAO_L_P_old">Model!$BI$209</definedName>
    <definedName name="v_90_XHAO_old">Model!$BE$209</definedName>
    <definedName name="v_90_XHFO_H">Model!$AV$209</definedName>
    <definedName name="v_90_XHFO_H_P">Model!$AY$209</definedName>
    <definedName name="v_90_XHFO_H_P_old">Model!$BA$209</definedName>
    <definedName name="v_90_XHFO_L">Model!$AW$209</definedName>
    <definedName name="v_90_XHFO_L_P">Model!$AZ$209</definedName>
    <definedName name="v_90_XHFO_L_P_old">Model!$BB$209</definedName>
    <definedName name="v_90_XHFO_old">Model!$AX$209</definedName>
    <definedName name="v_90_XHMETO">Model!$X$209</definedName>
    <definedName name="v_90_XINORG">Model!$AO$209</definedName>
    <definedName name="v_90_XMEOLO">Model!$S$209</definedName>
    <definedName name="v_90_XN_B">Model!$AD$209</definedName>
    <definedName name="v_90_XN_U">Model!$AE$209</definedName>
    <definedName name="v_90_XNOB">Model!$U$209</definedName>
    <definedName name="v_90_XOHO">Model!$Q$209</definedName>
    <definedName name="v_90_XP_B">Model!$AI$209</definedName>
    <definedName name="v_90_XP_U">Model!$AJ$209</definedName>
    <definedName name="v_90_XPHA">Model!$M$209</definedName>
    <definedName name="v_90_XPP">Model!$AG$209</definedName>
    <definedName name="v_90_XSTR">Model!$BM$209</definedName>
    <definedName name="v_90_XU">Model!$L$209</definedName>
    <definedName name="v_90_XVivi">Model!$BN$209</definedName>
    <definedName name="v_91_CB">Model!$H$210</definedName>
    <definedName name="v_91_CU">Model!$K$210</definedName>
    <definedName name="v_91_GCH4">Model!$BS$210</definedName>
    <definedName name="v_91_GCH4_atm">Model!$BY$210</definedName>
    <definedName name="v_91_GCO2">Model!$BR$210</definedName>
    <definedName name="v_91_GCO2_atm">Model!$BX$210</definedName>
    <definedName name="v_91_GH2">Model!$BT$210</definedName>
    <definedName name="v_91_GH2_atm">Model!$BZ$210</definedName>
    <definedName name="v_91_GN2">Model!$BW$210</definedName>
    <definedName name="v_91_GN2_atm">Model!$CC$210</definedName>
    <definedName name="v_91_GNH3">Model!$BV$210</definedName>
    <definedName name="v_91_GNH3_atm">Model!$CB$210</definedName>
    <definedName name="v_91_GO2">Model!$BU$210</definedName>
    <definedName name="v_91_GO2_atm">Model!$CA$210</definedName>
    <definedName name="v_91_H">Model!$BO$210</definedName>
    <definedName name="v_91_SALPHA">Model!$BP$210</definedName>
    <definedName name="v_91_SAN">Model!$AQ$210</definedName>
    <definedName name="v_91_SB">Model!$F$210</definedName>
    <definedName name="v_91_SCa">Model!$AR$210</definedName>
    <definedName name="v_91_SCAT">Model!$AP$210</definedName>
    <definedName name="v_91_SCH4">Model!$AL$210</definedName>
    <definedName name="v_91_SCO2">Model!$AN$210</definedName>
    <definedName name="v_91_SFe2">Model!$AU$210</definedName>
    <definedName name="v_91_SH2">Model!$AM$210</definedName>
    <definedName name="v_91_SK">Model!$AT$210</definedName>
    <definedName name="v_91_SMEOL">Model!$G$210</definedName>
    <definedName name="v_91_SMg">Model!$AS$210</definedName>
    <definedName name="v_91_SN_B">Model!$AC$210</definedName>
    <definedName name="v_91_SN2">Model!$AB$210</definedName>
    <definedName name="v_91_SNHx">Model!$Y$210</definedName>
    <definedName name="v_91_SNO2">Model!$Z$210</definedName>
    <definedName name="v_91_SNO3">Model!$AA$210</definedName>
    <definedName name="v_91_SO2">Model!$AK$210</definedName>
    <definedName name="v_91_SORPswitch">Model!$BQ$210</definedName>
    <definedName name="v_91_SP_B">Model!$AH$210</definedName>
    <definedName name="v_91_SPO4">Model!$AF$210</definedName>
    <definedName name="v_91_SU">Model!$J$210</definedName>
    <definedName name="v_91_SVFA">Model!$E$210</definedName>
    <definedName name="v_91_XACP">Model!$BK$210</definedName>
    <definedName name="v_91_XAMETO">Model!$W$210</definedName>
    <definedName name="v_91_XAMX">Model!$V$210</definedName>
    <definedName name="v_91_XAOB">Model!$T$210</definedName>
    <definedName name="v_91_XB">Model!$I$210</definedName>
    <definedName name="v_91_XBSH">Model!$BL$210</definedName>
    <definedName name="v_91_XCaCO3">Model!$BJ$210</definedName>
    <definedName name="v_91_XCASTO">Model!$R$210</definedName>
    <definedName name="v_91_XE">Model!$O$210</definedName>
    <definedName name="v_91_XE_ana">Model!$P$210</definedName>
    <definedName name="v_91_XGLY">Model!$N$210</definedName>
    <definedName name="v_91_XHAO_H">Model!$BC$210</definedName>
    <definedName name="v_91_XHAO_H_P">Model!$BF$210</definedName>
    <definedName name="v_91_XHAO_H_P_old">Model!$BH$210</definedName>
    <definedName name="v_91_XHAO_L">Model!$BD$210</definedName>
    <definedName name="v_91_XHAO_L_P">Model!$BG$210</definedName>
    <definedName name="v_91_XHAO_L_P_old">Model!$BI$210</definedName>
    <definedName name="v_91_XHAO_old">Model!$BE$210</definedName>
    <definedName name="v_91_XHFO_H">Model!$AV$210</definedName>
    <definedName name="v_91_XHFO_H_P">Model!$AY$210</definedName>
    <definedName name="v_91_XHFO_H_P_old">Model!$BA$210</definedName>
    <definedName name="v_91_XHFO_L">Model!$AW$210</definedName>
    <definedName name="v_91_XHFO_L_P">Model!$AZ$210</definedName>
    <definedName name="v_91_XHFO_L_P_old">Model!$BB$210</definedName>
    <definedName name="v_91_XHFO_old">Model!$AX$210</definedName>
    <definedName name="v_91_XHMETO">Model!$X$210</definedName>
    <definedName name="v_91_XINORG">Model!$AO$210</definedName>
    <definedName name="v_91_XMEOLO">Model!$S$210</definedName>
    <definedName name="v_91_XN_B">Model!$AD$210</definedName>
    <definedName name="v_91_XN_U">Model!$AE$210</definedName>
    <definedName name="v_91_XNOB">Model!$U$210</definedName>
    <definedName name="v_91_XOHO">Model!$Q$210</definedName>
    <definedName name="v_91_XP_B">Model!$AI$210</definedName>
    <definedName name="v_91_XP_U">Model!$AJ$210</definedName>
    <definedName name="v_91_XPHA">Model!$M$210</definedName>
    <definedName name="v_91_XPP">Model!$AG$210</definedName>
    <definedName name="v_91_XSTR">Model!$BM$210</definedName>
    <definedName name="v_91_XU">Model!$L$210</definedName>
    <definedName name="v_91_XVivi">Model!$BN$210</definedName>
    <definedName name="v_92_CB">Model!$H$211</definedName>
    <definedName name="v_92_CU">Model!$K$211</definedName>
    <definedName name="v_92_GCH4">Model!$BS$211</definedName>
    <definedName name="v_92_GCH4_atm">Model!$BY$211</definedName>
    <definedName name="v_92_GCO2">Model!$BR$211</definedName>
    <definedName name="v_92_GCO2_atm">Model!$BX$211</definedName>
    <definedName name="v_92_GH2">Model!$BT$211</definedName>
    <definedName name="v_92_GH2_atm">Model!$BZ$211</definedName>
    <definedName name="v_92_GN2">Model!$BW$211</definedName>
    <definedName name="v_92_GN2_atm">Model!$CC$211</definedName>
    <definedName name="v_92_GNH3">Model!$BV$211</definedName>
    <definedName name="v_92_GNH3_atm">Model!$CB$211</definedName>
    <definedName name="v_92_GO2">Model!$BU$211</definedName>
    <definedName name="v_92_GO2_atm">Model!$CA$211</definedName>
    <definedName name="v_92_H">Model!$BO$211</definedName>
    <definedName name="v_92_SALPHA">Model!$BP$211</definedName>
    <definedName name="v_92_SAN">Model!$AQ$211</definedName>
    <definedName name="v_92_SB">Model!$F$211</definedName>
    <definedName name="v_92_SCa">Model!$AR$211</definedName>
    <definedName name="v_92_SCAT">Model!$AP$211</definedName>
    <definedName name="v_92_SCH4">Model!$AL$211</definedName>
    <definedName name="v_92_SCO2">Model!$AN$211</definedName>
    <definedName name="v_92_SFe2">Model!$AU$211</definedName>
    <definedName name="v_92_SH2">Model!$AM$211</definedName>
    <definedName name="v_92_SK">Model!$AT$211</definedName>
    <definedName name="v_92_SMEOL">Model!$G$211</definedName>
    <definedName name="v_92_SMg">Model!$AS$211</definedName>
    <definedName name="v_92_SN_B">Model!$AC$211</definedName>
    <definedName name="v_92_SN2">Model!$AB$211</definedName>
    <definedName name="v_92_SNHx">Model!$Y$211</definedName>
    <definedName name="v_92_SNO2">Model!$Z$211</definedName>
    <definedName name="v_92_SNO3">Model!$AA$211</definedName>
    <definedName name="v_92_SO2">Model!$AK$211</definedName>
    <definedName name="v_92_SORPswitch">Model!$BQ$211</definedName>
    <definedName name="v_92_SP_B">Model!$AH$211</definedName>
    <definedName name="v_92_SPO4">Model!$AF$211</definedName>
    <definedName name="v_92_SU">Model!$J$211</definedName>
    <definedName name="v_92_SVFA">Model!$E$211</definedName>
    <definedName name="v_92_XACP">Model!$BK$211</definedName>
    <definedName name="v_92_XAMETO">Model!$W$211</definedName>
    <definedName name="v_92_XAMX">Model!$V$211</definedName>
    <definedName name="v_92_XAOB">Model!$T$211</definedName>
    <definedName name="v_92_XB">Model!$I$211</definedName>
    <definedName name="v_92_XBSH">Model!$BL$211</definedName>
    <definedName name="v_92_XCaCO3">Model!$BJ$211</definedName>
    <definedName name="v_92_XCASTO">Model!$R$211</definedName>
    <definedName name="v_92_XE">Model!$O$211</definedName>
    <definedName name="v_92_XE_ana">Model!$P$211</definedName>
    <definedName name="v_92_XGLY">Model!$N$211</definedName>
    <definedName name="v_92_XHAO_H">Model!$BC$211</definedName>
    <definedName name="v_92_XHAO_H_P">Model!$BF$211</definedName>
    <definedName name="v_92_XHAO_H_P_old">Model!$BH$211</definedName>
    <definedName name="v_92_XHAO_L">Model!$BD$211</definedName>
    <definedName name="v_92_XHAO_L_P">Model!$BG$211</definedName>
    <definedName name="v_92_XHAO_L_P_old">Model!$BI$211</definedName>
    <definedName name="v_92_XHAO_old">Model!$BE$211</definedName>
    <definedName name="v_92_XHFO_H">Model!$AV$211</definedName>
    <definedName name="v_92_XHFO_H_P">Model!$AY$211</definedName>
    <definedName name="v_92_XHFO_H_P_old">Model!$BA$211</definedName>
    <definedName name="v_92_XHFO_L">Model!$AW$211</definedName>
    <definedName name="v_92_XHFO_L_P">Model!$AZ$211</definedName>
    <definedName name="v_92_XHFO_L_P_old">Model!$BB$211</definedName>
    <definedName name="v_92_XHFO_old">Model!$AX$211</definedName>
    <definedName name="v_92_XHMETO">Model!$X$211</definedName>
    <definedName name="v_92_XINORG">Model!$AO$211</definedName>
    <definedName name="v_92_XMEOLO">Model!$S$211</definedName>
    <definedName name="v_92_XN_B">Model!$AD$211</definedName>
    <definedName name="v_92_XN_U">Model!$AE$211</definedName>
    <definedName name="v_92_XNOB">Model!$U$211</definedName>
    <definedName name="v_92_XOHO">Model!$Q$211</definedName>
    <definedName name="v_92_XP_B">Model!$AI$211</definedName>
    <definedName name="v_92_XP_U">Model!$AJ$211</definedName>
    <definedName name="v_92_XPHA">Model!$M$211</definedName>
    <definedName name="v_92_XPP">Model!$AG$211</definedName>
    <definedName name="v_92_XSTR">Model!$BM$211</definedName>
    <definedName name="v_92_XU">Model!$L$211</definedName>
    <definedName name="v_92_XVivi">Model!$BN$211</definedName>
    <definedName name="v_93_CB">Model!$H$212</definedName>
    <definedName name="v_93_CU">Model!$K$212</definedName>
    <definedName name="v_93_GCH4">Model!$BS$212</definedName>
    <definedName name="v_93_GCH4_atm">Model!$BY$212</definedName>
    <definedName name="v_93_GCO2">Model!$BR$212</definedName>
    <definedName name="v_93_GCO2_atm">Model!$BX$212</definedName>
    <definedName name="v_93_GH2">Model!$BT$212</definedName>
    <definedName name="v_93_GH2_atm">Model!$BZ$212</definedName>
    <definedName name="v_93_GN2">Model!$BW$212</definedName>
    <definedName name="v_93_GN2_atm">Model!$CC$212</definedName>
    <definedName name="v_93_GNH3">Model!$BV$212</definedName>
    <definedName name="v_93_GNH3_atm">Model!$CB$212</definedName>
    <definedName name="v_93_GO2">Model!$BU$212</definedName>
    <definedName name="v_93_GO2_atm">Model!$CA$212</definedName>
    <definedName name="v_93_H">Model!$BO$212</definedName>
    <definedName name="v_93_SALPHA">Model!$BP$212</definedName>
    <definedName name="v_93_SAN">Model!$AQ$212</definedName>
    <definedName name="v_93_SB">Model!$F$212</definedName>
    <definedName name="v_93_SCa">Model!$AR$212</definedName>
    <definedName name="v_93_SCAT">Model!$AP$212</definedName>
    <definedName name="v_93_SCH4">Model!$AL$212</definedName>
    <definedName name="v_93_SCO2">Model!$AN$212</definedName>
    <definedName name="v_93_SFe2">Model!$AU$212</definedName>
    <definedName name="v_93_SH2">Model!$AM$212</definedName>
    <definedName name="v_93_SK">Model!$AT$212</definedName>
    <definedName name="v_93_SMEOL">Model!$G$212</definedName>
    <definedName name="v_93_SMg">Model!$AS$212</definedName>
    <definedName name="v_93_SN_B">Model!$AC$212</definedName>
    <definedName name="v_93_SN2">Model!$AB$212</definedName>
    <definedName name="v_93_SNHx">Model!$Y$212</definedName>
    <definedName name="v_93_SNO2">Model!$Z$212</definedName>
    <definedName name="v_93_SNO3">Model!$AA$212</definedName>
    <definedName name="v_93_SO2">Model!$AK$212</definedName>
    <definedName name="v_93_SORPswitch">Model!$BQ$212</definedName>
    <definedName name="v_93_SP_B">Model!$AH$212</definedName>
    <definedName name="v_93_SPO4">Model!$AF$212</definedName>
    <definedName name="v_93_SU">Model!$J$212</definedName>
    <definedName name="v_93_SVFA">Model!$E$212</definedName>
    <definedName name="v_93_XACP">Model!$BK$212</definedName>
    <definedName name="v_93_XAMETO">Model!$W$212</definedName>
    <definedName name="v_93_XAMX">Model!$V$212</definedName>
    <definedName name="v_93_XAOB">Model!$T$212</definedName>
    <definedName name="v_93_XB">Model!$I$212</definedName>
    <definedName name="v_93_XBSH">Model!$BL$212</definedName>
    <definedName name="v_93_XCaCO3">Model!$BJ$212</definedName>
    <definedName name="v_93_XCASTO">Model!$R$212</definedName>
    <definedName name="v_93_XE">Model!$O$212</definedName>
    <definedName name="v_93_XE_ana">Model!$P$212</definedName>
    <definedName name="v_93_XGLY">Model!$N$212</definedName>
    <definedName name="v_93_XHAO_H">Model!$BC$212</definedName>
    <definedName name="v_93_XHAO_H_P">Model!$BF$212</definedName>
    <definedName name="v_93_XHAO_H_P_old">Model!$BH$212</definedName>
    <definedName name="v_93_XHAO_L">Model!$BD$212</definedName>
    <definedName name="v_93_XHAO_L_P">Model!$BG$212</definedName>
    <definedName name="v_93_XHAO_L_P_old">Model!$BI$212</definedName>
    <definedName name="v_93_XHAO_old">Model!$BE$212</definedName>
    <definedName name="v_93_XHFO_H">Model!$AV$212</definedName>
    <definedName name="v_93_XHFO_H_P">Model!$AY$212</definedName>
    <definedName name="v_93_XHFO_H_P_old">Model!$BA$212</definedName>
    <definedName name="v_93_XHFO_L">Model!$AW$212</definedName>
    <definedName name="v_93_XHFO_L_P">Model!$AZ$212</definedName>
    <definedName name="v_93_XHFO_L_P_old">Model!$BB$212</definedName>
    <definedName name="v_93_XHFO_old">Model!$AX$212</definedName>
    <definedName name="v_93_XHMETO">Model!$X$212</definedName>
    <definedName name="v_93_XINORG">Model!$AO$212</definedName>
    <definedName name="v_93_XMEOLO">Model!$S$212</definedName>
    <definedName name="v_93_XN_B">Model!$AD$212</definedName>
    <definedName name="v_93_XN_U">Model!$AE$212</definedName>
    <definedName name="v_93_XNOB">Model!$U$212</definedName>
    <definedName name="v_93_XOHO">Model!$Q$212</definedName>
    <definedName name="v_93_XP_B">Model!$AI$212</definedName>
    <definedName name="v_93_XP_U">Model!$AJ$212</definedName>
    <definedName name="v_93_XPHA">Model!$M$212</definedName>
    <definedName name="v_93_XPP">Model!$AG$212</definedName>
    <definedName name="v_93_XSTR">Model!$BM$212</definedName>
    <definedName name="v_93_XU">Model!$L$212</definedName>
    <definedName name="v_93_XVivi">Model!$BN$212</definedName>
    <definedName name="v_94_CB">Model!$H$213</definedName>
    <definedName name="v_94_CU">Model!$K$213</definedName>
    <definedName name="v_94_GCH4">Model!$BS$213</definedName>
    <definedName name="v_94_GCH4_atm">Model!$BY$213</definedName>
    <definedName name="v_94_GCO2">Model!$BR$213</definedName>
    <definedName name="v_94_GCO2_atm">Model!$BX$213</definedName>
    <definedName name="v_94_GH2">Model!$BT$213</definedName>
    <definedName name="v_94_GH2_atm">Model!$BZ$213</definedName>
    <definedName name="v_94_GN2">Model!$BW$213</definedName>
    <definedName name="v_94_GN2_atm">Model!$CC$213</definedName>
    <definedName name="v_94_GNH3">Model!$BV$213</definedName>
    <definedName name="v_94_GNH3_atm">Model!$CB$213</definedName>
    <definedName name="v_94_GO2">Model!$BU$213</definedName>
    <definedName name="v_94_GO2_atm">Model!$CA$213</definedName>
    <definedName name="v_94_H">Model!$BO$213</definedName>
    <definedName name="v_94_SALPHA">Model!$BP$213</definedName>
    <definedName name="v_94_SAN">Model!$AQ$213</definedName>
    <definedName name="v_94_SB">Model!$F$213</definedName>
    <definedName name="v_94_SCa">Model!$AR$213</definedName>
    <definedName name="v_94_SCAT">Model!$AP$213</definedName>
    <definedName name="v_94_SCH4">Model!$AL$213</definedName>
    <definedName name="v_94_SCO2">Model!$AN$213</definedName>
    <definedName name="v_94_SFe2">Model!$AU$213</definedName>
    <definedName name="v_94_SH2">Model!$AM$213</definedName>
    <definedName name="v_94_SK">Model!$AT$213</definedName>
    <definedName name="v_94_SMEOL">Model!$G$213</definedName>
    <definedName name="v_94_SMg">Model!$AS$213</definedName>
    <definedName name="v_94_SN_B">Model!$AC$213</definedName>
    <definedName name="v_94_SN2">Model!$AB$213</definedName>
    <definedName name="v_94_SNHx">Model!$Y$213</definedName>
    <definedName name="v_94_SNO2">Model!$Z$213</definedName>
    <definedName name="v_94_SNO3">Model!$AA$213</definedName>
    <definedName name="v_94_SO2">Model!$AK$213</definedName>
    <definedName name="v_94_SORPswitch">Model!$BQ$213</definedName>
    <definedName name="v_94_SP_B">Model!$AH$213</definedName>
    <definedName name="v_94_SPO4">Model!$AF$213</definedName>
    <definedName name="v_94_SU">Model!$J$213</definedName>
    <definedName name="v_94_SVFA">Model!$E$213</definedName>
    <definedName name="v_94_XACP">Model!$BK$213</definedName>
    <definedName name="v_94_XAMETO">Model!$W$213</definedName>
    <definedName name="v_94_XAMX">Model!$V$213</definedName>
    <definedName name="v_94_XAOB">Model!$T$213</definedName>
    <definedName name="v_94_XB">Model!$I$213</definedName>
    <definedName name="v_94_XBSH">Model!$BL$213</definedName>
    <definedName name="v_94_XCaCO3">Model!$BJ$213</definedName>
    <definedName name="v_94_XCASTO">Model!$R$213</definedName>
    <definedName name="v_94_XE">Model!$O$213</definedName>
    <definedName name="v_94_XE_ana">Model!$P$213</definedName>
    <definedName name="v_94_XGLY">Model!$N$213</definedName>
    <definedName name="v_94_XHAO_H">Model!$BC$213</definedName>
    <definedName name="v_94_XHAO_H_P">Model!$BF$213</definedName>
    <definedName name="v_94_XHAO_H_P_old">Model!$BH$213</definedName>
    <definedName name="v_94_XHAO_L">Model!$BD$213</definedName>
    <definedName name="v_94_XHAO_L_P">Model!$BG$213</definedName>
    <definedName name="v_94_XHAO_L_P_old">Model!$BI$213</definedName>
    <definedName name="v_94_XHAO_old">Model!$BE$213</definedName>
    <definedName name="v_94_XHFO_H">Model!$AV$213</definedName>
    <definedName name="v_94_XHFO_H_P">Model!$AY$213</definedName>
    <definedName name="v_94_XHFO_H_P_old">Model!$BA$213</definedName>
    <definedName name="v_94_XHFO_L">Model!$AW$213</definedName>
    <definedName name="v_94_XHFO_L_P">Model!$AZ$213</definedName>
    <definedName name="v_94_XHFO_L_P_old">Model!$BB$213</definedName>
    <definedName name="v_94_XHFO_old">Model!$AX$213</definedName>
    <definedName name="v_94_XHMETO">Model!$X$213</definedName>
    <definedName name="v_94_XINORG">Model!$AO$213</definedName>
    <definedName name="v_94_XMEOLO">Model!$S$213</definedName>
    <definedName name="v_94_XN_B">Model!$AD$213</definedName>
    <definedName name="v_94_XN_U">Model!$AE$213</definedName>
    <definedName name="v_94_XNOB">Model!$U$213</definedName>
    <definedName name="v_94_XOHO">Model!$Q$213</definedName>
    <definedName name="v_94_XP_B">Model!$AI$213</definedName>
    <definedName name="v_94_XP_U">Model!$AJ$213</definedName>
    <definedName name="v_94_XPHA">Model!$M$213</definedName>
    <definedName name="v_94_XPP">Model!$AG$213</definedName>
    <definedName name="v_94_XSTR">Model!$BM$213</definedName>
    <definedName name="v_94_XU">Model!$L$213</definedName>
    <definedName name="v_94_XVivi">Model!$BN$213</definedName>
    <definedName name="v_95_CB">Model!$H$214</definedName>
    <definedName name="v_95_CU">Model!$K$214</definedName>
    <definedName name="v_95_GCH4">Model!$BS$214</definedName>
    <definedName name="v_95_GCH4_atm">Model!$BY$214</definedName>
    <definedName name="v_95_GCO2">Model!$BR$214</definedName>
    <definedName name="v_95_GCO2_atm">Model!$BX$214</definedName>
    <definedName name="v_95_GH2">Model!$BT$214</definedName>
    <definedName name="v_95_GH2_atm">Model!$BZ$214</definedName>
    <definedName name="v_95_GN2">Model!$BW$214</definedName>
    <definedName name="v_95_GN2_atm">Model!$CC$214</definedName>
    <definedName name="v_95_GNH3">Model!$BV$214</definedName>
    <definedName name="v_95_GNH3_atm">Model!$CB$214</definedName>
    <definedName name="v_95_GO2">Model!$BU$214</definedName>
    <definedName name="v_95_GO2_atm">Model!$CA$214</definedName>
    <definedName name="v_95_H">Model!$BO$214</definedName>
    <definedName name="v_95_SALPHA">Model!$BP$214</definedName>
    <definedName name="v_95_SAN">Model!$AQ$214</definedName>
    <definedName name="v_95_SB">Model!$F$214</definedName>
    <definedName name="v_95_SCa">Model!$AR$214</definedName>
    <definedName name="v_95_SCAT">Model!$AP$214</definedName>
    <definedName name="v_95_SCH4">Model!$AL$214</definedName>
    <definedName name="v_95_SCO2">Model!$AN$214</definedName>
    <definedName name="v_95_SFe2">Model!$AU$214</definedName>
    <definedName name="v_95_SH2">Model!$AM$214</definedName>
    <definedName name="v_95_SK">Model!$AT$214</definedName>
    <definedName name="v_95_SMEOL">Model!$G$214</definedName>
    <definedName name="v_95_SMg">Model!$AS$214</definedName>
    <definedName name="v_95_SN_B">Model!$AC$214</definedName>
    <definedName name="v_95_SN2">Model!$AB$214</definedName>
    <definedName name="v_95_SNHx">Model!$Y$214</definedName>
    <definedName name="v_95_SNO2">Model!$Z$214</definedName>
    <definedName name="v_95_SNO3">Model!$AA$214</definedName>
    <definedName name="v_95_SO2">Model!$AK$214</definedName>
    <definedName name="v_95_SORPswitch">Model!$BQ$214</definedName>
    <definedName name="v_95_SP_B">Model!$AH$214</definedName>
    <definedName name="v_95_SPO4">Model!$AF$214</definedName>
    <definedName name="v_95_SU">Model!$J$214</definedName>
    <definedName name="v_95_SVFA">Model!$E$214</definedName>
    <definedName name="v_95_XACP">Model!$BK$214</definedName>
    <definedName name="v_95_XAMETO">Model!$W$214</definedName>
    <definedName name="v_95_XAMX">Model!$V$214</definedName>
    <definedName name="v_95_XAOB">Model!$T$214</definedName>
    <definedName name="v_95_XB">Model!$I$214</definedName>
    <definedName name="v_95_XBSH">Model!$BL$214</definedName>
    <definedName name="v_95_XCaCO3">Model!$BJ$214</definedName>
    <definedName name="v_95_XCASTO">Model!$R$214</definedName>
    <definedName name="v_95_XE">Model!$O$214</definedName>
    <definedName name="v_95_XE_ana">Model!$P$214</definedName>
    <definedName name="v_95_XGLY">Model!$N$214</definedName>
    <definedName name="v_95_XHAO_H">Model!$BC$214</definedName>
    <definedName name="v_95_XHAO_H_P">Model!$BF$214</definedName>
    <definedName name="v_95_XHAO_H_P_old">Model!$BH$214</definedName>
    <definedName name="v_95_XHAO_L">Model!$BD$214</definedName>
    <definedName name="v_95_XHAO_L_P">Model!$BG$214</definedName>
    <definedName name="v_95_XHAO_L_P_old">Model!$BI$214</definedName>
    <definedName name="v_95_XHAO_old">Model!$BE$214</definedName>
    <definedName name="v_95_XHFO_H">Model!$AV$214</definedName>
    <definedName name="v_95_XHFO_H_P">Model!$AY$214</definedName>
    <definedName name="v_95_XHFO_H_P_old">Model!$BA$214</definedName>
    <definedName name="v_95_XHFO_L">Model!$AW$214</definedName>
    <definedName name="v_95_XHFO_L_P">Model!$AZ$214</definedName>
    <definedName name="v_95_XHFO_L_P_old">Model!$BB$214</definedName>
    <definedName name="v_95_XHFO_old">Model!$AX$214</definedName>
    <definedName name="v_95_XHMETO">Model!$X$214</definedName>
    <definedName name="v_95_XINORG">Model!$AO$214</definedName>
    <definedName name="v_95_XMEOLO">Model!$S$214</definedName>
    <definedName name="v_95_XN_B">Model!$AD$214</definedName>
    <definedName name="v_95_XN_U">Model!$AE$214</definedName>
    <definedName name="v_95_XNOB">Model!$U$214</definedName>
    <definedName name="v_95_XOHO">Model!$Q$214</definedName>
    <definedName name="v_95_XP_B">Model!$AI$214</definedName>
    <definedName name="v_95_XP_U">Model!$AJ$214</definedName>
    <definedName name="v_95_XPHA">Model!$M$214</definedName>
    <definedName name="v_95_XPP">Model!$AG$214</definedName>
    <definedName name="v_95_XSTR">Model!$BM$214</definedName>
    <definedName name="v_95_XU">Model!$L$214</definedName>
    <definedName name="v_95_XVivi">Model!$BN$214</definedName>
    <definedName name="v_96_CB">Model!$H$215</definedName>
    <definedName name="v_96_CU">Model!$K$215</definedName>
    <definedName name="v_96_GCH4">Model!$BS$215</definedName>
    <definedName name="v_96_GCH4_atm">Model!$BY$215</definedName>
    <definedName name="v_96_GCO2">Model!$BR$215</definedName>
    <definedName name="v_96_GCO2_atm">Model!$BX$215</definedName>
    <definedName name="v_96_GH2">Model!$BT$215</definedName>
    <definedName name="v_96_GH2_atm">Model!$BZ$215</definedName>
    <definedName name="v_96_GN2">Model!$BW$215</definedName>
    <definedName name="v_96_GN2_atm">Model!$CC$215</definedName>
    <definedName name="v_96_GNH3">Model!$BV$215</definedName>
    <definedName name="v_96_GNH3_atm">Model!$CB$215</definedName>
    <definedName name="v_96_GO2">Model!$BU$215</definedName>
    <definedName name="v_96_GO2_atm">Model!$CA$215</definedName>
    <definedName name="v_96_H">Model!$BO$215</definedName>
    <definedName name="v_96_SALPHA">Model!$BP$215</definedName>
    <definedName name="v_96_SAN">Model!$AQ$215</definedName>
    <definedName name="v_96_SB">Model!$F$215</definedName>
    <definedName name="v_96_SCa">Model!$AR$215</definedName>
    <definedName name="v_96_SCAT">Model!$AP$215</definedName>
    <definedName name="v_96_SCH4">Model!$AL$215</definedName>
    <definedName name="v_96_SCO2">Model!$AN$215</definedName>
    <definedName name="v_96_SFe2">Model!$AU$215</definedName>
    <definedName name="v_96_SH2">Model!$AM$215</definedName>
    <definedName name="v_96_SK">Model!$AT$215</definedName>
    <definedName name="v_96_SMEOL">Model!$G$215</definedName>
    <definedName name="v_96_SMg">Model!$AS$215</definedName>
    <definedName name="v_96_SN_B">Model!$AC$215</definedName>
    <definedName name="v_96_SN2">Model!$AB$215</definedName>
    <definedName name="v_96_SNHx">Model!$Y$215</definedName>
    <definedName name="v_96_SNO2">Model!$Z$215</definedName>
    <definedName name="v_96_SNO3">Model!$AA$215</definedName>
    <definedName name="v_96_SO2">Model!$AK$215</definedName>
    <definedName name="v_96_SORPswitch">Model!$BQ$215</definedName>
    <definedName name="v_96_SP_B">Model!$AH$215</definedName>
    <definedName name="v_96_SPO4">Model!$AF$215</definedName>
    <definedName name="v_96_SU">Model!$J$215</definedName>
    <definedName name="v_96_SVFA">Model!$E$215</definedName>
    <definedName name="v_96_XACP">Model!$BK$215</definedName>
    <definedName name="v_96_XAMETO">Model!$W$215</definedName>
    <definedName name="v_96_XAMX">Model!$V$215</definedName>
    <definedName name="v_96_XAOB">Model!$T$215</definedName>
    <definedName name="v_96_XB">Model!$I$215</definedName>
    <definedName name="v_96_XBSH">Model!$BL$215</definedName>
    <definedName name="v_96_XCaCO3">Model!$BJ$215</definedName>
    <definedName name="v_96_XCASTO">Model!$R$215</definedName>
    <definedName name="v_96_XE">Model!$O$215</definedName>
    <definedName name="v_96_XE_ana">Model!$P$215</definedName>
    <definedName name="v_96_XGLY">Model!$N$215</definedName>
    <definedName name="v_96_XHAO_H">Model!$BC$215</definedName>
    <definedName name="v_96_XHAO_H_P">Model!$BF$215</definedName>
    <definedName name="v_96_XHAO_H_P_old">Model!$BH$215</definedName>
    <definedName name="v_96_XHAO_L">Model!$BD$215</definedName>
    <definedName name="v_96_XHAO_L_P">Model!$BG$215</definedName>
    <definedName name="v_96_XHAO_L_P_old">Model!$BI$215</definedName>
    <definedName name="v_96_XHAO_old">Model!$BE$215</definedName>
    <definedName name="v_96_XHFO_H">Model!$AV$215</definedName>
    <definedName name="v_96_XHFO_H_P">Model!$AY$215</definedName>
    <definedName name="v_96_XHFO_H_P_old">Model!$BA$215</definedName>
    <definedName name="v_96_XHFO_L">Model!$AW$215</definedName>
    <definedName name="v_96_XHFO_L_P">Model!$AZ$215</definedName>
    <definedName name="v_96_XHFO_L_P_old">Model!$BB$215</definedName>
    <definedName name="v_96_XHFO_old">Model!$AX$215</definedName>
    <definedName name="v_96_XHMETO">Model!$X$215</definedName>
    <definedName name="v_96_XINORG">Model!$AO$215</definedName>
    <definedName name="v_96_XMEOLO">Model!$S$215</definedName>
    <definedName name="v_96_XN_B">Model!$AD$215</definedName>
    <definedName name="v_96_XN_U">Model!$AE$215</definedName>
    <definedName name="v_96_XNOB">Model!$U$215</definedName>
    <definedName name="v_96_XOHO">Model!$Q$215</definedName>
    <definedName name="v_96_XP_B">Model!$AI$215</definedName>
    <definedName name="v_96_XP_U">Model!$AJ$215</definedName>
    <definedName name="v_96_XPHA">Model!$M$215</definedName>
    <definedName name="v_96_XPP">Model!$AG$215</definedName>
    <definedName name="v_96_XSTR">Model!$BM$215</definedName>
    <definedName name="v_96_XU">Model!$L$215</definedName>
    <definedName name="v_96_XVivi">Model!$BN$215</definedName>
    <definedName name="v_97_CB">Model!$H$216</definedName>
    <definedName name="v_97_CU">Model!$K$216</definedName>
    <definedName name="v_97_GCH4">Model!$BS$216</definedName>
    <definedName name="v_97_GCH4_atm">Model!$BY$216</definedName>
    <definedName name="v_97_GCO2">Model!$BR$216</definedName>
    <definedName name="v_97_GCO2_atm">Model!$BX$216</definedName>
    <definedName name="v_97_GH2">Model!$BT$216</definedName>
    <definedName name="v_97_GH2_atm">Model!$BZ$216</definedName>
    <definedName name="v_97_GN2">Model!$BW$216</definedName>
    <definedName name="v_97_GN2_atm">Model!$CC$216</definedName>
    <definedName name="v_97_GNH3">Model!$BV$216</definedName>
    <definedName name="v_97_GNH3_atm">Model!$CB$216</definedName>
    <definedName name="v_97_GO2">Model!$BU$216</definedName>
    <definedName name="v_97_GO2_atm">Model!$CA$216</definedName>
    <definedName name="v_97_H">Model!$BO$216</definedName>
    <definedName name="v_97_SALPHA">Model!$BP$216</definedName>
    <definedName name="v_97_SAN">Model!$AQ$216</definedName>
    <definedName name="v_97_SB">Model!$F$216</definedName>
    <definedName name="v_97_SCa">Model!$AR$216</definedName>
    <definedName name="v_97_SCAT">Model!$AP$216</definedName>
    <definedName name="v_97_SCH4">Model!$AL$216</definedName>
    <definedName name="v_97_SCO2">Model!$AN$216</definedName>
    <definedName name="v_97_SFe2">Model!$AU$216</definedName>
    <definedName name="v_97_SH2">Model!$AM$216</definedName>
    <definedName name="v_97_SK">Model!$AT$216</definedName>
    <definedName name="v_97_SMEOL">Model!$G$216</definedName>
    <definedName name="v_97_SMg">Model!$AS$216</definedName>
    <definedName name="v_97_SN_B">Model!$AC$216</definedName>
    <definedName name="v_97_SN2">Model!$AB$216</definedName>
    <definedName name="v_97_SNHx">Model!$Y$216</definedName>
    <definedName name="v_97_SNO2">Model!$Z$216</definedName>
    <definedName name="v_97_SNO3">Model!$AA$216</definedName>
    <definedName name="v_97_SO2">Model!$AK$216</definedName>
    <definedName name="v_97_SORPswitch">Model!$BQ$216</definedName>
    <definedName name="v_97_SP_B">Model!$AH$216</definedName>
    <definedName name="v_97_SPO4">Model!$AF$216</definedName>
    <definedName name="v_97_SU">Model!$J$216</definedName>
    <definedName name="v_97_SVFA">Model!$E$216</definedName>
    <definedName name="v_97_XACP">Model!$BK$216</definedName>
    <definedName name="v_97_XAMETO">Model!$W$216</definedName>
    <definedName name="v_97_XAMX">Model!$V$216</definedName>
    <definedName name="v_97_XAOB">Model!$T$216</definedName>
    <definedName name="v_97_XB">Model!$I$216</definedName>
    <definedName name="v_97_XBSH">Model!$BL$216</definedName>
    <definedName name="v_97_XCaCO3">Model!$BJ$216</definedName>
    <definedName name="v_97_XCASTO">Model!$R$216</definedName>
    <definedName name="v_97_XE">Model!$O$216</definedName>
    <definedName name="v_97_XE_ana">Model!$P$216</definedName>
    <definedName name="v_97_XGLY">Model!$N$216</definedName>
    <definedName name="v_97_XHAO_H">Model!$BC$216</definedName>
    <definedName name="v_97_XHAO_H_P">Model!$BF$216</definedName>
    <definedName name="v_97_XHAO_H_P_old">Model!$BH$216</definedName>
    <definedName name="v_97_XHAO_L">Model!$BD$216</definedName>
    <definedName name="v_97_XHAO_L_P">Model!$BG$216</definedName>
    <definedName name="v_97_XHAO_L_P_old">Model!$BI$216</definedName>
    <definedName name="v_97_XHAO_old">Model!$BE$216</definedName>
    <definedName name="v_97_XHFO_H">Model!$AV$216</definedName>
    <definedName name="v_97_XHFO_H_P">Model!$AY$216</definedName>
    <definedName name="v_97_XHFO_H_P_old">Model!$BA$216</definedName>
    <definedName name="v_97_XHFO_L">Model!$AW$216</definedName>
    <definedName name="v_97_XHFO_L_P">Model!$AZ$216</definedName>
    <definedName name="v_97_XHFO_L_P_old">Model!$BB$216</definedName>
    <definedName name="v_97_XHFO_old">Model!$AX$216</definedName>
    <definedName name="v_97_XHMETO">Model!$X$216</definedName>
    <definedName name="v_97_XINORG">Model!$AO$216</definedName>
    <definedName name="v_97_XMEOLO">Model!$S$216</definedName>
    <definedName name="v_97_XN_B">Model!$AD$216</definedName>
    <definedName name="v_97_XN_U">Model!$AE$216</definedName>
    <definedName name="v_97_XNOB">Model!$U$216</definedName>
    <definedName name="v_97_XOHO">Model!$Q$216</definedName>
    <definedName name="v_97_XP_B">Model!$AI$216</definedName>
    <definedName name="v_97_XP_U">Model!$AJ$216</definedName>
    <definedName name="v_97_XPHA">Model!$M$216</definedName>
    <definedName name="v_97_XPP">Model!$AG$216</definedName>
    <definedName name="v_97_XSTR">Model!$BM$216</definedName>
    <definedName name="v_97_XU">Model!$L$216</definedName>
    <definedName name="v_97_XVivi">Model!$BN$216</definedName>
    <definedName name="V_mol_N">systemcode_constants!$D$62</definedName>
    <definedName name="X_ACP">Components!$E$62</definedName>
    <definedName name="X_Al_TSS">'Calculated variables'!$E$17</definedName>
    <definedName name="X_AMETO">Components!$E$22</definedName>
    <definedName name="X_AMX">Components!$E$21</definedName>
    <definedName name="X_AOB">Components!$E$19</definedName>
    <definedName name="X_B">Components!$E$8</definedName>
    <definedName name="X_BIO">'Calculated variables'!$E$4</definedName>
    <definedName name="X_BOD_5">'Calculated variables'!$E$28</definedName>
    <definedName name="X_BOD_ult">'Calculated variables'!$E$25</definedName>
    <definedName name="X_BSH">Components!$E$63</definedName>
    <definedName name="X_CaCO3">Components!$E$61</definedName>
    <definedName name="X_CASTO">Components!$E$17</definedName>
    <definedName name="X_COD">'Calculated variables'!$E$5</definedName>
    <definedName name="X_CsbCOD">'Calculated variables'!$E$7</definedName>
    <definedName name="X_DM">'Calculated variables'!$E$23</definedName>
    <definedName name="X_E">Components!$E$14</definedName>
    <definedName name="X_E_ana">Components!$E$15</definedName>
    <definedName name="X_Fe_TSS">'Calculated variables'!$E$16</definedName>
    <definedName name="X_GAO">'Calculated variables'!$E$63</definedName>
    <definedName name="X_GLY">Components!$E$13</definedName>
    <definedName name="X_HAO">'Calculated variables'!$E$44</definedName>
    <definedName name="X_HAO_H">Components!$E$54</definedName>
    <definedName name="X_HAO_H_P">Components!$E$57</definedName>
    <definedName name="X_HAO_H_P_old">Components!$E$59</definedName>
    <definedName name="X_HAO_ISS">'Calculated variables'!$E$14</definedName>
    <definedName name="X_HAO_L">Components!$E$55</definedName>
    <definedName name="X_HAO_L_P">Components!$E$58</definedName>
    <definedName name="X_HAO_L_P_old">Components!$E$60</definedName>
    <definedName name="X_HAO_old">Components!$E$56</definedName>
    <definedName name="X_HAO_P">'Calculated variables'!$E$50</definedName>
    <definedName name="X_HAO_TSS">'Calculated variables'!$E$18</definedName>
    <definedName name="X_HFO">'Calculated variables'!$E$43</definedName>
    <definedName name="X_HFO_H">Components!$E$47</definedName>
    <definedName name="X_HFO_H_P">Components!$E$50</definedName>
    <definedName name="X_HFO_H_P_old">Components!$E$52</definedName>
    <definedName name="X_HFO_ISS">'Calculated variables'!$E$13</definedName>
    <definedName name="X_HFO_L">Components!$E$48</definedName>
    <definedName name="X_HFO_L_P">Components!$E$51</definedName>
    <definedName name="X_HFO_L_P_old">Components!$E$53</definedName>
    <definedName name="X_HFO_old">Components!$E$49</definedName>
    <definedName name="X_HFO_P">'Calculated variables'!$E$49</definedName>
    <definedName name="X_HFO_TSS">'Calculated variables'!$E$17</definedName>
    <definedName name="X_HMETO">Components!$E$23</definedName>
    <definedName name="X_INORG">Components!$E$40</definedName>
    <definedName name="X_ISS">'Calculated variables'!$E$21</definedName>
    <definedName name="X_Me_H2O_TSS">'Calculated variables'!$E$20</definedName>
    <definedName name="X_Me_H2O_VSS">'Calculated variables'!$E$16</definedName>
    <definedName name="X_Me_ISS">'Calculated variables'!$E$15</definedName>
    <definedName name="X_Me_TSS">'Calculated variables'!$E$19</definedName>
    <definedName name="X_MEOLO">Components!$E$18</definedName>
    <definedName name="X_N_B">Components!$E$29</definedName>
    <definedName name="X_N_U">Components!$E$30</definedName>
    <definedName name="X_NOB">Components!$E$20</definedName>
    <definedName name="X_OHO">Components!$E$16</definedName>
    <definedName name="X_P_B">Components!$E$34</definedName>
    <definedName name="X_P_U">Components!$E$35</definedName>
    <definedName name="X_PAO">'Calculated variables'!$E$62</definedName>
    <definedName name="X_PHA">Components!$E$12</definedName>
    <definedName name="X_PP">Components!$E$32</definedName>
    <definedName name="X_PP_PAO_min">Parameters!$D$62</definedName>
    <definedName name="X_precip">'Calculated variables'!$E$12</definedName>
    <definedName name="X_STC">'Calculated variables'!$E$59</definedName>
    <definedName name="X_STR">Components!$E$64</definedName>
    <definedName name="X_TSS">'Calculated variables'!$E$22</definedName>
    <definedName name="X_U">Components!$E$11</definedName>
    <definedName name="X_Vivi">Components!$E$65</definedName>
    <definedName name="X_VS">'Calculated variables'!$E$10</definedName>
    <definedName name="X_VS_ult">'Calculated variables'!$E$11</definedName>
    <definedName name="X_VSS">'Calculated variables'!$E$9</definedName>
    <definedName name="X_VSS_BIO">'Calculated variables'!$E$8</definedName>
    <definedName name="Y_AMETO">Parameters!$D$302</definedName>
    <definedName name="Y_AMX_NO2">Parameters!$D$300</definedName>
    <definedName name="Y_AMX_NO3">Parameters!$D$301</definedName>
    <definedName name="Y_AOB">Parameters!$D$298</definedName>
    <definedName name="Y_BOD_ult">Parameters!$D$352</definedName>
    <definedName name="Y_CASTO_GLY_anox">Parameters!$D$297</definedName>
    <definedName name="Y_CASTO_GLY_ox">Parameters!$D$296</definedName>
    <definedName name="Y_CASTO_H2_ana_high">Parameters!$D$290</definedName>
    <definedName name="Y_CASTO_H2_ana_low">Parameters!$D$291</definedName>
    <definedName name="Y_CASTO_PHA_anox">Parameters!$D$288</definedName>
    <definedName name="Y_CASTO_PHA_ox">Parameters!$D$287</definedName>
    <definedName name="Y_CASTO_SB_ana">Parameters!$D$289</definedName>
    <definedName name="Y_CASTO_STC_anox">'Calculated variables'!$E$68</definedName>
    <definedName name="Y_CASTO_STC_ox">'Calculated variables'!$E$67</definedName>
    <definedName name="y_fdi">'Calculated variables'!$E$468</definedName>
    <definedName name="y_fmono">'Calculated variables'!$E$467</definedName>
    <definedName name="y_ftri">'Calculated variables'!$E$469</definedName>
    <definedName name="Y_HMETO">Parameters!$D$303</definedName>
    <definedName name="Y_MEOLO">Parameters!$D$286</definedName>
    <definedName name="Y_NOB">Parameters!$D$299</definedName>
    <definedName name="Y_OHO_H2_ana_high">Parameters!$D$283</definedName>
    <definedName name="Y_OHO_H2_ana_low">Parameters!$D$284</definedName>
    <definedName name="Y_OHO_SB_ana">Parameters!$D$282</definedName>
    <definedName name="Y_OHO_SB_anox">Parameters!$D$281</definedName>
    <definedName name="Y_OHO_SB_ox">Parameters!$D$280</definedName>
    <definedName name="Y_OHO_SMEOL_ox">Parameters!$D$285</definedName>
    <definedName name="Y_OHO_VFA_anox">Parameters!$D$279</definedName>
    <definedName name="Y_OHO_VFA_ox">Parameters!$D$278</definedName>
    <definedName name="y_ORP_GAO_Half_T">'Calculated variables'!$E$83</definedName>
    <definedName name="Y_PP_CASTO_anox">Parameters!$D$293</definedName>
    <definedName name="Y_PP_CASTO_ox">Parameters!$D$292</definedName>
    <definedName name="α_pred">'Calculated variables'!$E$623</definedName>
    <definedName name="Δ_atm">systemcode_constants!$D$56</definedName>
    <definedName name="ε__">'Calculated variables'!$E$465</definedName>
    <definedName name="η_b_ana">Parameters!$D$213</definedName>
    <definedName name="η_b_anox">Parameters!$D$212</definedName>
    <definedName name="η_bCASTO_ana">Parameters!$D$45</definedName>
    <definedName name="η_bCASTO_anox">Parameters!$D$44</definedName>
    <definedName name="η_bGLY_ana">Parameters!$D$72</definedName>
    <definedName name="η_bPP_aer">Parameters!$D$47</definedName>
    <definedName name="η_bPP_anox">Parameters!$D$48</definedName>
    <definedName name="η_bSTC_anox">Parameters!$D$46</definedName>
    <definedName name="η_CASTO_anox">Parameters!$D$43</definedName>
    <definedName name="η_H2O">systemcode_constants!$D$42</definedName>
    <definedName name="η_HYD_ana">Parameters!$D$224</definedName>
    <definedName name="η_HYD_anox">Parameters!$D$223</definedName>
    <definedName name="η_OHO_anox">Parameters!$D$10</definedName>
    <definedName name="θ_µ_AMETO">Parameters!$D$262</definedName>
    <definedName name="θ_µ_AMX">Parameters!$D$260</definedName>
    <definedName name="θ_µ_AOB">Parameters!$D$256</definedName>
    <definedName name="θ_µ_CASTO">Parameters!$D$247</definedName>
    <definedName name="θ_µ_HMETO">Parameters!$D$264</definedName>
    <definedName name="θ_µ_MEOLO">Parameters!$D$245</definedName>
    <definedName name="θ_µ_NOB">Parameters!$D$258</definedName>
    <definedName name="θ_µ_OHO">Parameters!$D$242</definedName>
    <definedName name="θ_µ_PAO_lim">Parameters!$D$248</definedName>
    <definedName name="θ_b_AMETO">Parameters!$D$263</definedName>
    <definedName name="θ_b_AMX">Parameters!$D$261</definedName>
    <definedName name="θ_b_AOB">Parameters!$D$257</definedName>
    <definedName name="θ_b_CASTO">Parameters!$D$252</definedName>
    <definedName name="θ_b_HMETO">Parameters!$D$265</definedName>
    <definedName name="θ_b_MEOLO">Parameters!$D$246</definedName>
    <definedName name="θ_b_NOB">Parameters!$D$259</definedName>
    <definedName name="θ_b_OHO">Parameters!$D$244</definedName>
    <definedName name="θ_b_PP_ana">Parameters!$D$254</definedName>
    <definedName name="θ_b_STC">Parameters!$D$253</definedName>
    <definedName name="θ_FERM_OHO">Parameters!$D$243</definedName>
    <definedName name="θ_FERM_PAO">Parameters!$D$249</definedName>
    <definedName name="θ_q_AMMON">Parameters!$D$268</definedName>
    <definedName name="θ_q_ASSIM">Parameters!$D$271</definedName>
    <definedName name="θ_q_Fe2_OX">Parameters!$D$272</definedName>
    <definedName name="θ_q_FLOC">Parameters!$D$266</definedName>
    <definedName name="θ_q_GAO_GLY">Parameters!$D$255</definedName>
    <definedName name="θ_q_HFO_RED">Parameters!$D$273</definedName>
    <definedName name="θ_q_HYD">Parameters!$D$267</definedName>
    <definedName name="θ_q_PAO_PHA">Parameters!$D$251</definedName>
    <definedName name="θ_q_PAO_PP">Parameters!$D$250</definedName>
    <definedName name="θ_q_SPB">Parameters!$D$269</definedName>
    <definedName name="θ_q_XE">Parameters!$D$270</definedName>
    <definedName name="κ__">systemcode_constants!$D$63</definedName>
    <definedName name="λ_H">systemcode_constants!$D$356</definedName>
    <definedName name="ρ__">'Calculated variables'!$E$466</definedName>
    <definedName name="ρ_air">systemcode_constants!$D$50</definedName>
    <definedName name="ρ_H2O">systemcode_constants!$D$41</definedName>
    <definedName name="σ_H2O">systemcode_constants!$D$40</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P216" i="1" l="1"/>
  <c r="CO216" i="1"/>
  <c r="CN216" i="1"/>
  <c r="CM216" i="1"/>
  <c r="CL216" i="1"/>
  <c r="CK216" i="1"/>
  <c r="CJ216" i="1"/>
  <c r="CI216" i="1"/>
  <c r="CH216" i="1"/>
  <c r="CG216" i="1"/>
  <c r="CF216" i="1"/>
  <c r="CP215" i="1"/>
  <c r="CO215" i="1"/>
  <c r="CN215" i="1"/>
  <c r="CM215" i="1"/>
  <c r="CL215" i="1"/>
  <c r="CK215" i="1"/>
  <c r="CJ215" i="1"/>
  <c r="CI215" i="1"/>
  <c r="CH215" i="1"/>
  <c r="CG215" i="1"/>
  <c r="CF215" i="1"/>
  <c r="CP214" i="1"/>
  <c r="CO214" i="1"/>
  <c r="CN214" i="1"/>
  <c r="CM214" i="1"/>
  <c r="CL214" i="1"/>
  <c r="CK214" i="1"/>
  <c r="CJ214" i="1"/>
  <c r="CI214" i="1"/>
  <c r="CH214" i="1"/>
  <c r="CG214" i="1"/>
  <c r="CF214" i="1"/>
  <c r="CP213" i="1"/>
  <c r="CO213" i="1"/>
  <c r="CN213" i="1"/>
  <c r="CM213" i="1"/>
  <c r="CL213" i="1"/>
  <c r="CK213" i="1"/>
  <c r="CJ213" i="1"/>
  <c r="CI213" i="1"/>
  <c r="CH213" i="1"/>
  <c r="CG213" i="1"/>
  <c r="CF213" i="1"/>
  <c r="CP212" i="1"/>
  <c r="CO212" i="1"/>
  <c r="CN212" i="1"/>
  <c r="CM212" i="1"/>
  <c r="CL212" i="1"/>
  <c r="CK212" i="1"/>
  <c r="CJ212" i="1"/>
  <c r="CI212" i="1"/>
  <c r="CH212" i="1"/>
  <c r="CG212" i="1"/>
  <c r="CF212" i="1"/>
  <c r="CP211" i="1"/>
  <c r="CO211" i="1"/>
  <c r="CN211" i="1"/>
  <c r="CM211" i="1"/>
  <c r="CL211" i="1"/>
  <c r="CK211" i="1"/>
  <c r="CJ211" i="1"/>
  <c r="CI211" i="1"/>
  <c r="CH211" i="1"/>
  <c r="CG211" i="1"/>
  <c r="CF211" i="1"/>
  <c r="CP210" i="1"/>
  <c r="CO210" i="1"/>
  <c r="CN210" i="1"/>
  <c r="CM210" i="1"/>
  <c r="CL210" i="1"/>
  <c r="CK210" i="1"/>
  <c r="CJ210" i="1"/>
  <c r="CI210" i="1"/>
  <c r="CH210" i="1"/>
  <c r="CG210" i="1"/>
  <c r="CF210" i="1"/>
  <c r="CP209" i="1"/>
  <c r="CO209" i="1"/>
  <c r="CN209" i="1"/>
  <c r="CM209" i="1"/>
  <c r="CL209" i="1"/>
  <c r="CK209" i="1"/>
  <c r="CJ209" i="1"/>
  <c r="CI209" i="1"/>
  <c r="CH209" i="1"/>
  <c r="CG209" i="1"/>
  <c r="CF209" i="1"/>
  <c r="CP208" i="1"/>
  <c r="CO208" i="1"/>
  <c r="CN208" i="1"/>
  <c r="CM208" i="1"/>
  <c r="CL208" i="1"/>
  <c r="CK208" i="1"/>
  <c r="CJ208" i="1"/>
  <c r="CI208" i="1"/>
  <c r="CH208" i="1"/>
  <c r="CG208" i="1"/>
  <c r="CF208" i="1"/>
  <c r="CP207" i="1"/>
  <c r="CO207" i="1"/>
  <c r="CN207" i="1"/>
  <c r="CM207" i="1"/>
  <c r="CL207" i="1"/>
  <c r="CK207" i="1"/>
  <c r="CJ207" i="1"/>
  <c r="CI207" i="1"/>
  <c r="CH207" i="1"/>
  <c r="CG207" i="1"/>
  <c r="CF207" i="1"/>
  <c r="CP206" i="1"/>
  <c r="CO206" i="1"/>
  <c r="CN206" i="1"/>
  <c r="CM206" i="1"/>
  <c r="CL206" i="1"/>
  <c r="CK206" i="1"/>
  <c r="CJ206" i="1"/>
  <c r="CI206" i="1"/>
  <c r="CH206" i="1"/>
  <c r="CG206" i="1"/>
  <c r="CF206" i="1"/>
  <c r="CP205" i="1"/>
  <c r="CO205" i="1"/>
  <c r="CN205" i="1"/>
  <c r="CM205" i="1"/>
  <c r="CL205" i="1"/>
  <c r="CK205" i="1"/>
  <c r="CJ205" i="1"/>
  <c r="CI205" i="1"/>
  <c r="CH205" i="1"/>
  <c r="CG205" i="1"/>
  <c r="CF205" i="1"/>
  <c r="CP204" i="1"/>
  <c r="CO204" i="1"/>
  <c r="CN204" i="1"/>
  <c r="CM204" i="1"/>
  <c r="CL204" i="1"/>
  <c r="CK204" i="1"/>
  <c r="CJ204" i="1"/>
  <c r="CI204" i="1"/>
  <c r="CH204" i="1"/>
  <c r="CG204" i="1"/>
  <c r="CF204" i="1"/>
  <c r="CP203" i="1"/>
  <c r="CO203" i="1"/>
  <c r="CN203" i="1"/>
  <c r="CM203" i="1"/>
  <c r="CL203" i="1"/>
  <c r="CK203" i="1"/>
  <c r="CJ203" i="1"/>
  <c r="CI203" i="1"/>
  <c r="CH203" i="1"/>
  <c r="CG203" i="1"/>
  <c r="CF203" i="1"/>
  <c r="CP202" i="1"/>
  <c r="CO202" i="1"/>
  <c r="CN202" i="1"/>
  <c r="CM202" i="1"/>
  <c r="CL202" i="1"/>
  <c r="CK202" i="1"/>
  <c r="CJ202" i="1"/>
  <c r="CI202" i="1"/>
  <c r="CH202" i="1"/>
  <c r="CG202" i="1"/>
  <c r="CF202" i="1"/>
  <c r="CP201" i="1"/>
  <c r="CO201" i="1"/>
  <c r="CN201" i="1"/>
  <c r="CM201" i="1"/>
  <c r="CL201" i="1"/>
  <c r="CK201" i="1"/>
  <c r="CJ201" i="1"/>
  <c r="CI201" i="1"/>
  <c r="CH201" i="1"/>
  <c r="CG201" i="1"/>
  <c r="CF201" i="1"/>
  <c r="CP200" i="1"/>
  <c r="CO200" i="1"/>
  <c r="CN200" i="1"/>
  <c r="CM200" i="1"/>
  <c r="CL200" i="1"/>
  <c r="CK200" i="1"/>
  <c r="CJ200" i="1"/>
  <c r="CI200" i="1"/>
  <c r="CH200" i="1"/>
  <c r="CG200" i="1"/>
  <c r="CF200" i="1"/>
  <c r="CP199" i="1"/>
  <c r="CO199" i="1"/>
  <c r="CN199" i="1"/>
  <c r="CM199" i="1"/>
  <c r="CL199" i="1"/>
  <c r="CK199" i="1"/>
  <c r="CJ199" i="1"/>
  <c r="CI199" i="1"/>
  <c r="CH199" i="1"/>
  <c r="CG199" i="1"/>
  <c r="CF199" i="1"/>
  <c r="CP198" i="1"/>
  <c r="CO198" i="1"/>
  <c r="CN198" i="1"/>
  <c r="CM198" i="1"/>
  <c r="CL198" i="1"/>
  <c r="CK198" i="1"/>
  <c r="CJ198" i="1"/>
  <c r="CI198" i="1"/>
  <c r="CH198" i="1"/>
  <c r="CG198" i="1"/>
  <c r="CF198" i="1"/>
  <c r="CP197" i="1"/>
  <c r="CO197" i="1"/>
  <c r="CN197" i="1"/>
  <c r="CM197" i="1"/>
  <c r="CL197" i="1"/>
  <c r="CK197" i="1"/>
  <c r="CJ197" i="1"/>
  <c r="CI197" i="1"/>
  <c r="CH197" i="1"/>
  <c r="CG197" i="1"/>
  <c r="CF197" i="1"/>
  <c r="CP196" i="1"/>
  <c r="CO196" i="1"/>
  <c r="CN196" i="1"/>
  <c r="CM196" i="1"/>
  <c r="CL196" i="1"/>
  <c r="CK196" i="1"/>
  <c r="CJ196" i="1"/>
  <c r="CI196" i="1"/>
  <c r="CH196" i="1"/>
  <c r="CG196" i="1"/>
  <c r="CF196" i="1"/>
  <c r="CP195" i="1"/>
  <c r="CO195" i="1"/>
  <c r="CN195" i="1"/>
  <c r="CM195" i="1"/>
  <c r="CL195" i="1"/>
  <c r="CK195" i="1"/>
  <c r="CJ195" i="1"/>
  <c r="CI195" i="1"/>
  <c r="CH195" i="1"/>
  <c r="CG195" i="1"/>
  <c r="CF195" i="1"/>
  <c r="CP194" i="1"/>
  <c r="CO194" i="1"/>
  <c r="CN194" i="1"/>
  <c r="CM194" i="1"/>
  <c r="CL194" i="1"/>
  <c r="CK194" i="1"/>
  <c r="CJ194" i="1"/>
  <c r="CI194" i="1"/>
  <c r="CH194" i="1"/>
  <c r="CG194" i="1"/>
  <c r="CF194" i="1"/>
  <c r="CP193" i="1"/>
  <c r="CO193" i="1"/>
  <c r="CN193" i="1"/>
  <c r="CM193" i="1"/>
  <c r="CL193" i="1"/>
  <c r="CK193" i="1"/>
  <c r="CJ193" i="1"/>
  <c r="CI193" i="1"/>
  <c r="CH193" i="1"/>
  <c r="CG193" i="1"/>
  <c r="CF193" i="1"/>
  <c r="CP192" i="1"/>
  <c r="CO192" i="1"/>
  <c r="CN192" i="1"/>
  <c r="CM192" i="1"/>
  <c r="CL192" i="1"/>
  <c r="CK192" i="1"/>
  <c r="CJ192" i="1"/>
  <c r="CI192" i="1"/>
  <c r="CH192" i="1"/>
  <c r="CG192" i="1"/>
  <c r="CF192" i="1"/>
  <c r="CP191" i="1"/>
  <c r="CO191" i="1"/>
  <c r="CN191" i="1"/>
  <c r="CM191" i="1"/>
  <c r="CL191" i="1"/>
  <c r="CK191" i="1"/>
  <c r="CJ191" i="1"/>
  <c r="CI191" i="1"/>
  <c r="CH191" i="1"/>
  <c r="CG191" i="1"/>
  <c r="CF191" i="1"/>
  <c r="CP190" i="1"/>
  <c r="CO190" i="1"/>
  <c r="CN190" i="1"/>
  <c r="CM190" i="1"/>
  <c r="CL190" i="1"/>
  <c r="CK190" i="1"/>
  <c r="CJ190" i="1"/>
  <c r="CI190" i="1"/>
  <c r="CH190" i="1"/>
  <c r="CG190" i="1"/>
  <c r="CF190" i="1"/>
  <c r="CP189" i="1"/>
  <c r="CO189" i="1"/>
  <c r="CN189" i="1"/>
  <c r="CM189" i="1"/>
  <c r="CL189" i="1"/>
  <c r="CK189" i="1"/>
  <c r="CJ189" i="1"/>
  <c r="CI189" i="1"/>
  <c r="CH189" i="1"/>
  <c r="CG189" i="1"/>
  <c r="CF189" i="1"/>
  <c r="CP188" i="1"/>
  <c r="CO188" i="1"/>
  <c r="CN188" i="1"/>
  <c r="CM188" i="1"/>
  <c r="CL188" i="1"/>
  <c r="CK188" i="1"/>
  <c r="CJ188" i="1"/>
  <c r="CI188" i="1"/>
  <c r="CH188" i="1"/>
  <c r="CG188" i="1"/>
  <c r="CF188" i="1"/>
  <c r="CP187" i="1"/>
  <c r="CO187" i="1"/>
  <c r="CN187" i="1"/>
  <c r="CM187" i="1"/>
  <c r="CL187" i="1"/>
  <c r="CK187" i="1"/>
  <c r="CJ187" i="1"/>
  <c r="CI187" i="1"/>
  <c r="CH187" i="1"/>
  <c r="CG187" i="1"/>
  <c r="CF187" i="1"/>
  <c r="CP186" i="1"/>
  <c r="CO186" i="1"/>
  <c r="CN186" i="1"/>
  <c r="CM186" i="1"/>
  <c r="CL186" i="1"/>
  <c r="CK186" i="1"/>
  <c r="CJ186" i="1"/>
  <c r="CI186" i="1"/>
  <c r="CH186" i="1"/>
  <c r="CG186" i="1"/>
  <c r="CF186" i="1"/>
  <c r="CP185" i="1"/>
  <c r="CO185" i="1"/>
  <c r="CN185" i="1"/>
  <c r="CM185" i="1"/>
  <c r="CL185" i="1"/>
  <c r="CK185" i="1"/>
  <c r="CJ185" i="1"/>
  <c r="CI185" i="1"/>
  <c r="CH185" i="1"/>
  <c r="CG185" i="1"/>
  <c r="CF185" i="1"/>
  <c r="CP184" i="1"/>
  <c r="CO184" i="1"/>
  <c r="CN184" i="1"/>
  <c r="CM184" i="1"/>
  <c r="CL184" i="1"/>
  <c r="CK184" i="1"/>
  <c r="CJ184" i="1"/>
  <c r="CI184" i="1"/>
  <c r="CH184" i="1"/>
  <c r="CG184" i="1"/>
  <c r="CF184" i="1"/>
  <c r="CP183" i="1"/>
  <c r="CO183" i="1"/>
  <c r="CN183" i="1"/>
  <c r="CM183" i="1"/>
  <c r="CL183" i="1"/>
  <c r="CK183" i="1"/>
  <c r="CJ183" i="1"/>
  <c r="CI183" i="1"/>
  <c r="CH183" i="1"/>
  <c r="CG183" i="1"/>
  <c r="CF183" i="1"/>
  <c r="CP182" i="1"/>
  <c r="CO182" i="1"/>
  <c r="CN182" i="1"/>
  <c r="CM182" i="1"/>
  <c r="CL182" i="1"/>
  <c r="CK182" i="1"/>
  <c r="CJ182" i="1"/>
  <c r="CI182" i="1"/>
  <c r="CH182" i="1"/>
  <c r="CG182" i="1"/>
  <c r="CF182" i="1"/>
  <c r="CP181" i="1"/>
  <c r="CO181" i="1"/>
  <c r="CN181" i="1"/>
  <c r="CM181" i="1"/>
  <c r="CL181" i="1"/>
  <c r="CK181" i="1"/>
  <c r="CJ181" i="1"/>
  <c r="CI181" i="1"/>
  <c r="CH181" i="1"/>
  <c r="CG181" i="1"/>
  <c r="CF181" i="1"/>
  <c r="CP180" i="1"/>
  <c r="CO180" i="1"/>
  <c r="CN180" i="1"/>
  <c r="CM180" i="1"/>
  <c r="CL180" i="1"/>
  <c r="CK180" i="1"/>
  <c r="CJ180" i="1"/>
  <c r="CI180" i="1"/>
  <c r="CH180" i="1"/>
  <c r="CG180" i="1"/>
  <c r="CF180" i="1"/>
  <c r="CP179" i="1"/>
  <c r="CO179" i="1"/>
  <c r="CN179" i="1"/>
  <c r="CM179" i="1"/>
  <c r="CL179" i="1"/>
  <c r="CK179" i="1"/>
  <c r="CJ179" i="1"/>
  <c r="CI179" i="1"/>
  <c r="CH179" i="1"/>
  <c r="CG179" i="1"/>
  <c r="CF179" i="1"/>
  <c r="CP178" i="1"/>
  <c r="CO178" i="1"/>
  <c r="CN178" i="1"/>
  <c r="CM178" i="1"/>
  <c r="CL178" i="1"/>
  <c r="CK178" i="1"/>
  <c r="CJ178" i="1"/>
  <c r="CI178" i="1"/>
  <c r="CH178" i="1"/>
  <c r="CG178" i="1"/>
  <c r="CF178" i="1"/>
  <c r="CP177" i="1"/>
  <c r="CO177" i="1"/>
  <c r="CN177" i="1"/>
  <c r="CM177" i="1"/>
  <c r="CL177" i="1"/>
  <c r="CK177" i="1"/>
  <c r="CJ177" i="1"/>
  <c r="CI177" i="1"/>
  <c r="CH177" i="1"/>
  <c r="CG177" i="1"/>
  <c r="CF177" i="1"/>
  <c r="CP176" i="1"/>
  <c r="CO176" i="1"/>
  <c r="CN176" i="1"/>
  <c r="CM176" i="1"/>
  <c r="CL176" i="1"/>
  <c r="CK176" i="1"/>
  <c r="CJ176" i="1"/>
  <c r="CI176" i="1"/>
  <c r="CH176" i="1"/>
  <c r="CG176" i="1"/>
  <c r="CF176" i="1"/>
  <c r="CP175" i="1"/>
  <c r="CO175" i="1"/>
  <c r="CN175" i="1"/>
  <c r="CM175" i="1"/>
  <c r="CL175" i="1"/>
  <c r="CK175" i="1"/>
  <c r="CJ175" i="1"/>
  <c r="CI175" i="1"/>
  <c r="CH175" i="1"/>
  <c r="CG175" i="1"/>
  <c r="CF175" i="1"/>
  <c r="CP174" i="1"/>
  <c r="CO174" i="1"/>
  <c r="CN174" i="1"/>
  <c r="CM174" i="1"/>
  <c r="CL174" i="1"/>
  <c r="CK174" i="1"/>
  <c r="CJ174" i="1"/>
  <c r="CI174" i="1"/>
  <c r="CH174" i="1"/>
  <c r="CG174" i="1"/>
  <c r="CF174" i="1"/>
  <c r="CP173" i="1"/>
  <c r="CO173" i="1"/>
  <c r="CN173" i="1"/>
  <c r="CM173" i="1"/>
  <c r="CL173" i="1"/>
  <c r="CK173" i="1"/>
  <c r="CJ173" i="1"/>
  <c r="CI173" i="1"/>
  <c r="CH173" i="1"/>
  <c r="CG173" i="1"/>
  <c r="CF173" i="1"/>
  <c r="CP172" i="1"/>
  <c r="CO172" i="1"/>
  <c r="CN172" i="1"/>
  <c r="CM172" i="1"/>
  <c r="CL172" i="1"/>
  <c r="CK172" i="1"/>
  <c r="CJ172" i="1"/>
  <c r="CI172" i="1"/>
  <c r="CH172" i="1"/>
  <c r="CG172" i="1"/>
  <c r="CF172" i="1"/>
  <c r="CP171" i="1"/>
  <c r="CO171" i="1"/>
  <c r="CN171" i="1"/>
  <c r="CM171" i="1"/>
  <c r="CL171" i="1"/>
  <c r="CK171" i="1"/>
  <c r="CJ171" i="1"/>
  <c r="CI171" i="1"/>
  <c r="CH171" i="1"/>
  <c r="CG171" i="1"/>
  <c r="CF171" i="1"/>
  <c r="CP170" i="1"/>
  <c r="CO170" i="1"/>
  <c r="CN170" i="1"/>
  <c r="CM170" i="1"/>
  <c r="CL170" i="1"/>
  <c r="CK170" i="1"/>
  <c r="CJ170" i="1"/>
  <c r="CI170" i="1"/>
  <c r="CH170" i="1"/>
  <c r="CG170" i="1"/>
  <c r="CF170" i="1"/>
  <c r="CP169" i="1"/>
  <c r="CO169" i="1"/>
  <c r="CN169" i="1"/>
  <c r="CM169" i="1"/>
  <c r="CL169" i="1"/>
  <c r="CK169" i="1"/>
  <c r="CJ169" i="1"/>
  <c r="CI169" i="1"/>
  <c r="CH169" i="1"/>
  <c r="CG169" i="1"/>
  <c r="CF169" i="1"/>
  <c r="CP168" i="1"/>
  <c r="CO168" i="1"/>
  <c r="CN168" i="1"/>
  <c r="CM168" i="1"/>
  <c r="CL168" i="1"/>
  <c r="CK168" i="1"/>
  <c r="CJ168" i="1"/>
  <c r="CI168" i="1"/>
  <c r="CH168" i="1"/>
  <c r="CG168" i="1"/>
  <c r="CF168" i="1"/>
  <c r="CP167" i="1"/>
  <c r="CO167" i="1"/>
  <c r="CN167" i="1"/>
  <c r="CM167" i="1"/>
  <c r="CL167" i="1"/>
  <c r="CK167" i="1"/>
  <c r="CJ167" i="1"/>
  <c r="CI167" i="1"/>
  <c r="CH167" i="1"/>
  <c r="CG167" i="1"/>
  <c r="CF167" i="1"/>
  <c r="CP166" i="1"/>
  <c r="CO166" i="1"/>
  <c r="CN166" i="1"/>
  <c r="CM166" i="1"/>
  <c r="CL166" i="1"/>
  <c r="CK166" i="1"/>
  <c r="CJ166" i="1"/>
  <c r="CI166" i="1"/>
  <c r="CH166" i="1"/>
  <c r="CG166" i="1"/>
  <c r="CF166" i="1"/>
  <c r="CP165" i="1"/>
  <c r="CO165" i="1"/>
  <c r="CN165" i="1"/>
  <c r="CM165" i="1"/>
  <c r="CL165" i="1"/>
  <c r="CK165" i="1"/>
  <c r="CJ165" i="1"/>
  <c r="CI165" i="1"/>
  <c r="CH165" i="1"/>
  <c r="CG165" i="1"/>
  <c r="CF165" i="1"/>
  <c r="CP164" i="1"/>
  <c r="CO164" i="1"/>
  <c r="CN164" i="1"/>
  <c r="CM164" i="1"/>
  <c r="CL164" i="1"/>
  <c r="CK164" i="1"/>
  <c r="CJ164" i="1"/>
  <c r="CI164" i="1"/>
  <c r="CH164" i="1"/>
  <c r="CG164" i="1"/>
  <c r="CF164" i="1"/>
  <c r="CP163" i="1"/>
  <c r="CO163" i="1"/>
  <c r="CN163" i="1"/>
  <c r="CM163" i="1"/>
  <c r="CL163" i="1"/>
  <c r="CK163" i="1"/>
  <c r="CJ163" i="1"/>
  <c r="CI163" i="1"/>
  <c r="CH163" i="1"/>
  <c r="CG163" i="1"/>
  <c r="CF163" i="1"/>
  <c r="CP162" i="1"/>
  <c r="CO162" i="1"/>
  <c r="CN162" i="1"/>
  <c r="CM162" i="1"/>
  <c r="CL162" i="1"/>
  <c r="CK162" i="1"/>
  <c r="CJ162" i="1"/>
  <c r="CI162" i="1"/>
  <c r="CH162" i="1"/>
  <c r="CG162" i="1"/>
  <c r="CF162" i="1"/>
  <c r="CP161" i="1"/>
  <c r="CO161" i="1"/>
  <c r="CN161" i="1"/>
  <c r="CM161" i="1"/>
  <c r="CL161" i="1"/>
  <c r="CK161" i="1"/>
  <c r="CJ161" i="1"/>
  <c r="CI161" i="1"/>
  <c r="CH161" i="1"/>
  <c r="CG161" i="1"/>
  <c r="CF161" i="1"/>
  <c r="CP160" i="1"/>
  <c r="CO160" i="1"/>
  <c r="CN160" i="1"/>
  <c r="CM160" i="1"/>
  <c r="CL160" i="1"/>
  <c r="CK160" i="1"/>
  <c r="CJ160" i="1"/>
  <c r="CI160" i="1"/>
  <c r="CH160" i="1"/>
  <c r="CG160" i="1"/>
  <c r="CF160" i="1"/>
  <c r="CP159" i="1"/>
  <c r="CO159" i="1"/>
  <c r="CN159" i="1"/>
  <c r="CM159" i="1"/>
  <c r="CL159" i="1"/>
  <c r="CK159" i="1"/>
  <c r="CJ159" i="1"/>
  <c r="CI159" i="1"/>
  <c r="CH159" i="1"/>
  <c r="CG159" i="1"/>
  <c r="CF159" i="1"/>
  <c r="CP158" i="1"/>
  <c r="CO158" i="1"/>
  <c r="CN158" i="1"/>
  <c r="CM158" i="1"/>
  <c r="CL158" i="1"/>
  <c r="CK158" i="1"/>
  <c r="CJ158" i="1"/>
  <c r="CI158" i="1"/>
  <c r="CH158" i="1"/>
  <c r="CG158" i="1"/>
  <c r="CF158" i="1"/>
  <c r="CP157" i="1"/>
  <c r="CO157" i="1"/>
  <c r="CN157" i="1"/>
  <c r="CM157" i="1"/>
  <c r="CL157" i="1"/>
  <c r="CK157" i="1"/>
  <c r="CJ157" i="1"/>
  <c r="CI157" i="1"/>
  <c r="CH157" i="1"/>
  <c r="CG157" i="1"/>
  <c r="CF157" i="1"/>
  <c r="CP156" i="1"/>
  <c r="CO156" i="1"/>
  <c r="CN156" i="1"/>
  <c r="CM156" i="1"/>
  <c r="CL156" i="1"/>
  <c r="CK156" i="1"/>
  <c r="CJ156" i="1"/>
  <c r="CI156" i="1"/>
  <c r="CH156" i="1"/>
  <c r="CG156" i="1"/>
  <c r="CF156" i="1"/>
  <c r="CP155" i="1"/>
  <c r="CO155" i="1"/>
  <c r="CN155" i="1"/>
  <c r="CM155" i="1"/>
  <c r="CL155" i="1"/>
  <c r="CK155" i="1"/>
  <c r="CJ155" i="1"/>
  <c r="CI155" i="1"/>
  <c r="CH155" i="1"/>
  <c r="CG155" i="1"/>
  <c r="CF155" i="1"/>
  <c r="CP154" i="1"/>
  <c r="CO154" i="1"/>
  <c r="CN154" i="1"/>
  <c r="CM154" i="1"/>
  <c r="CL154" i="1"/>
  <c r="CK154" i="1"/>
  <c r="CJ154" i="1"/>
  <c r="CI154" i="1"/>
  <c r="CH154" i="1"/>
  <c r="CG154" i="1"/>
  <c r="CF154" i="1"/>
  <c r="CP153" i="1"/>
  <c r="CO153" i="1"/>
  <c r="CN153" i="1"/>
  <c r="CM153" i="1"/>
  <c r="CL153" i="1"/>
  <c r="CK153" i="1"/>
  <c r="CJ153" i="1"/>
  <c r="CI153" i="1"/>
  <c r="CH153" i="1"/>
  <c r="CG153" i="1"/>
  <c r="CF153" i="1"/>
  <c r="CP152" i="1"/>
  <c r="CO152" i="1"/>
  <c r="CN152" i="1"/>
  <c r="CM152" i="1"/>
  <c r="CL152" i="1"/>
  <c r="CK152" i="1"/>
  <c r="CJ152" i="1"/>
  <c r="CI152" i="1"/>
  <c r="CH152" i="1"/>
  <c r="CG152" i="1"/>
  <c r="CF152" i="1"/>
  <c r="CP151" i="1"/>
  <c r="CO151" i="1"/>
  <c r="CN151" i="1"/>
  <c r="CM151" i="1"/>
  <c r="CL151" i="1"/>
  <c r="CK151" i="1"/>
  <c r="CJ151" i="1"/>
  <c r="CI151" i="1"/>
  <c r="CH151" i="1"/>
  <c r="CG151" i="1"/>
  <c r="CF151" i="1"/>
  <c r="CP150" i="1"/>
  <c r="CO150" i="1"/>
  <c r="CN150" i="1"/>
  <c r="CM150" i="1"/>
  <c r="CL150" i="1"/>
  <c r="CK150" i="1"/>
  <c r="CJ150" i="1"/>
  <c r="CI150" i="1"/>
  <c r="CH150" i="1"/>
  <c r="CG150" i="1"/>
  <c r="CF150" i="1"/>
  <c r="CP149" i="1"/>
  <c r="CO149" i="1"/>
  <c r="CN149" i="1"/>
  <c r="CM149" i="1"/>
  <c r="CL149" i="1"/>
  <c r="CK149" i="1"/>
  <c r="CJ149" i="1"/>
  <c r="CI149" i="1"/>
  <c r="CH149" i="1"/>
  <c r="CG149" i="1"/>
  <c r="CF149" i="1"/>
  <c r="CP148" i="1"/>
  <c r="CO148" i="1"/>
  <c r="CN148" i="1"/>
  <c r="CM148" i="1"/>
  <c r="CL148" i="1"/>
  <c r="CK148" i="1"/>
  <c r="CJ148" i="1"/>
  <c r="CI148" i="1"/>
  <c r="CH148" i="1"/>
  <c r="CG148" i="1"/>
  <c r="CF148" i="1"/>
  <c r="CP147" i="1"/>
  <c r="CO147" i="1"/>
  <c r="CN147" i="1"/>
  <c r="CM147" i="1"/>
  <c r="CL147" i="1"/>
  <c r="CK147" i="1"/>
  <c r="CJ147" i="1"/>
  <c r="CI147" i="1"/>
  <c r="CH147" i="1"/>
  <c r="CG147" i="1"/>
  <c r="CF147" i="1"/>
  <c r="CP146" i="1"/>
  <c r="CO146" i="1"/>
  <c r="CN146" i="1"/>
  <c r="CM146" i="1"/>
  <c r="CL146" i="1"/>
  <c r="CK146" i="1"/>
  <c r="CJ146" i="1"/>
  <c r="CI146" i="1"/>
  <c r="CH146" i="1"/>
  <c r="CG146" i="1"/>
  <c r="CF146" i="1"/>
  <c r="CP145" i="1"/>
  <c r="CO145" i="1"/>
  <c r="CN145" i="1"/>
  <c r="CM145" i="1"/>
  <c r="CL145" i="1"/>
  <c r="CK145" i="1"/>
  <c r="CJ145" i="1"/>
  <c r="CI145" i="1"/>
  <c r="CH145" i="1"/>
  <c r="CG145" i="1"/>
  <c r="CF145" i="1"/>
  <c r="CP144" i="1"/>
  <c r="CO144" i="1"/>
  <c r="CN144" i="1"/>
  <c r="CM144" i="1"/>
  <c r="CL144" i="1"/>
  <c r="CK144" i="1"/>
  <c r="CJ144" i="1"/>
  <c r="CI144" i="1"/>
  <c r="CH144" i="1"/>
  <c r="CG144" i="1"/>
  <c r="CF144" i="1"/>
  <c r="CP143" i="1"/>
  <c r="CO143" i="1"/>
  <c r="CN143" i="1"/>
  <c r="CM143" i="1"/>
  <c r="CL143" i="1"/>
  <c r="CK143" i="1"/>
  <c r="CJ143" i="1"/>
  <c r="CI143" i="1"/>
  <c r="CH143" i="1"/>
  <c r="CG143" i="1"/>
  <c r="CF143" i="1"/>
  <c r="CP142" i="1"/>
  <c r="CO142" i="1"/>
  <c r="CN142" i="1"/>
  <c r="CM142" i="1"/>
  <c r="CL142" i="1"/>
  <c r="CK142" i="1"/>
  <c r="CJ142" i="1"/>
  <c r="CI142" i="1"/>
  <c r="CH142" i="1"/>
  <c r="CG142" i="1"/>
  <c r="CF142" i="1"/>
  <c r="CP141" i="1"/>
  <c r="CO141" i="1"/>
  <c r="CN141" i="1"/>
  <c r="CM141" i="1"/>
  <c r="CL141" i="1"/>
  <c r="CK141" i="1"/>
  <c r="CJ141" i="1"/>
  <c r="CI141" i="1"/>
  <c r="CH141" i="1"/>
  <c r="CG141" i="1"/>
  <c r="CF141" i="1"/>
  <c r="CP140" i="1"/>
  <c r="CO140" i="1"/>
  <c r="CN140" i="1"/>
  <c r="CM140" i="1"/>
  <c r="CL140" i="1"/>
  <c r="CK140" i="1"/>
  <c r="CJ140" i="1"/>
  <c r="CI140" i="1"/>
  <c r="CH140" i="1"/>
  <c r="CG140" i="1"/>
  <c r="CF140" i="1"/>
  <c r="CP139" i="1"/>
  <c r="CO139" i="1"/>
  <c r="CN139" i="1"/>
  <c r="CM139" i="1"/>
  <c r="CL139" i="1"/>
  <c r="CK139" i="1"/>
  <c r="CJ139" i="1"/>
  <c r="CI139" i="1"/>
  <c r="CH139" i="1"/>
  <c r="CG139" i="1"/>
  <c r="CF139" i="1"/>
  <c r="CP138" i="1"/>
  <c r="CO138" i="1"/>
  <c r="CN138" i="1"/>
  <c r="CM138" i="1"/>
  <c r="CL138" i="1"/>
  <c r="CK138" i="1"/>
  <c r="CJ138" i="1"/>
  <c r="CI138" i="1"/>
  <c r="CH138" i="1"/>
  <c r="CG138" i="1"/>
  <c r="CF138" i="1"/>
  <c r="CP137" i="1"/>
  <c r="CO137" i="1"/>
  <c r="CN137" i="1"/>
  <c r="CM137" i="1"/>
  <c r="CL137" i="1"/>
  <c r="CK137" i="1"/>
  <c r="CJ137" i="1"/>
  <c r="CI137" i="1"/>
  <c r="CH137" i="1"/>
  <c r="CG137" i="1"/>
  <c r="CF137" i="1"/>
  <c r="CP136" i="1"/>
  <c r="CO136" i="1"/>
  <c r="CN136" i="1"/>
  <c r="CM136" i="1"/>
  <c r="CL136" i="1"/>
  <c r="CK136" i="1"/>
  <c r="CJ136" i="1"/>
  <c r="CI136" i="1"/>
  <c r="CH136" i="1"/>
  <c r="CG136" i="1"/>
  <c r="CF136" i="1"/>
  <c r="CP135" i="1"/>
  <c r="CO135" i="1"/>
  <c r="CN135" i="1"/>
  <c r="CM135" i="1"/>
  <c r="CL135" i="1"/>
  <c r="CK135" i="1"/>
  <c r="CJ135" i="1"/>
  <c r="CI135" i="1"/>
  <c r="CH135" i="1"/>
  <c r="CG135" i="1"/>
  <c r="CF135" i="1"/>
  <c r="CP134" i="1"/>
  <c r="CO134" i="1"/>
  <c r="CN134" i="1"/>
  <c r="CM134" i="1"/>
  <c r="CL134" i="1"/>
  <c r="CK134" i="1"/>
  <c r="CJ134" i="1"/>
  <c r="CI134" i="1"/>
  <c r="CH134" i="1"/>
  <c r="CG134" i="1"/>
  <c r="CF134" i="1"/>
  <c r="CP133" i="1"/>
  <c r="CO133" i="1"/>
  <c r="CN133" i="1"/>
  <c r="CM133" i="1"/>
  <c r="CL133" i="1"/>
  <c r="CK133" i="1"/>
  <c r="CJ133" i="1"/>
  <c r="CI133" i="1"/>
  <c r="CH133" i="1"/>
  <c r="CG133" i="1"/>
  <c r="CF133" i="1"/>
  <c r="CP132" i="1"/>
  <c r="CO132" i="1"/>
  <c r="CN132" i="1"/>
  <c r="CM132" i="1"/>
  <c r="CL132" i="1"/>
  <c r="CK132" i="1"/>
  <c r="CJ132" i="1"/>
  <c r="CI132" i="1"/>
  <c r="CH132" i="1"/>
  <c r="CG132" i="1"/>
  <c r="CF132" i="1"/>
  <c r="CP131" i="1"/>
  <c r="CO131" i="1"/>
  <c r="CN131" i="1"/>
  <c r="CM131" i="1"/>
  <c r="CL131" i="1"/>
  <c r="CK131" i="1"/>
  <c r="CJ131" i="1"/>
  <c r="CI131" i="1"/>
  <c r="CH131" i="1"/>
  <c r="CG131" i="1"/>
  <c r="CF131" i="1"/>
  <c r="CP130" i="1"/>
  <c r="CO130" i="1"/>
  <c r="CN130" i="1"/>
  <c r="CM130" i="1"/>
  <c r="CL130" i="1"/>
  <c r="CK130" i="1"/>
  <c r="CJ130" i="1"/>
  <c r="CI130" i="1"/>
  <c r="CH130" i="1"/>
  <c r="CG130" i="1"/>
  <c r="CF130" i="1"/>
  <c r="CP129" i="1"/>
  <c r="CO129" i="1"/>
  <c r="CN129" i="1"/>
  <c r="CM129" i="1"/>
  <c r="CL129" i="1"/>
  <c r="CK129" i="1"/>
  <c r="CJ129" i="1"/>
  <c r="CI129" i="1"/>
  <c r="CH129" i="1"/>
  <c r="CG129" i="1"/>
  <c r="CF129" i="1"/>
  <c r="CP128" i="1"/>
  <c r="CO128" i="1"/>
  <c r="CN128" i="1"/>
  <c r="CM128" i="1"/>
  <c r="CL128" i="1"/>
  <c r="CK128" i="1"/>
  <c r="CJ128" i="1"/>
  <c r="CI128" i="1"/>
  <c r="CH128" i="1"/>
  <c r="CG128" i="1"/>
  <c r="CF128" i="1"/>
  <c r="CP127" i="1"/>
  <c r="CO127" i="1"/>
  <c r="CN127" i="1"/>
  <c r="CM127" i="1"/>
  <c r="CL127" i="1"/>
  <c r="CK127" i="1"/>
  <c r="CJ127" i="1"/>
  <c r="CI127" i="1"/>
  <c r="CH127" i="1"/>
  <c r="CG127" i="1"/>
  <c r="CF127" i="1"/>
  <c r="CP126" i="1"/>
  <c r="CO126" i="1"/>
  <c r="CN126" i="1"/>
  <c r="CM126" i="1"/>
  <c r="CL126" i="1"/>
  <c r="CK126" i="1"/>
  <c r="CJ126" i="1"/>
  <c r="CI126" i="1"/>
  <c r="CH126" i="1"/>
  <c r="CG126" i="1"/>
  <c r="CF126" i="1"/>
  <c r="CP125" i="1"/>
  <c r="CO125" i="1"/>
  <c r="CN125" i="1"/>
  <c r="CM125" i="1"/>
  <c r="CL125" i="1"/>
  <c r="CK125" i="1"/>
  <c r="CJ125" i="1"/>
  <c r="CI125" i="1"/>
  <c r="CH125" i="1"/>
  <c r="CG125" i="1"/>
  <c r="CF125" i="1"/>
  <c r="CP124" i="1"/>
  <c r="CO124" i="1"/>
  <c r="CN124" i="1"/>
  <c r="CM124" i="1"/>
  <c r="CL124" i="1"/>
  <c r="CK124" i="1"/>
  <c r="CJ124" i="1"/>
  <c r="CI124" i="1"/>
  <c r="CH124" i="1"/>
  <c r="CG124" i="1"/>
  <c r="CF124" i="1"/>
  <c r="CP123" i="1"/>
  <c r="CO123" i="1"/>
  <c r="CN123" i="1"/>
  <c r="CM123" i="1"/>
  <c r="CL123" i="1"/>
  <c r="CK123" i="1"/>
  <c r="CJ123" i="1"/>
  <c r="CI123" i="1"/>
  <c r="CH123" i="1"/>
  <c r="CG123" i="1"/>
  <c r="CF123" i="1"/>
  <c r="CP122" i="1"/>
  <c r="CO122" i="1"/>
  <c r="CN122" i="1"/>
  <c r="CM122" i="1"/>
  <c r="CL122" i="1"/>
  <c r="CK122" i="1"/>
  <c r="CJ122" i="1"/>
  <c r="CI122" i="1"/>
  <c r="CH122" i="1"/>
  <c r="CG122" i="1"/>
  <c r="CF122" i="1"/>
  <c r="CP121" i="1"/>
  <c r="CO121" i="1"/>
  <c r="CN121" i="1"/>
  <c r="CM121" i="1"/>
  <c r="CL121" i="1"/>
  <c r="CK121" i="1"/>
  <c r="CJ121" i="1"/>
  <c r="CI121" i="1"/>
  <c r="CH121" i="1"/>
  <c r="CG121" i="1"/>
  <c r="CF121" i="1"/>
  <c r="CP120" i="1"/>
  <c r="CO120" i="1"/>
  <c r="CN120" i="1"/>
  <c r="CM120" i="1"/>
  <c r="CL120" i="1"/>
  <c r="CK120" i="1"/>
  <c r="CJ120" i="1"/>
  <c r="CI120" i="1"/>
  <c r="CH120" i="1"/>
  <c r="CG120" i="1"/>
  <c r="CF120" i="1"/>
  <c r="BN229" i="1"/>
  <c r="AO228" i="1"/>
  <c r="BM227" i="1"/>
  <c r="AO227" i="1"/>
  <c r="AG227" i="1"/>
  <c r="BL226" i="1"/>
  <c r="BK226" i="1"/>
  <c r="BJ226" i="1"/>
  <c r="AO226" i="1"/>
  <c r="AG226" i="1"/>
  <c r="AG225" i="1"/>
  <c r="AO224" i="1"/>
  <c r="BN223" i="1"/>
  <c r="BM223" i="1"/>
  <c r="BL223" i="1"/>
  <c r="BK223" i="1"/>
  <c r="BI223" i="1"/>
  <c r="BH223" i="1"/>
  <c r="BG223" i="1"/>
  <c r="BF223" i="1"/>
  <c r="BB223" i="1"/>
  <c r="BA223" i="1"/>
  <c r="AZ223" i="1"/>
  <c r="AY223" i="1"/>
  <c r="X223" i="1"/>
  <c r="W223" i="1"/>
  <c r="V223" i="1"/>
  <c r="U223" i="1"/>
  <c r="T223" i="1"/>
  <c r="S223" i="1"/>
  <c r="R223" i="1"/>
  <c r="Q223" i="1"/>
  <c r="P223" i="1"/>
  <c r="O223" i="1"/>
  <c r="K223" i="1"/>
  <c r="J223" i="1"/>
  <c r="H223" i="1"/>
  <c r="CC222" i="1"/>
  <c r="CB222" i="1"/>
  <c r="BM222" i="1"/>
  <c r="X222" i="1"/>
  <c r="W222" i="1"/>
  <c r="V222" i="1"/>
  <c r="U222" i="1"/>
  <c r="T222" i="1"/>
  <c r="S222" i="1"/>
  <c r="R222" i="1"/>
  <c r="Q222" i="1"/>
  <c r="P222" i="1"/>
  <c r="O222" i="1"/>
  <c r="K222" i="1"/>
  <c r="J222" i="1"/>
  <c r="H222" i="1"/>
  <c r="BY221" i="1"/>
  <c r="BX221" i="1"/>
  <c r="BS221" i="1"/>
  <c r="BJ221" i="1"/>
  <c r="AL221" i="1"/>
  <c r="X221" i="1"/>
  <c r="W221" i="1"/>
  <c r="V221" i="1"/>
  <c r="U221" i="1"/>
  <c r="T221" i="1"/>
  <c r="S221" i="1"/>
  <c r="R221" i="1"/>
  <c r="Q221" i="1"/>
  <c r="P221" i="1"/>
  <c r="O221" i="1"/>
  <c r="N221" i="1"/>
  <c r="M221" i="1"/>
  <c r="L221" i="1"/>
  <c r="K221" i="1"/>
  <c r="J221" i="1"/>
  <c r="I221" i="1"/>
  <c r="H221" i="1"/>
  <c r="G221" i="1"/>
  <c r="F221" i="1"/>
  <c r="E221" i="1"/>
  <c r="CC220" i="1"/>
  <c r="CA220" i="1"/>
  <c r="BZ220" i="1"/>
  <c r="BY220" i="1"/>
  <c r="BW220" i="1"/>
  <c r="BN220" i="1"/>
  <c r="AU220" i="1"/>
  <c r="AB220" i="1"/>
  <c r="AA220" i="1"/>
  <c r="Z220"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D153" i="1"/>
  <c r="CD152" i="1"/>
  <c r="CD151" i="1"/>
  <c r="CD150" i="1"/>
  <c r="CD149" i="1"/>
  <c r="CD148" i="1"/>
  <c r="CD147" i="1"/>
  <c r="CD146" i="1"/>
  <c r="CD145" i="1"/>
  <c r="CD144" i="1"/>
  <c r="CD143" i="1"/>
  <c r="CD142" i="1"/>
  <c r="CD141" i="1"/>
  <c r="CD140" i="1"/>
  <c r="CD139" i="1"/>
  <c r="CD138" i="1"/>
  <c r="CD137" i="1"/>
  <c r="CD136" i="1"/>
  <c r="CD135" i="1"/>
  <c r="CD134" i="1"/>
  <c r="CD133" i="1"/>
  <c r="CD132" i="1"/>
  <c r="CD131" i="1"/>
  <c r="CD130" i="1"/>
  <c r="CD129" i="1"/>
  <c r="CD128" i="1"/>
  <c r="CD127" i="1"/>
  <c r="CD126" i="1"/>
  <c r="CD125" i="1"/>
  <c r="CD124" i="1"/>
  <c r="CD123" i="1"/>
  <c r="CD122" i="1"/>
  <c r="CD121" i="1"/>
  <c r="CD120"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C153" i="1"/>
  <c r="CC152" i="1"/>
  <c r="CC151" i="1"/>
  <c r="CC150" i="1"/>
  <c r="CC149" i="1"/>
  <c r="CC148" i="1"/>
  <c r="CC147" i="1"/>
  <c r="CC146" i="1"/>
  <c r="CC145" i="1"/>
  <c r="CC144" i="1"/>
  <c r="CC143" i="1"/>
  <c r="CC142" i="1"/>
  <c r="CC141" i="1"/>
  <c r="CC140" i="1"/>
  <c r="CC139" i="1"/>
  <c r="CC138" i="1"/>
  <c r="CC137" i="1"/>
  <c r="CC136" i="1"/>
  <c r="CC135" i="1"/>
  <c r="CC134" i="1"/>
  <c r="CC133" i="1"/>
  <c r="CC132" i="1"/>
  <c r="CC131" i="1"/>
  <c r="CC130" i="1"/>
  <c r="CC129" i="1"/>
  <c r="CC128" i="1"/>
  <c r="CC127" i="1"/>
  <c r="CC126" i="1"/>
  <c r="CC125" i="1"/>
  <c r="CC124" i="1"/>
  <c r="CC123" i="1"/>
  <c r="CC122" i="1"/>
  <c r="CC121" i="1"/>
  <c r="CC120"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B153" i="1"/>
  <c r="CB152" i="1"/>
  <c r="CB151" i="1"/>
  <c r="CB150" i="1"/>
  <c r="CB149" i="1"/>
  <c r="CB148" i="1"/>
  <c r="CB147" i="1"/>
  <c r="CB146" i="1"/>
  <c r="CB145" i="1"/>
  <c r="CB144" i="1"/>
  <c r="CB143" i="1"/>
  <c r="CB142" i="1"/>
  <c r="CB141" i="1"/>
  <c r="CB140" i="1"/>
  <c r="CB139" i="1"/>
  <c r="CB138" i="1"/>
  <c r="CB137" i="1"/>
  <c r="CB136" i="1"/>
  <c r="CB135" i="1"/>
  <c r="CB134" i="1"/>
  <c r="CB133" i="1"/>
  <c r="CB132" i="1"/>
  <c r="CB131" i="1"/>
  <c r="CB130" i="1"/>
  <c r="CB129" i="1"/>
  <c r="CB128" i="1"/>
  <c r="CB127" i="1"/>
  <c r="CB126" i="1"/>
  <c r="CB125" i="1"/>
  <c r="CB124" i="1"/>
  <c r="CB123" i="1"/>
  <c r="CB122" i="1"/>
  <c r="CB121" i="1"/>
  <c r="CB120"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CA142" i="1"/>
  <c r="CA141" i="1"/>
  <c r="CA140" i="1"/>
  <c r="CA139" i="1"/>
  <c r="CA138" i="1"/>
  <c r="CA137" i="1"/>
  <c r="CA136" i="1"/>
  <c r="CA135" i="1"/>
  <c r="CA134" i="1"/>
  <c r="CA133" i="1"/>
  <c r="CA132" i="1"/>
  <c r="CA131" i="1"/>
  <c r="CA130" i="1"/>
  <c r="CA129" i="1"/>
  <c r="CA128" i="1"/>
  <c r="CA127" i="1"/>
  <c r="CA126" i="1"/>
  <c r="CA125" i="1"/>
  <c r="CA124" i="1"/>
  <c r="CA123" i="1"/>
  <c r="CA122" i="1"/>
  <c r="CA121" i="1"/>
  <c r="CA120"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Z142" i="1"/>
  <c r="BZ141" i="1"/>
  <c r="BZ140" i="1"/>
  <c r="BZ139" i="1"/>
  <c r="BZ138" i="1"/>
  <c r="BZ137" i="1"/>
  <c r="BZ136" i="1"/>
  <c r="BZ135" i="1"/>
  <c r="BZ134" i="1"/>
  <c r="BZ133" i="1"/>
  <c r="BZ132" i="1"/>
  <c r="BZ131" i="1"/>
  <c r="BZ130" i="1"/>
  <c r="BZ129" i="1"/>
  <c r="BZ128" i="1"/>
  <c r="BZ127" i="1"/>
  <c r="BZ126" i="1"/>
  <c r="BZ125" i="1"/>
  <c r="BZ124" i="1"/>
  <c r="BZ123" i="1"/>
  <c r="BZ122" i="1"/>
  <c r="BZ121" i="1"/>
  <c r="BZ120"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Y153" i="1"/>
  <c r="BY152" i="1"/>
  <c r="BY151" i="1"/>
  <c r="BY150" i="1"/>
  <c r="BY149" i="1"/>
  <c r="BY148" i="1"/>
  <c r="BY147" i="1"/>
  <c r="BY146" i="1"/>
  <c r="BY145" i="1"/>
  <c r="BY144" i="1"/>
  <c r="BY143" i="1"/>
  <c r="BY142" i="1"/>
  <c r="BY141" i="1"/>
  <c r="BY140" i="1"/>
  <c r="BY139" i="1"/>
  <c r="BY138" i="1"/>
  <c r="BY137" i="1"/>
  <c r="BY136" i="1"/>
  <c r="BY135" i="1"/>
  <c r="BY134" i="1"/>
  <c r="BY133" i="1"/>
  <c r="BY132" i="1"/>
  <c r="BY131" i="1"/>
  <c r="BY130" i="1"/>
  <c r="BY129" i="1"/>
  <c r="BY128" i="1"/>
  <c r="BY127" i="1"/>
  <c r="BY126" i="1"/>
  <c r="BY125" i="1"/>
  <c r="BY124" i="1"/>
  <c r="BY123" i="1"/>
  <c r="BY122" i="1"/>
  <c r="BY121" i="1"/>
  <c r="BY120"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X153" i="1"/>
  <c r="BX152" i="1"/>
  <c r="BX151" i="1"/>
  <c r="BX150" i="1"/>
  <c r="BX149" i="1"/>
  <c r="BX148" i="1"/>
  <c r="BX147" i="1"/>
  <c r="BX146" i="1"/>
  <c r="BX145" i="1"/>
  <c r="BX144" i="1"/>
  <c r="BX143" i="1"/>
  <c r="BX142" i="1"/>
  <c r="BX141" i="1"/>
  <c r="BX140" i="1"/>
  <c r="BX139" i="1"/>
  <c r="BX138" i="1"/>
  <c r="BX137" i="1"/>
  <c r="BX136" i="1"/>
  <c r="BX135" i="1"/>
  <c r="BX134" i="1"/>
  <c r="BX133" i="1"/>
  <c r="BX132" i="1"/>
  <c r="BX131" i="1"/>
  <c r="BX130" i="1"/>
  <c r="BX129" i="1"/>
  <c r="BX128" i="1"/>
  <c r="BX127" i="1"/>
  <c r="BX126" i="1"/>
  <c r="BX125" i="1"/>
  <c r="BX124" i="1"/>
  <c r="BX123" i="1"/>
  <c r="BX122" i="1"/>
  <c r="BX121" i="1"/>
  <c r="BX120"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W153" i="1"/>
  <c r="BW152" i="1"/>
  <c r="BW151" i="1"/>
  <c r="BW150" i="1"/>
  <c r="BW149" i="1"/>
  <c r="BW148" i="1"/>
  <c r="BW147" i="1"/>
  <c r="BW146" i="1"/>
  <c r="BW145" i="1"/>
  <c r="BW144" i="1"/>
  <c r="BW143" i="1"/>
  <c r="BW142" i="1"/>
  <c r="BW141" i="1"/>
  <c r="BW140" i="1"/>
  <c r="BW139" i="1"/>
  <c r="BW138" i="1"/>
  <c r="BW137" i="1"/>
  <c r="BW136" i="1"/>
  <c r="BW135" i="1"/>
  <c r="BW134" i="1"/>
  <c r="BW133" i="1"/>
  <c r="BW132" i="1"/>
  <c r="BW131" i="1"/>
  <c r="BW130" i="1"/>
  <c r="BW129" i="1"/>
  <c r="BW128" i="1"/>
  <c r="BW127" i="1"/>
  <c r="BW126" i="1"/>
  <c r="BW125" i="1"/>
  <c r="BW124" i="1"/>
  <c r="BW123" i="1"/>
  <c r="BW122" i="1"/>
  <c r="BW121" i="1"/>
  <c r="BW120"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V142" i="1"/>
  <c r="BV141" i="1"/>
  <c r="BV140" i="1"/>
  <c r="BV139" i="1"/>
  <c r="BV138" i="1"/>
  <c r="BV137" i="1"/>
  <c r="BV136" i="1"/>
  <c r="BV135" i="1"/>
  <c r="BV134" i="1"/>
  <c r="BV133" i="1"/>
  <c r="BV132" i="1"/>
  <c r="BV131" i="1"/>
  <c r="BV130" i="1"/>
  <c r="BV129" i="1"/>
  <c r="BV128" i="1"/>
  <c r="BV127" i="1"/>
  <c r="BV126" i="1"/>
  <c r="BV125" i="1"/>
  <c r="BV124" i="1"/>
  <c r="BV123" i="1"/>
  <c r="BV122" i="1"/>
  <c r="BV121" i="1"/>
  <c r="BV120"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U153" i="1"/>
  <c r="BU152" i="1"/>
  <c r="BU151" i="1"/>
  <c r="BU150" i="1"/>
  <c r="BU149" i="1"/>
  <c r="BU148" i="1"/>
  <c r="BU147" i="1"/>
  <c r="BU146" i="1"/>
  <c r="BU145" i="1"/>
  <c r="BU144" i="1"/>
  <c r="BU143" i="1"/>
  <c r="BU142" i="1"/>
  <c r="BU141" i="1"/>
  <c r="BU140" i="1"/>
  <c r="BU139" i="1"/>
  <c r="BU138" i="1"/>
  <c r="BU137" i="1"/>
  <c r="BU136" i="1"/>
  <c r="BU135" i="1"/>
  <c r="BU134" i="1"/>
  <c r="BU133" i="1"/>
  <c r="BU132" i="1"/>
  <c r="BU131" i="1"/>
  <c r="BU130" i="1"/>
  <c r="BU129" i="1"/>
  <c r="BU128" i="1"/>
  <c r="BU127" i="1"/>
  <c r="BU126" i="1"/>
  <c r="BU125" i="1"/>
  <c r="BU124" i="1"/>
  <c r="BU123" i="1"/>
  <c r="BU122" i="1"/>
  <c r="BU121" i="1"/>
  <c r="BU120"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T153" i="1"/>
  <c r="BT152" i="1"/>
  <c r="BT151" i="1"/>
  <c r="BT150" i="1"/>
  <c r="BT149" i="1"/>
  <c r="BT148" i="1"/>
  <c r="BT147" i="1"/>
  <c r="BT146" i="1"/>
  <c r="BT145" i="1"/>
  <c r="BT144" i="1"/>
  <c r="BT143" i="1"/>
  <c r="BT142" i="1"/>
  <c r="BT141" i="1"/>
  <c r="BT140" i="1"/>
  <c r="BT139" i="1"/>
  <c r="BT138" i="1"/>
  <c r="BT137" i="1"/>
  <c r="BT136" i="1"/>
  <c r="BT135" i="1"/>
  <c r="BT134" i="1"/>
  <c r="BT133" i="1"/>
  <c r="BT132" i="1"/>
  <c r="BT131" i="1"/>
  <c r="BT130" i="1"/>
  <c r="BT129" i="1"/>
  <c r="BT128" i="1"/>
  <c r="BT127" i="1"/>
  <c r="BT126" i="1"/>
  <c r="BT125" i="1"/>
  <c r="BT124" i="1"/>
  <c r="BT123" i="1"/>
  <c r="BT122" i="1"/>
  <c r="BT121" i="1"/>
  <c r="BT120"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S153" i="1"/>
  <c r="BS152" i="1"/>
  <c r="BS151" i="1"/>
  <c r="BS150" i="1"/>
  <c r="BS149" i="1"/>
  <c r="BS148" i="1"/>
  <c r="BS147" i="1"/>
  <c r="BS146" i="1"/>
  <c r="BS145" i="1"/>
  <c r="BS144" i="1"/>
  <c r="BS143" i="1"/>
  <c r="BS142" i="1"/>
  <c r="BS141" i="1"/>
  <c r="BS140" i="1"/>
  <c r="BS139" i="1"/>
  <c r="BS138" i="1"/>
  <c r="BS137" i="1"/>
  <c r="BS136" i="1"/>
  <c r="BS135" i="1"/>
  <c r="BS134" i="1"/>
  <c r="BS133" i="1"/>
  <c r="BS132" i="1"/>
  <c r="BS131" i="1"/>
  <c r="BS130" i="1"/>
  <c r="BS129" i="1"/>
  <c r="BS128" i="1"/>
  <c r="BS127" i="1"/>
  <c r="BS126" i="1"/>
  <c r="BS125" i="1"/>
  <c r="BS124" i="1"/>
  <c r="BS123" i="1"/>
  <c r="BS122" i="1"/>
  <c r="BS121" i="1"/>
  <c r="BS120"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R153" i="1"/>
  <c r="BR152" i="1"/>
  <c r="BR151" i="1"/>
  <c r="BR150" i="1"/>
  <c r="BR149" i="1"/>
  <c r="BR148" i="1"/>
  <c r="BR147" i="1"/>
  <c r="BR146" i="1"/>
  <c r="BR145" i="1"/>
  <c r="BR144" i="1"/>
  <c r="BR143" i="1"/>
  <c r="BR142" i="1"/>
  <c r="BR141" i="1"/>
  <c r="BR140" i="1"/>
  <c r="BR139" i="1"/>
  <c r="BR138" i="1"/>
  <c r="BR137" i="1"/>
  <c r="BR136" i="1"/>
  <c r="BR135" i="1"/>
  <c r="BR134" i="1"/>
  <c r="BR133" i="1"/>
  <c r="BR132" i="1"/>
  <c r="BR131" i="1"/>
  <c r="BR130" i="1"/>
  <c r="BR129" i="1"/>
  <c r="BR128" i="1"/>
  <c r="BR127" i="1"/>
  <c r="BR126" i="1"/>
  <c r="BR125" i="1"/>
  <c r="BR124" i="1"/>
  <c r="BR123" i="1"/>
  <c r="BR122" i="1"/>
  <c r="BR121" i="1"/>
  <c r="BR120"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Q153" i="1"/>
  <c r="BQ152" i="1"/>
  <c r="BQ151" i="1"/>
  <c r="BQ150" i="1"/>
  <c r="BQ149" i="1"/>
  <c r="BQ148" i="1"/>
  <c r="BQ147" i="1"/>
  <c r="BQ146" i="1"/>
  <c r="BQ145" i="1"/>
  <c r="BQ144" i="1"/>
  <c r="BQ143" i="1"/>
  <c r="BQ142" i="1"/>
  <c r="BQ141" i="1"/>
  <c r="BQ140" i="1"/>
  <c r="BQ139" i="1"/>
  <c r="BQ138" i="1"/>
  <c r="BQ137" i="1"/>
  <c r="BQ136" i="1"/>
  <c r="BQ135" i="1"/>
  <c r="BQ134" i="1"/>
  <c r="BQ133" i="1"/>
  <c r="BQ132" i="1"/>
  <c r="BQ131" i="1"/>
  <c r="BQ130" i="1"/>
  <c r="BQ129" i="1"/>
  <c r="BQ128" i="1"/>
  <c r="BQ127" i="1"/>
  <c r="BQ126" i="1"/>
  <c r="BQ125" i="1"/>
  <c r="BQ124" i="1"/>
  <c r="BQ123" i="1"/>
  <c r="BQ122" i="1"/>
  <c r="BQ121" i="1"/>
  <c r="BQ120"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P153" i="1"/>
  <c r="BP152" i="1"/>
  <c r="BP151" i="1"/>
  <c r="BP150" i="1"/>
  <c r="BP149" i="1"/>
  <c r="BP148" i="1"/>
  <c r="BP147" i="1"/>
  <c r="BP146" i="1"/>
  <c r="BP145" i="1"/>
  <c r="BP144" i="1"/>
  <c r="BP143" i="1"/>
  <c r="BP142" i="1"/>
  <c r="BP141" i="1"/>
  <c r="BP140" i="1"/>
  <c r="BP139" i="1"/>
  <c r="BP138" i="1"/>
  <c r="BP137" i="1"/>
  <c r="BP136" i="1"/>
  <c r="BP135" i="1"/>
  <c r="BP134" i="1"/>
  <c r="BP133" i="1"/>
  <c r="BP132" i="1"/>
  <c r="BP131" i="1"/>
  <c r="BP130" i="1"/>
  <c r="BP129" i="1"/>
  <c r="BP128" i="1"/>
  <c r="BP127" i="1"/>
  <c r="BP126" i="1"/>
  <c r="BP125" i="1"/>
  <c r="BP124" i="1"/>
  <c r="BP123" i="1"/>
  <c r="BP122" i="1"/>
  <c r="BP121" i="1"/>
  <c r="BP120"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O127" i="1"/>
  <c r="BO126" i="1"/>
  <c r="BO125" i="1"/>
  <c r="BO124" i="1"/>
  <c r="BO123" i="1"/>
  <c r="BO122" i="1"/>
  <c r="BO121" i="1"/>
  <c r="BO120"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N153" i="1"/>
  <c r="BN152" i="1"/>
  <c r="BN151" i="1"/>
  <c r="BN150" i="1"/>
  <c r="BN149" i="1"/>
  <c r="BN148" i="1"/>
  <c r="BN147" i="1"/>
  <c r="BN146" i="1"/>
  <c r="BN145" i="1"/>
  <c r="BN144" i="1"/>
  <c r="BN143" i="1"/>
  <c r="BN142" i="1"/>
  <c r="BN141" i="1"/>
  <c r="BN140" i="1"/>
  <c r="BN139" i="1"/>
  <c r="BN138" i="1"/>
  <c r="BN137" i="1"/>
  <c r="BN136" i="1"/>
  <c r="BN135" i="1"/>
  <c r="BN134" i="1"/>
  <c r="BN133" i="1"/>
  <c r="BN132" i="1"/>
  <c r="BN131" i="1"/>
  <c r="BN130" i="1"/>
  <c r="BN129" i="1"/>
  <c r="BN128" i="1"/>
  <c r="BN127" i="1"/>
  <c r="BN126" i="1"/>
  <c r="BN125" i="1"/>
  <c r="BN124" i="1"/>
  <c r="BN123" i="1"/>
  <c r="BN122" i="1"/>
  <c r="BN121" i="1"/>
  <c r="BN120"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M153" i="1"/>
  <c r="BM152" i="1"/>
  <c r="BM151" i="1"/>
  <c r="BM150" i="1"/>
  <c r="BM149" i="1"/>
  <c r="BM148" i="1"/>
  <c r="BM147" i="1"/>
  <c r="BM146" i="1"/>
  <c r="BM145" i="1"/>
  <c r="BM144" i="1"/>
  <c r="BM143" i="1"/>
  <c r="BM142" i="1"/>
  <c r="BM141" i="1"/>
  <c r="BM140" i="1"/>
  <c r="BM139" i="1"/>
  <c r="BM138" i="1"/>
  <c r="BM137" i="1"/>
  <c r="BM136" i="1"/>
  <c r="BM135" i="1"/>
  <c r="BM134" i="1"/>
  <c r="BM133" i="1"/>
  <c r="BM132" i="1"/>
  <c r="BM131" i="1"/>
  <c r="BM130" i="1"/>
  <c r="BM129" i="1"/>
  <c r="BM128" i="1"/>
  <c r="BM127" i="1"/>
  <c r="BM126" i="1"/>
  <c r="BM125" i="1"/>
  <c r="BM124" i="1"/>
  <c r="BM123" i="1"/>
  <c r="BM122" i="1"/>
  <c r="BM121" i="1"/>
  <c r="BM120"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L142" i="1"/>
  <c r="BL141" i="1"/>
  <c r="BL140" i="1"/>
  <c r="BL139" i="1"/>
  <c r="BL138" i="1"/>
  <c r="BL137" i="1"/>
  <c r="BL136" i="1"/>
  <c r="BL135" i="1"/>
  <c r="BL134" i="1"/>
  <c r="BL133" i="1"/>
  <c r="BL132" i="1"/>
  <c r="BL131" i="1"/>
  <c r="BL130" i="1"/>
  <c r="BL129" i="1"/>
  <c r="BL128" i="1"/>
  <c r="BL127" i="1"/>
  <c r="BL126" i="1"/>
  <c r="BL125" i="1"/>
  <c r="BL124" i="1"/>
  <c r="BL123" i="1"/>
  <c r="BL122" i="1"/>
  <c r="BL121" i="1"/>
  <c r="BL120"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K153" i="1"/>
  <c r="BK152" i="1"/>
  <c r="BK151" i="1"/>
  <c r="BK150" i="1"/>
  <c r="BK149" i="1"/>
  <c r="BK148" i="1"/>
  <c r="BK147" i="1"/>
  <c r="BK146" i="1"/>
  <c r="BK145" i="1"/>
  <c r="BK144" i="1"/>
  <c r="BK143" i="1"/>
  <c r="BK142" i="1"/>
  <c r="BK141" i="1"/>
  <c r="BK140" i="1"/>
  <c r="BK139" i="1"/>
  <c r="BK138" i="1"/>
  <c r="BK137" i="1"/>
  <c r="BK136" i="1"/>
  <c r="BK135" i="1"/>
  <c r="BK134" i="1"/>
  <c r="BK133" i="1"/>
  <c r="BK132" i="1"/>
  <c r="BK131" i="1"/>
  <c r="BK130" i="1"/>
  <c r="BK129" i="1"/>
  <c r="BK128" i="1"/>
  <c r="BK127" i="1"/>
  <c r="BK126" i="1"/>
  <c r="BK125" i="1"/>
  <c r="BK124" i="1"/>
  <c r="BK123" i="1"/>
  <c r="BK122" i="1"/>
  <c r="BK121" i="1"/>
  <c r="BK120"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J133" i="1"/>
  <c r="BJ132" i="1"/>
  <c r="BJ131" i="1"/>
  <c r="BJ130" i="1"/>
  <c r="BJ129" i="1"/>
  <c r="BJ128" i="1"/>
  <c r="BJ127" i="1"/>
  <c r="BJ126" i="1"/>
  <c r="BJ125" i="1"/>
  <c r="BJ124" i="1"/>
  <c r="BJ123" i="1"/>
  <c r="BJ122" i="1"/>
  <c r="BJ121" i="1"/>
  <c r="BJ120"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I142" i="1"/>
  <c r="BI141" i="1"/>
  <c r="BI140" i="1"/>
  <c r="BI139" i="1"/>
  <c r="BI138" i="1"/>
  <c r="BI137" i="1"/>
  <c r="BI136" i="1"/>
  <c r="BI135" i="1"/>
  <c r="BI134" i="1"/>
  <c r="BI133" i="1"/>
  <c r="BI132" i="1"/>
  <c r="BI131" i="1"/>
  <c r="BI130" i="1"/>
  <c r="BI129" i="1"/>
  <c r="BI128" i="1"/>
  <c r="BI127" i="1"/>
  <c r="BI126" i="1"/>
  <c r="BI125" i="1"/>
  <c r="BI124" i="1"/>
  <c r="BI123" i="1"/>
  <c r="BI122" i="1"/>
  <c r="BI121" i="1"/>
  <c r="BI120"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H127" i="1"/>
  <c r="BH126" i="1"/>
  <c r="BH125" i="1"/>
  <c r="BH124" i="1"/>
  <c r="BH123" i="1"/>
  <c r="BH122" i="1"/>
  <c r="BH121" i="1"/>
  <c r="BH120"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G153" i="1"/>
  <c r="BG152" i="1"/>
  <c r="BG151" i="1"/>
  <c r="BG150" i="1"/>
  <c r="BG149" i="1"/>
  <c r="BG148" i="1"/>
  <c r="BG147" i="1"/>
  <c r="BG146" i="1"/>
  <c r="BG145" i="1"/>
  <c r="BG144" i="1"/>
  <c r="BG143" i="1"/>
  <c r="BG142" i="1"/>
  <c r="BG141" i="1"/>
  <c r="BG140" i="1"/>
  <c r="BG139" i="1"/>
  <c r="BG138" i="1"/>
  <c r="BG137" i="1"/>
  <c r="BG136" i="1"/>
  <c r="BG135" i="1"/>
  <c r="BG134" i="1"/>
  <c r="BG133" i="1"/>
  <c r="BG132" i="1"/>
  <c r="BG131" i="1"/>
  <c r="BG130" i="1"/>
  <c r="BG129" i="1"/>
  <c r="BG128" i="1"/>
  <c r="BG127" i="1"/>
  <c r="BG126" i="1"/>
  <c r="BG125" i="1"/>
  <c r="BG124" i="1"/>
  <c r="BG123" i="1"/>
  <c r="BG122" i="1"/>
  <c r="BG121" i="1"/>
  <c r="BG120"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F153" i="1"/>
  <c r="BF152" i="1"/>
  <c r="BF151" i="1"/>
  <c r="BF150" i="1"/>
  <c r="BF149" i="1"/>
  <c r="BF148" i="1"/>
  <c r="BF147" i="1"/>
  <c r="BF146" i="1"/>
  <c r="BF145" i="1"/>
  <c r="BF144" i="1"/>
  <c r="BF143" i="1"/>
  <c r="BF142" i="1"/>
  <c r="BF141" i="1"/>
  <c r="BF140" i="1"/>
  <c r="BF139" i="1"/>
  <c r="BF138" i="1"/>
  <c r="BF137" i="1"/>
  <c r="BF136" i="1"/>
  <c r="BF135" i="1"/>
  <c r="BF134" i="1"/>
  <c r="BF133" i="1"/>
  <c r="BF132" i="1"/>
  <c r="BF131" i="1"/>
  <c r="BF130" i="1"/>
  <c r="BF129" i="1"/>
  <c r="BF128" i="1"/>
  <c r="BF127" i="1"/>
  <c r="BF126" i="1"/>
  <c r="BF125" i="1"/>
  <c r="BF124" i="1"/>
  <c r="BF123" i="1"/>
  <c r="BF122" i="1"/>
  <c r="BF121" i="1"/>
  <c r="BF120"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D142" i="1"/>
  <c r="BD141" i="1"/>
  <c r="BD140" i="1"/>
  <c r="BD139" i="1"/>
  <c r="BD138" i="1"/>
  <c r="BD137" i="1"/>
  <c r="BD136" i="1"/>
  <c r="BD135" i="1"/>
  <c r="BD134" i="1"/>
  <c r="BD133" i="1"/>
  <c r="BD132" i="1"/>
  <c r="BD131" i="1"/>
  <c r="BD130" i="1"/>
  <c r="BD129" i="1"/>
  <c r="BD128" i="1"/>
  <c r="BD127" i="1"/>
  <c r="BD126" i="1"/>
  <c r="BD125" i="1"/>
  <c r="BD124" i="1"/>
  <c r="BD123" i="1"/>
  <c r="BD122" i="1"/>
  <c r="BD121" i="1"/>
  <c r="BD120"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C142" i="1"/>
  <c r="BC141" i="1"/>
  <c r="BC140" i="1"/>
  <c r="BC139" i="1"/>
  <c r="BC138" i="1"/>
  <c r="BC137" i="1"/>
  <c r="BC136" i="1"/>
  <c r="BC135" i="1"/>
  <c r="BC134" i="1"/>
  <c r="BC133" i="1"/>
  <c r="BC132" i="1"/>
  <c r="BC131" i="1"/>
  <c r="BC130" i="1"/>
  <c r="BC129" i="1"/>
  <c r="BC128" i="1"/>
  <c r="BC127" i="1"/>
  <c r="BC126" i="1"/>
  <c r="BC125" i="1"/>
  <c r="BC124" i="1"/>
  <c r="BC123" i="1"/>
  <c r="BC122" i="1"/>
  <c r="BC121" i="1"/>
  <c r="BC120"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BB149" i="1"/>
  <c r="BB148" i="1"/>
  <c r="BB147" i="1"/>
  <c r="BB146" i="1"/>
  <c r="BB145" i="1"/>
  <c r="BB144" i="1"/>
  <c r="BB143" i="1"/>
  <c r="BB142" i="1"/>
  <c r="BB141" i="1"/>
  <c r="BB140" i="1"/>
  <c r="BB139" i="1"/>
  <c r="BB138" i="1"/>
  <c r="BB137" i="1"/>
  <c r="BB136" i="1"/>
  <c r="BB135" i="1"/>
  <c r="BB134" i="1"/>
  <c r="BB133" i="1"/>
  <c r="BB132" i="1"/>
  <c r="BB131" i="1"/>
  <c r="BB130" i="1"/>
  <c r="BB129" i="1"/>
  <c r="BB128" i="1"/>
  <c r="BB127" i="1"/>
  <c r="BB126" i="1"/>
  <c r="BB125" i="1"/>
  <c r="BB124" i="1"/>
  <c r="BB123" i="1"/>
  <c r="BB122" i="1"/>
  <c r="BB121" i="1"/>
  <c r="BB120"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BA127" i="1"/>
  <c r="BA126" i="1"/>
  <c r="BA125" i="1"/>
  <c r="BA124" i="1"/>
  <c r="BA123" i="1"/>
  <c r="BA122" i="1"/>
  <c r="BA121" i="1"/>
  <c r="BA120"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Y153" i="1"/>
  <c r="AY152" i="1"/>
  <c r="AY151" i="1"/>
  <c r="AY150" i="1"/>
  <c r="AY149" i="1"/>
  <c r="AY148" i="1"/>
  <c r="AY147" i="1"/>
  <c r="AY146" i="1"/>
  <c r="AY145" i="1"/>
  <c r="AY144" i="1"/>
  <c r="AY143" i="1"/>
  <c r="AY142" i="1"/>
  <c r="AY141" i="1"/>
  <c r="AY140" i="1"/>
  <c r="AY139" i="1"/>
  <c r="AY138" i="1"/>
  <c r="AY137" i="1"/>
  <c r="AY136" i="1"/>
  <c r="AY135" i="1"/>
  <c r="AY134" i="1"/>
  <c r="AY133" i="1"/>
  <c r="AY132" i="1"/>
  <c r="AY131" i="1"/>
  <c r="AY130" i="1"/>
  <c r="AY129" i="1"/>
  <c r="AY128" i="1"/>
  <c r="AY127" i="1"/>
  <c r="AY126" i="1"/>
  <c r="AY125" i="1"/>
  <c r="AY124" i="1"/>
  <c r="AY123" i="1"/>
  <c r="AY122" i="1"/>
  <c r="AY121" i="1"/>
  <c r="AY120"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X133" i="1"/>
  <c r="AX132" i="1"/>
  <c r="AX131" i="1"/>
  <c r="AX130" i="1"/>
  <c r="AX129" i="1"/>
  <c r="AX128" i="1"/>
  <c r="AX127" i="1"/>
  <c r="AX126" i="1"/>
  <c r="AX125" i="1"/>
  <c r="AX124" i="1"/>
  <c r="AX123" i="1"/>
  <c r="AX122" i="1"/>
  <c r="AX121" i="1"/>
  <c r="AX120"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W133" i="1"/>
  <c r="AW132" i="1"/>
  <c r="AW131" i="1"/>
  <c r="AW130" i="1"/>
  <c r="AW129" i="1"/>
  <c r="AW128" i="1"/>
  <c r="AW127" i="1"/>
  <c r="AW126" i="1"/>
  <c r="AW125" i="1"/>
  <c r="AW124" i="1"/>
  <c r="AW123" i="1"/>
  <c r="AW122" i="1"/>
  <c r="AW121" i="1"/>
  <c r="AW120"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V133" i="1"/>
  <c r="AV132" i="1"/>
  <c r="AV131" i="1"/>
  <c r="AV130" i="1"/>
  <c r="AV129" i="1"/>
  <c r="AV128" i="1"/>
  <c r="AV127" i="1"/>
  <c r="AV126" i="1"/>
  <c r="AV125" i="1"/>
  <c r="AV124" i="1"/>
  <c r="AV123" i="1"/>
  <c r="AV122" i="1"/>
  <c r="AV121" i="1"/>
  <c r="AV120"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T127" i="1"/>
  <c r="AT126" i="1"/>
  <c r="AT125" i="1"/>
  <c r="AT124" i="1"/>
  <c r="AT123" i="1"/>
  <c r="AT122" i="1"/>
  <c r="AT121" i="1"/>
  <c r="AT120"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S147" i="1"/>
  <c r="AS146" i="1"/>
  <c r="AS145" i="1"/>
  <c r="AS144" i="1"/>
  <c r="AS143" i="1"/>
  <c r="AS142" i="1"/>
  <c r="AS141" i="1"/>
  <c r="AS140" i="1"/>
  <c r="AS139" i="1"/>
  <c r="AS138" i="1"/>
  <c r="AS137" i="1"/>
  <c r="AS136" i="1"/>
  <c r="AS135" i="1"/>
  <c r="AS134" i="1"/>
  <c r="AS133" i="1"/>
  <c r="AS132" i="1"/>
  <c r="AS131" i="1"/>
  <c r="AS130" i="1"/>
  <c r="AS129" i="1"/>
  <c r="AS128" i="1"/>
  <c r="AS127" i="1"/>
  <c r="AS126" i="1"/>
  <c r="AS125" i="1"/>
  <c r="AS124" i="1"/>
  <c r="AS123" i="1"/>
  <c r="AS122" i="1"/>
  <c r="AS121" i="1"/>
  <c r="AS120"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6" i="1"/>
  <c r="AR165" i="1"/>
  <c r="AR164" i="1"/>
  <c r="AR163" i="1"/>
  <c r="AR162" i="1"/>
  <c r="AR161" i="1"/>
  <c r="AR160" i="1"/>
  <c r="AR159" i="1"/>
  <c r="AR158" i="1"/>
  <c r="AR157" i="1"/>
  <c r="AR156" i="1"/>
  <c r="AR155" i="1"/>
  <c r="AR154" i="1"/>
  <c r="AR153" i="1"/>
  <c r="AR152" i="1"/>
  <c r="AR151" i="1"/>
  <c r="AR150" i="1"/>
  <c r="AR149" i="1"/>
  <c r="AR148" i="1"/>
  <c r="AR147" i="1"/>
  <c r="AR146" i="1"/>
  <c r="AR145" i="1"/>
  <c r="AR144" i="1"/>
  <c r="AR143" i="1"/>
  <c r="AR142" i="1"/>
  <c r="AR141" i="1"/>
  <c r="AR140" i="1"/>
  <c r="AR139" i="1"/>
  <c r="AR138" i="1"/>
  <c r="AR137" i="1"/>
  <c r="AR136" i="1"/>
  <c r="AR135" i="1"/>
  <c r="AR134" i="1"/>
  <c r="AR133" i="1"/>
  <c r="AR132" i="1"/>
  <c r="AR131" i="1"/>
  <c r="AR130" i="1"/>
  <c r="AR129" i="1"/>
  <c r="AR128" i="1"/>
  <c r="AR127" i="1"/>
  <c r="AR126" i="1"/>
  <c r="AR125" i="1"/>
  <c r="AR124" i="1"/>
  <c r="AR123" i="1"/>
  <c r="AR122" i="1"/>
  <c r="AR121" i="1"/>
  <c r="AR120"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Q142" i="1"/>
  <c r="AQ141" i="1"/>
  <c r="AQ140" i="1"/>
  <c r="AQ139" i="1"/>
  <c r="AQ138" i="1"/>
  <c r="AQ137" i="1"/>
  <c r="AQ136" i="1"/>
  <c r="AQ135" i="1"/>
  <c r="AQ134" i="1"/>
  <c r="AQ133" i="1"/>
  <c r="AQ132" i="1"/>
  <c r="AQ131" i="1"/>
  <c r="AQ130" i="1"/>
  <c r="AQ129" i="1"/>
  <c r="AQ128" i="1"/>
  <c r="AQ127" i="1"/>
  <c r="AQ126" i="1"/>
  <c r="AQ125" i="1"/>
  <c r="AQ124" i="1"/>
  <c r="AQ123" i="1"/>
  <c r="AQ122" i="1"/>
  <c r="AQ121" i="1"/>
  <c r="AQ120"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P153" i="1"/>
  <c r="AP152" i="1"/>
  <c r="AP151" i="1"/>
  <c r="AP150" i="1"/>
  <c r="AP149" i="1"/>
  <c r="AP148" i="1"/>
  <c r="AP147" i="1"/>
  <c r="AP146" i="1"/>
  <c r="AP145" i="1"/>
  <c r="AP144" i="1"/>
  <c r="AP143" i="1"/>
  <c r="AP142" i="1"/>
  <c r="AP141" i="1"/>
  <c r="AP140" i="1"/>
  <c r="AP139" i="1"/>
  <c r="AP138" i="1"/>
  <c r="AP137" i="1"/>
  <c r="AP136" i="1"/>
  <c r="AP135" i="1"/>
  <c r="AP134" i="1"/>
  <c r="AP133" i="1"/>
  <c r="AP132" i="1"/>
  <c r="AP131" i="1"/>
  <c r="AP130" i="1"/>
  <c r="AP129" i="1"/>
  <c r="AP128" i="1"/>
  <c r="AP127" i="1"/>
  <c r="AP126" i="1"/>
  <c r="AP125" i="1"/>
  <c r="AP124" i="1"/>
  <c r="AP123" i="1"/>
  <c r="AP122" i="1"/>
  <c r="AP121" i="1"/>
  <c r="AP120"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O148" i="1"/>
  <c r="AO147" i="1"/>
  <c r="AO146" i="1"/>
  <c r="AO145" i="1"/>
  <c r="AO144" i="1"/>
  <c r="AO143" i="1"/>
  <c r="AO142" i="1"/>
  <c r="AO141" i="1"/>
  <c r="AO140" i="1"/>
  <c r="AO139" i="1"/>
  <c r="AO138" i="1"/>
  <c r="AO137" i="1"/>
  <c r="AO136" i="1"/>
  <c r="AO135" i="1"/>
  <c r="AO134" i="1"/>
  <c r="AO133" i="1"/>
  <c r="AO132" i="1"/>
  <c r="AO131" i="1"/>
  <c r="AO130" i="1"/>
  <c r="AO129" i="1"/>
  <c r="AO128" i="1"/>
  <c r="AO127" i="1"/>
  <c r="AO126" i="1"/>
  <c r="AO125" i="1"/>
  <c r="AO124" i="1"/>
  <c r="AO123" i="1"/>
  <c r="AO122" i="1"/>
  <c r="AO121" i="1"/>
  <c r="AO120"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N133" i="1"/>
  <c r="AN132" i="1"/>
  <c r="AN131" i="1"/>
  <c r="AN130" i="1"/>
  <c r="AN129" i="1"/>
  <c r="AN128" i="1"/>
  <c r="AN127" i="1"/>
  <c r="AN126" i="1"/>
  <c r="AN125" i="1"/>
  <c r="AN124" i="1"/>
  <c r="AN123" i="1"/>
  <c r="AN122" i="1"/>
  <c r="AN121" i="1"/>
  <c r="AN120"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M142" i="1"/>
  <c r="AM141" i="1"/>
  <c r="AM140" i="1"/>
  <c r="AM139" i="1"/>
  <c r="AM138" i="1"/>
  <c r="AM137" i="1"/>
  <c r="AM136" i="1"/>
  <c r="AM135" i="1"/>
  <c r="AM134" i="1"/>
  <c r="AM133" i="1"/>
  <c r="AM132" i="1"/>
  <c r="AM131" i="1"/>
  <c r="AM130" i="1"/>
  <c r="AM129" i="1"/>
  <c r="AM128" i="1"/>
  <c r="AM127" i="1"/>
  <c r="AM126" i="1"/>
  <c r="AM125" i="1"/>
  <c r="AM124" i="1"/>
  <c r="AM123" i="1"/>
  <c r="AM122" i="1"/>
  <c r="AM121" i="1"/>
  <c r="AM120" i="1"/>
  <c r="AL216" i="1"/>
  <c r="AL215" i="1"/>
  <c r="AL214" i="1"/>
  <c r="AL213" i="1"/>
  <c r="AL212" i="1"/>
  <c r="AL211" i="1"/>
  <c r="AL210" i="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L142" i="1"/>
  <c r="AL141" i="1"/>
  <c r="AL140" i="1"/>
  <c r="AL139" i="1"/>
  <c r="AL138" i="1"/>
  <c r="AL137" i="1"/>
  <c r="AL136" i="1"/>
  <c r="AL135" i="1"/>
  <c r="AL134" i="1"/>
  <c r="AL133" i="1"/>
  <c r="AL132" i="1"/>
  <c r="AL131" i="1"/>
  <c r="AL130" i="1"/>
  <c r="AL129" i="1"/>
  <c r="AL128" i="1"/>
  <c r="AL127" i="1"/>
  <c r="AL126" i="1"/>
  <c r="AL125" i="1"/>
  <c r="AL124" i="1"/>
  <c r="AL123" i="1"/>
  <c r="AL122" i="1"/>
  <c r="AL121" i="1"/>
  <c r="AL120"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J127" i="1"/>
  <c r="AJ126" i="1"/>
  <c r="AJ125" i="1"/>
  <c r="AJ124" i="1"/>
  <c r="AJ123" i="1"/>
  <c r="AJ122" i="1"/>
  <c r="AJ121" i="1"/>
  <c r="AJ120"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G159" i="1"/>
  <c r="AG158" i="1"/>
  <c r="AG157" i="1"/>
  <c r="AG156" i="1"/>
  <c r="AG155" i="1"/>
  <c r="AG154" i="1"/>
  <c r="AG153" i="1"/>
  <c r="AG152" i="1"/>
  <c r="AG151" i="1"/>
  <c r="AG150" i="1"/>
  <c r="AG149" i="1"/>
  <c r="AG148" i="1"/>
  <c r="AG147" i="1"/>
  <c r="AG146" i="1"/>
  <c r="AG145" i="1"/>
  <c r="AG144" i="1"/>
  <c r="AG143" i="1"/>
  <c r="AG142" i="1"/>
  <c r="AG141" i="1"/>
  <c r="AG140" i="1"/>
  <c r="AG139" i="1"/>
  <c r="AG138" i="1"/>
  <c r="AG137" i="1"/>
  <c r="AG136" i="1"/>
  <c r="AG135" i="1"/>
  <c r="AG134" i="1"/>
  <c r="AG133" i="1"/>
  <c r="AG132" i="1"/>
  <c r="AG131" i="1"/>
  <c r="AG130" i="1"/>
  <c r="AG129" i="1"/>
  <c r="AG128" i="1"/>
  <c r="AG127" i="1"/>
  <c r="AG126" i="1"/>
  <c r="AG125" i="1"/>
  <c r="AG124" i="1"/>
  <c r="AG123" i="1"/>
  <c r="AG122" i="1"/>
  <c r="AG121" i="1"/>
  <c r="AG120"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F127" i="1"/>
  <c r="AF126" i="1"/>
  <c r="AF125" i="1"/>
  <c r="AF124" i="1"/>
  <c r="AF123" i="1"/>
  <c r="AF122" i="1"/>
  <c r="AF121" i="1"/>
  <c r="AF120"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5" i="1"/>
  <c r="AC144" i="1"/>
  <c r="AC143" i="1"/>
  <c r="AC142" i="1"/>
  <c r="AC141" i="1"/>
  <c r="AC140" i="1"/>
  <c r="AC139" i="1"/>
  <c r="AC138" i="1"/>
  <c r="AC137" i="1"/>
  <c r="AC136" i="1"/>
  <c r="AC135" i="1"/>
  <c r="AC134" i="1"/>
  <c r="AC133" i="1"/>
  <c r="AC132" i="1"/>
  <c r="AC131" i="1"/>
  <c r="AC130" i="1"/>
  <c r="AC129" i="1"/>
  <c r="AC128" i="1"/>
  <c r="AC127" i="1"/>
  <c r="AC126" i="1"/>
  <c r="AC125" i="1"/>
  <c r="AC124" i="1"/>
  <c r="AC123" i="1"/>
  <c r="AC122" i="1"/>
  <c r="AC121" i="1"/>
  <c r="AC120"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D238" i="36"/>
  <c r="D277" i="36"/>
  <c r="D345" i="9"/>
  <c r="D276" i="36"/>
  <c r="D219" i="36"/>
  <c r="D273" i="36"/>
  <c r="D212" i="36"/>
  <c r="D217" i="36"/>
  <c r="D327" i="36"/>
  <c r="D328" i="36"/>
  <c r="D324" i="36"/>
  <c r="D337" i="36"/>
  <c r="E49" i="5"/>
  <c r="E43" i="5"/>
  <c r="E4" i="5"/>
  <c r="D331" i="36"/>
  <c r="E59" i="5"/>
  <c r="E69" i="5"/>
  <c r="D332" i="36"/>
  <c r="E68" i="5"/>
  <c r="E67" i="5"/>
  <c r="F28" i="4"/>
  <c r="E629" i="5"/>
  <c r="E628" i="5"/>
  <c r="E487" i="5"/>
  <c r="E499" i="5"/>
  <c r="D28" i="4"/>
  <c r="D29" i="4"/>
  <c r="D30" i="4"/>
  <c r="D31" i="4"/>
  <c r="D32" i="4"/>
  <c r="D33" i="4"/>
  <c r="D34" i="4"/>
  <c r="D35" i="4"/>
  <c r="D36" i="4"/>
  <c r="D37" i="4"/>
  <c r="D38" i="4"/>
  <c r="D39" i="4"/>
  <c r="D40" i="4"/>
  <c r="D4" i="20"/>
  <c r="F29" i="4"/>
  <c r="F30" i="4"/>
  <c r="F31" i="4"/>
  <c r="F32" i="4"/>
  <c r="F33" i="4"/>
  <c r="F34" i="4"/>
  <c r="F35" i="4"/>
  <c r="F36" i="4"/>
  <c r="F37" i="4"/>
  <c r="F38" i="4"/>
  <c r="F39" i="4"/>
  <c r="F40" i="4"/>
  <c r="D6" i="20"/>
  <c r="D282" i="36"/>
  <c r="E598" i="5"/>
  <c r="K28" i="4"/>
  <c r="K29" i="4"/>
  <c r="K30" i="4"/>
  <c r="K31" i="4"/>
  <c r="E480" i="5"/>
  <c r="E519" i="5"/>
  <c r="E466" i="5"/>
  <c r="E465" i="5"/>
  <c r="E464" i="5"/>
  <c r="E473" i="5"/>
  <c r="E492" i="5"/>
  <c r="E481" i="5"/>
  <c r="E474" i="5"/>
  <c r="E493" i="5"/>
  <c r="K32" i="4"/>
  <c r="K33" i="4"/>
  <c r="K34" i="4"/>
  <c r="K35" i="4"/>
  <c r="K36" i="4"/>
  <c r="K37" i="4"/>
  <c r="K38" i="4"/>
  <c r="K39" i="4"/>
  <c r="K40" i="4"/>
  <c r="D11" i="20"/>
  <c r="E596" i="5"/>
  <c r="E591" i="5"/>
  <c r="E589" i="5"/>
  <c r="E616" i="5"/>
  <c r="E8" i="5"/>
  <c r="D234" i="36"/>
  <c r="E44" i="5"/>
  <c r="D215" i="36"/>
  <c r="E9" i="5"/>
  <c r="E617" i="5"/>
  <c r="Y28" i="4"/>
  <c r="Y29" i="4"/>
  <c r="Y30" i="4"/>
  <c r="Y31" i="4"/>
  <c r="Y32" i="4"/>
  <c r="Y33" i="4"/>
  <c r="Y34" i="4"/>
  <c r="Y35" i="4"/>
  <c r="Y36" i="4"/>
  <c r="Y37" i="4"/>
  <c r="Y38" i="4"/>
  <c r="Y39" i="4"/>
  <c r="Y40" i="4"/>
  <c r="D25" i="20"/>
  <c r="Q28" i="4"/>
  <c r="Q29" i="4"/>
  <c r="Q30" i="4"/>
  <c r="Q31" i="4"/>
  <c r="Q32" i="4"/>
  <c r="D300" i="36"/>
  <c r="E484" i="5"/>
  <c r="E475" i="5"/>
  <c r="E496" i="5"/>
  <c r="E483" i="5"/>
  <c r="E495" i="5"/>
  <c r="E482" i="5"/>
  <c r="E494" i="5"/>
  <c r="Q33" i="4"/>
  <c r="Q34" i="4"/>
  <c r="Q35" i="4"/>
  <c r="Q36" i="4"/>
  <c r="Q37" i="4"/>
  <c r="Q38" i="4"/>
  <c r="Q39" i="4"/>
  <c r="Q40" i="4"/>
  <c r="D17" i="20"/>
  <c r="E505" i="5"/>
  <c r="E106" i="5"/>
  <c r="E425" i="5"/>
  <c r="E109" i="5"/>
  <c r="U28" i="4"/>
  <c r="U29" i="4"/>
  <c r="U30" i="4"/>
  <c r="U31" i="4"/>
  <c r="U32" i="4"/>
  <c r="U33" i="4"/>
  <c r="U34" i="4"/>
  <c r="U35" i="4"/>
  <c r="U36" i="4"/>
  <c r="U37" i="4"/>
  <c r="U38" i="4"/>
  <c r="U39" i="4"/>
  <c r="U40" i="4"/>
  <c r="D21" i="20"/>
  <c r="G28" i="4"/>
  <c r="G29" i="4"/>
  <c r="G30" i="4"/>
  <c r="G31" i="4"/>
  <c r="G32" i="4"/>
  <c r="G33" i="4"/>
  <c r="G34" i="4"/>
  <c r="G35" i="4"/>
  <c r="G36" i="4"/>
  <c r="G37" i="4"/>
  <c r="G38" i="4"/>
  <c r="G39" i="4"/>
  <c r="G40" i="4"/>
  <c r="D7" i="20"/>
  <c r="E504" i="5"/>
  <c r="E90" i="5"/>
  <c r="E424" i="5"/>
  <c r="E93" i="5"/>
  <c r="T28" i="4"/>
  <c r="T29" i="4"/>
  <c r="T30" i="4"/>
  <c r="T31" i="4"/>
  <c r="T32" i="4"/>
  <c r="T33" i="4"/>
  <c r="T34" i="4"/>
  <c r="T35" i="4"/>
  <c r="T36" i="4"/>
  <c r="T37" i="4"/>
  <c r="T38" i="4"/>
  <c r="T39" i="4"/>
  <c r="T40" i="4"/>
  <c r="D20" i="20"/>
  <c r="P28" i="4"/>
  <c r="P29" i="4"/>
  <c r="P30" i="4"/>
  <c r="P31" i="4"/>
  <c r="P32" i="4"/>
  <c r="P33" i="4"/>
  <c r="P34" i="4"/>
  <c r="P35" i="4"/>
  <c r="P36" i="4"/>
  <c r="P37" i="4"/>
  <c r="P38" i="4"/>
  <c r="P39" i="4"/>
  <c r="P40" i="4"/>
  <c r="D16" i="20"/>
  <c r="D316" i="36"/>
  <c r="E507" i="5"/>
  <c r="E98" i="5"/>
  <c r="E422" i="5"/>
  <c r="E101" i="5"/>
  <c r="D315" i="36"/>
  <c r="E506" i="5"/>
  <c r="E94" i="5"/>
  <c r="E421" i="5"/>
  <c r="E97" i="5"/>
  <c r="M28" i="4"/>
  <c r="M29" i="4"/>
  <c r="M30" i="4"/>
  <c r="M31" i="4"/>
  <c r="M32" i="4"/>
  <c r="M33" i="4"/>
  <c r="M34" i="4"/>
  <c r="M35" i="4"/>
  <c r="M36" i="4"/>
  <c r="M37" i="4"/>
  <c r="M38" i="4"/>
  <c r="M39" i="4"/>
  <c r="M40" i="4"/>
  <c r="D13" i="20"/>
  <c r="D313" i="36"/>
  <c r="E503" i="5"/>
  <c r="E102" i="5"/>
  <c r="E423" i="5"/>
  <c r="E105" i="5"/>
  <c r="E301" i="5"/>
  <c r="E418" i="5"/>
  <c r="E419" i="5"/>
  <c r="E420" i="5"/>
  <c r="E459" i="5"/>
  <c r="E182" i="5"/>
  <c r="E344" i="5"/>
  <c r="E460" i="5"/>
  <c r="E73" i="5"/>
  <c r="E36" i="5"/>
  <c r="E74" i="5"/>
  <c r="E75" i="5"/>
  <c r="E76" i="5"/>
  <c r="E77" i="5"/>
  <c r="E86" i="5"/>
  <c r="E178" i="5"/>
  <c r="E339" i="5"/>
  <c r="E180" i="5"/>
  <c r="E345" i="5"/>
  <c r="E300" i="5"/>
  <c r="E415" i="5"/>
  <c r="E416" i="5"/>
  <c r="E417" i="5"/>
  <c r="E458" i="5"/>
  <c r="E276" i="5"/>
  <c r="E413" i="5"/>
  <c r="E274" i="5"/>
  <c r="E414" i="5"/>
  <c r="E272" i="5"/>
  <c r="E407" i="5"/>
  <c r="E412" i="5"/>
  <c r="E258" i="5"/>
  <c r="E332" i="5"/>
  <c r="E337" i="5"/>
  <c r="E188" i="5"/>
  <c r="E336" i="5"/>
  <c r="E186" i="5"/>
  <c r="E335" i="5"/>
  <c r="E454" i="5"/>
  <c r="E270" i="5"/>
  <c r="E411" i="5"/>
  <c r="E342" i="5"/>
  <c r="E343" i="5"/>
  <c r="E457" i="5"/>
  <c r="E456" i="5"/>
  <c r="E455" i="5"/>
  <c r="E410" i="5"/>
  <c r="E453" i="5"/>
  <c r="E268" i="5"/>
  <c r="E409" i="5"/>
  <c r="E408" i="5"/>
  <c r="E452" i="5"/>
  <c r="E249" i="5"/>
  <c r="E402" i="5"/>
  <c r="E247" i="5"/>
  <c r="E403" i="5"/>
  <c r="E406" i="5"/>
  <c r="E405" i="5"/>
  <c r="E451" i="5"/>
  <c r="E245" i="5"/>
  <c r="E404" i="5"/>
  <c r="E254" i="5"/>
  <c r="E333" i="5"/>
  <c r="E256" i="5"/>
  <c r="E334" i="5"/>
  <c r="E260" i="5"/>
  <c r="E329" i="5"/>
  <c r="E262" i="5"/>
  <c r="E328" i="5"/>
  <c r="E266" i="5"/>
  <c r="E330" i="5"/>
  <c r="E264" i="5"/>
  <c r="E331" i="5"/>
  <c r="E309" i="5"/>
  <c r="E450" i="5"/>
  <c r="E240" i="5"/>
  <c r="E397" i="5"/>
  <c r="E238" i="5"/>
  <c r="E398" i="5"/>
  <c r="E400" i="5"/>
  <c r="E399" i="5"/>
  <c r="E449" i="5"/>
  <c r="E230" i="5"/>
  <c r="E232" i="5"/>
  <c r="E401" i="5"/>
  <c r="E236" i="5"/>
  <c r="E299" i="5"/>
  <c r="E323" i="5"/>
  <c r="E307" i="5"/>
  <c r="E448" i="5"/>
  <c r="E171" i="5"/>
  <c r="E365" i="5"/>
  <c r="E169" i="5"/>
  <c r="E366" i="5"/>
  <c r="E370" i="5"/>
  <c r="E369" i="5"/>
  <c r="E447" i="5"/>
  <c r="E163" i="5"/>
  <c r="E367" i="5"/>
  <c r="E165" i="5"/>
  <c r="E368" i="5"/>
  <c r="L28" i="4"/>
  <c r="L29" i="4"/>
  <c r="L30" i="4"/>
  <c r="L31" i="4"/>
  <c r="L32" i="4"/>
  <c r="L33" i="4"/>
  <c r="L34" i="4"/>
  <c r="L35" i="4"/>
  <c r="L36" i="4"/>
  <c r="L37" i="4"/>
  <c r="L38" i="4"/>
  <c r="L39" i="4"/>
  <c r="L40" i="4"/>
  <c r="D12" i="20"/>
  <c r="E168" i="5"/>
  <c r="E288" i="5"/>
  <c r="E319" i="5"/>
  <c r="E305" i="5"/>
  <c r="E173" i="5"/>
  <c r="H28" i="4"/>
  <c r="H29" i="4"/>
  <c r="D295" i="36"/>
  <c r="E486" i="5"/>
  <c r="E498" i="5"/>
  <c r="H30" i="4"/>
  <c r="H31" i="4"/>
  <c r="H32" i="4"/>
  <c r="H33" i="4"/>
  <c r="H34" i="4"/>
  <c r="H35" i="4"/>
  <c r="H36" i="4"/>
  <c r="H37" i="4"/>
  <c r="H38" i="4"/>
  <c r="H39" i="4"/>
  <c r="H40" i="4"/>
  <c r="D8" i="20"/>
  <c r="E321" i="5"/>
  <c r="E446" i="5"/>
  <c r="E156" i="5"/>
  <c r="E360" i="5"/>
  <c r="E153" i="5"/>
  <c r="E361" i="5"/>
  <c r="E129" i="5"/>
  <c r="E364" i="5"/>
  <c r="E363" i="5"/>
  <c r="E445" i="5"/>
  <c r="E149" i="5"/>
  <c r="E362" i="5"/>
  <c r="E152" i="5"/>
  <c r="E286" i="5"/>
  <c r="E317" i="5"/>
  <c r="E158" i="5"/>
  <c r="E315" i="5"/>
  <c r="E444" i="5"/>
  <c r="E142" i="5"/>
  <c r="E355" i="5"/>
  <c r="E139" i="5"/>
  <c r="E356" i="5"/>
  <c r="E359" i="5"/>
  <c r="E358" i="5"/>
  <c r="E443" i="5"/>
  <c r="E133" i="5"/>
  <c r="E357" i="5"/>
  <c r="E137" i="5"/>
  <c r="E283" i="5"/>
  <c r="E313" i="5"/>
  <c r="E144" i="5"/>
  <c r="E311" i="5"/>
  <c r="E442" i="5"/>
  <c r="E60" i="5"/>
  <c r="E62" i="5"/>
  <c r="E379" i="5"/>
  <c r="E61" i="5"/>
  <c r="E63" i="5"/>
  <c r="E395" i="5"/>
  <c r="E213" i="5"/>
  <c r="E372" i="5"/>
  <c r="E211" i="5"/>
  <c r="E371" i="5"/>
  <c r="E209" i="5"/>
  <c r="E373" i="5"/>
  <c r="E378" i="5"/>
  <c r="E386" i="5"/>
  <c r="E384" i="5"/>
  <c r="E385" i="5"/>
  <c r="E436" i="5"/>
  <c r="E82" i="5"/>
  <c r="E83" i="5"/>
  <c r="E84" i="5"/>
  <c r="E85" i="5"/>
  <c r="E81" i="5"/>
  <c r="E66" i="5"/>
  <c r="E190" i="5"/>
  <c r="E289" i="5"/>
  <c r="E347" i="5"/>
  <c r="E192" i="5"/>
  <c r="E340" i="5"/>
  <c r="E346" i="5"/>
  <c r="E441" i="5"/>
  <c r="E217" i="5"/>
  <c r="E293" i="5"/>
  <c r="E390" i="5"/>
  <c r="E377" i="5"/>
  <c r="E440" i="5"/>
  <c r="E396" i="5"/>
  <c r="E375" i="5"/>
  <c r="E439" i="5"/>
  <c r="E64" i="5"/>
  <c r="E215" i="5"/>
  <c r="E389" i="5"/>
  <c r="E297" i="5"/>
  <c r="E394" i="5"/>
  <c r="E438" i="5"/>
  <c r="E65" i="5"/>
  <c r="E380" i="5"/>
  <c r="E295" i="5"/>
  <c r="E392" i="5"/>
  <c r="E435" i="5"/>
  <c r="E376" i="5"/>
  <c r="E225" i="5"/>
  <c r="E374" i="5"/>
  <c r="E391" i="5"/>
  <c r="E437" i="5"/>
  <c r="E291" i="5"/>
  <c r="E387" i="5"/>
  <c r="E296" i="5"/>
  <c r="E393" i="5"/>
  <c r="E223" i="5"/>
  <c r="E381" i="5"/>
  <c r="E219" i="5"/>
  <c r="E383" i="5"/>
  <c r="E221" i="5"/>
  <c r="E382" i="5"/>
  <c r="E434" i="5"/>
  <c r="E433" i="5"/>
  <c r="E202" i="5"/>
  <c r="E349" i="5"/>
  <c r="E204" i="5"/>
  <c r="E350" i="5"/>
  <c r="E200" i="5"/>
  <c r="E348" i="5"/>
  <c r="E354" i="5"/>
  <c r="E352" i="5"/>
  <c r="E353" i="5"/>
  <c r="E432" i="5"/>
  <c r="E198" i="5"/>
  <c r="E351" i="5"/>
  <c r="E431" i="5"/>
  <c r="E429" i="5"/>
  <c r="E184" i="5"/>
  <c r="E341" i="5"/>
  <c r="E430" i="5"/>
  <c r="E338" i="5"/>
  <c r="E13" i="5"/>
  <c r="E14" i="5"/>
  <c r="E15" i="5"/>
  <c r="E12" i="5"/>
  <c r="D295" i="9"/>
  <c r="E21" i="5"/>
  <c r="E20" i="5"/>
  <c r="E22" i="5"/>
  <c r="E619" i="5"/>
  <c r="E618" i="5"/>
  <c r="E623" i="5"/>
  <c r="D27" i="36"/>
  <c r="E612" i="5"/>
  <c r="E611" i="5"/>
  <c r="E610" i="5"/>
  <c r="E609" i="5"/>
  <c r="E608" i="5"/>
  <c r="E607" i="5"/>
  <c r="E606" i="5"/>
  <c r="E605" i="5"/>
  <c r="E604" i="5"/>
  <c r="E603" i="5"/>
  <c r="D293" i="36"/>
  <c r="E479" i="5"/>
  <c r="E491" i="5"/>
  <c r="E28" i="4"/>
  <c r="E29" i="4"/>
  <c r="E30" i="4"/>
  <c r="E31" i="4"/>
  <c r="E32" i="4"/>
  <c r="E33" i="4"/>
  <c r="E34" i="4"/>
  <c r="E35" i="4"/>
  <c r="E36" i="4"/>
  <c r="E37" i="4"/>
  <c r="E38" i="4"/>
  <c r="E39" i="4"/>
  <c r="E40" i="4"/>
  <c r="D5" i="20"/>
  <c r="E46" i="4"/>
  <c r="F46" i="4"/>
  <c r="G46" i="4"/>
  <c r="H46" i="4"/>
  <c r="I30" i="4"/>
  <c r="I28" i="4"/>
  <c r="I29" i="4"/>
  <c r="I31" i="4"/>
  <c r="I32" i="4"/>
  <c r="I33" i="4"/>
  <c r="I34" i="4"/>
  <c r="I35" i="4"/>
  <c r="I36" i="4"/>
  <c r="I37" i="4"/>
  <c r="I38" i="4"/>
  <c r="I39" i="4"/>
  <c r="I40" i="4"/>
  <c r="D9" i="20"/>
  <c r="I46" i="4"/>
  <c r="K46" i="4"/>
  <c r="L46" i="4"/>
  <c r="M46" i="4"/>
  <c r="N33" i="4"/>
  <c r="N28" i="4"/>
  <c r="N29" i="4"/>
  <c r="N30" i="4"/>
  <c r="N31" i="4"/>
  <c r="N32" i="4"/>
  <c r="N34" i="4"/>
  <c r="N35" i="4"/>
  <c r="N36" i="4"/>
  <c r="N37" i="4"/>
  <c r="N38" i="4"/>
  <c r="N39" i="4"/>
  <c r="N40" i="4"/>
  <c r="D14" i="20"/>
  <c r="N46" i="4"/>
  <c r="O33" i="4"/>
  <c r="O28" i="4"/>
  <c r="O29" i="4"/>
  <c r="O30" i="4"/>
  <c r="O31" i="4"/>
  <c r="O32" i="4"/>
  <c r="O34" i="4"/>
  <c r="O35" i="4"/>
  <c r="O36" i="4"/>
  <c r="O37" i="4"/>
  <c r="O38" i="4"/>
  <c r="O39" i="4"/>
  <c r="O40" i="4"/>
  <c r="D15" i="20"/>
  <c r="O46" i="4"/>
  <c r="P46" i="4"/>
  <c r="Q46" i="4"/>
  <c r="E485" i="5"/>
  <c r="E497" i="5"/>
  <c r="R34" i="4"/>
  <c r="R28" i="4"/>
  <c r="R29" i="4"/>
  <c r="R30" i="4"/>
  <c r="R31" i="4"/>
  <c r="R32" i="4"/>
  <c r="R33" i="4"/>
  <c r="R35" i="4"/>
  <c r="R36" i="4"/>
  <c r="R37" i="4"/>
  <c r="R38" i="4"/>
  <c r="R39" i="4"/>
  <c r="R40" i="4"/>
  <c r="D18" i="20"/>
  <c r="R46" i="4"/>
  <c r="S34" i="4"/>
  <c r="S28" i="4"/>
  <c r="S29" i="4"/>
  <c r="S30" i="4"/>
  <c r="S31" i="4"/>
  <c r="S32" i="4"/>
  <c r="S33" i="4"/>
  <c r="S35" i="4"/>
  <c r="S36" i="4"/>
  <c r="S37" i="4"/>
  <c r="S38" i="4"/>
  <c r="S39" i="4"/>
  <c r="S40" i="4"/>
  <c r="D19" i="20"/>
  <c r="S46" i="4"/>
  <c r="D46" i="4"/>
  <c r="J28" i="4"/>
  <c r="J29" i="4"/>
  <c r="J30" i="4"/>
  <c r="J31" i="4"/>
  <c r="J32" i="4"/>
  <c r="J33" i="4"/>
  <c r="J34" i="4"/>
  <c r="J35" i="4"/>
  <c r="J36" i="4"/>
  <c r="J37" i="4"/>
  <c r="J38" i="4"/>
  <c r="J39" i="4"/>
  <c r="J40" i="4"/>
  <c r="D10" i="20"/>
  <c r="J46" i="4"/>
  <c r="T46" i="4"/>
  <c r="U46" i="4"/>
  <c r="V28" i="4"/>
  <c r="V29" i="4"/>
  <c r="V30" i="4"/>
  <c r="V31" i="4"/>
  <c r="V32" i="4"/>
  <c r="V33" i="4"/>
  <c r="V34" i="4"/>
  <c r="V35" i="4"/>
  <c r="V36" i="4"/>
  <c r="V37" i="4"/>
  <c r="V38" i="4"/>
  <c r="V39" i="4"/>
  <c r="V40" i="4"/>
  <c r="D22" i="20"/>
  <c r="V46" i="4"/>
  <c r="W28" i="4"/>
  <c r="W29" i="4"/>
  <c r="W30" i="4"/>
  <c r="W31" i="4"/>
  <c r="W32" i="4"/>
  <c r="W33" i="4"/>
  <c r="W34" i="4"/>
  <c r="W35" i="4"/>
  <c r="W36" i="4"/>
  <c r="W37" i="4"/>
  <c r="W38" i="4"/>
  <c r="W39" i="4"/>
  <c r="W40" i="4"/>
  <c r="D23" i="20"/>
  <c r="W46" i="4"/>
  <c r="X28" i="4"/>
  <c r="X29" i="4"/>
  <c r="X30" i="4"/>
  <c r="X31" i="4"/>
  <c r="X32" i="4"/>
  <c r="X33" i="4"/>
  <c r="X34" i="4"/>
  <c r="X35" i="4"/>
  <c r="X36" i="4"/>
  <c r="X37" i="4"/>
  <c r="X38" i="4"/>
  <c r="X39" i="4"/>
  <c r="X40" i="4"/>
  <c r="D24" i="20"/>
  <c r="X46" i="4"/>
  <c r="Y46" i="4"/>
  <c r="Z21" i="4"/>
  <c r="E562" i="5"/>
  <c r="E45" i="4"/>
  <c r="F45" i="4"/>
  <c r="G45" i="4"/>
  <c r="H45" i="4"/>
  <c r="I45" i="4"/>
  <c r="K45" i="4"/>
  <c r="L45" i="4"/>
  <c r="M45" i="4"/>
  <c r="N45" i="4"/>
  <c r="O45" i="4"/>
  <c r="P45" i="4"/>
  <c r="Q45" i="4"/>
  <c r="R45" i="4"/>
  <c r="S45" i="4"/>
  <c r="D45" i="4"/>
  <c r="J45" i="4"/>
  <c r="T45" i="4"/>
  <c r="U45" i="4"/>
  <c r="V45" i="4"/>
  <c r="W45" i="4"/>
  <c r="X45" i="4"/>
  <c r="Y45" i="4"/>
  <c r="Z20" i="4"/>
  <c r="E561" i="5"/>
  <c r="E511" i="5"/>
  <c r="E512" i="5"/>
  <c r="E514" i="5"/>
  <c r="E513" i="5"/>
  <c r="E515" i="5"/>
  <c r="E472" i="5"/>
  <c r="E471" i="5"/>
  <c r="E470" i="5"/>
  <c r="E469" i="5"/>
  <c r="E468" i="5"/>
  <c r="E467" i="5"/>
  <c r="E388" i="5"/>
  <c r="E234" i="5"/>
  <c r="E124" i="5"/>
  <c r="E123" i="5"/>
  <c r="E122" i="5"/>
  <c r="E121" i="5"/>
  <c r="E120" i="5"/>
  <c r="E119" i="5"/>
  <c r="E118" i="5"/>
  <c r="E117" i="5"/>
  <c r="E116" i="5"/>
  <c r="E115" i="5"/>
  <c r="E114" i="5"/>
  <c r="E113" i="5"/>
  <c r="E55" i="5"/>
  <c r="E30" i="5"/>
  <c r="E31" i="5"/>
  <c r="E5" i="5"/>
  <c r="E32" i="5"/>
  <c r="E54" i="5"/>
  <c r="E53" i="5"/>
  <c r="E52" i="5"/>
  <c r="E51" i="5"/>
  <c r="E50" i="5"/>
  <c r="E48" i="5"/>
  <c r="E47" i="5"/>
  <c r="E46" i="5"/>
  <c r="E45" i="5"/>
  <c r="E42" i="5"/>
  <c r="E41" i="5"/>
  <c r="E40" i="5"/>
  <c r="E39" i="5"/>
  <c r="E34" i="5"/>
  <c r="E38" i="5"/>
  <c r="E37" i="5"/>
  <c r="E35" i="5"/>
  <c r="E33" i="5"/>
  <c r="E25" i="5"/>
  <c r="E28" i="5"/>
  <c r="E27" i="5"/>
  <c r="E29" i="5"/>
  <c r="E24" i="5"/>
  <c r="E26" i="5"/>
  <c r="D271" i="36"/>
  <c r="D270" i="36"/>
  <c r="E23" i="5"/>
  <c r="E17" i="5"/>
  <c r="E18" i="5"/>
  <c r="E19" i="5"/>
  <c r="E16" i="5"/>
  <c r="E11" i="5"/>
  <c r="E10" i="5"/>
  <c r="E7" i="5"/>
  <c r="E6" i="5"/>
  <c r="E573" i="5"/>
  <c r="E571" i="5"/>
  <c r="N363" i="9"/>
  <c r="N362" i="9"/>
  <c r="N364" i="9"/>
  <c r="M362" i="9"/>
  <c r="M364" i="9"/>
  <c r="N361" i="9"/>
  <c r="M361" i="9"/>
  <c r="N360" i="9"/>
  <c r="M360" i="9"/>
  <c r="N359" i="9"/>
  <c r="M359" i="9"/>
  <c r="E237" i="5"/>
  <c r="E235" i="5"/>
  <c r="E298" i="5"/>
  <c r="E324" i="5"/>
  <c r="Z46" i="4"/>
  <c r="Z45" i="4"/>
  <c r="L449" i="36"/>
  <c r="L448" i="36"/>
  <c r="L447" i="36"/>
  <c r="L446" i="36"/>
  <c r="L442" i="36"/>
  <c r="L441" i="36"/>
  <c r="L440" i="36"/>
  <c r="L439" i="36"/>
  <c r="L438" i="36"/>
  <c r="L437" i="36"/>
  <c r="L436" i="36"/>
  <c r="L435" i="36"/>
  <c r="L434" i="36"/>
  <c r="D396" i="36"/>
  <c r="D395" i="36"/>
  <c r="D393" i="36"/>
  <c r="D392" i="36"/>
  <c r="D339" i="36"/>
  <c r="D338" i="36"/>
  <c r="D336" i="36"/>
  <c r="D335" i="36"/>
  <c r="D334" i="36"/>
  <c r="D333" i="36"/>
  <c r="D330" i="36"/>
  <c r="D329" i="36"/>
  <c r="D326" i="36"/>
  <c r="D325" i="36"/>
  <c r="D320" i="36"/>
  <c r="D318" i="36"/>
  <c r="D309" i="36"/>
  <c r="D308" i="36"/>
  <c r="D307" i="36"/>
  <c r="D306" i="36"/>
  <c r="D305" i="36"/>
  <c r="D301" i="36"/>
  <c r="D299" i="36"/>
  <c r="D298" i="36"/>
  <c r="D297" i="36"/>
  <c r="D296" i="36"/>
  <c r="D294" i="36"/>
  <c r="D289" i="36"/>
  <c r="D288" i="36"/>
  <c r="D286" i="36"/>
  <c r="D284" i="36"/>
  <c r="D283" i="36"/>
  <c r="D281" i="36"/>
  <c r="D275" i="36"/>
  <c r="D236" i="36"/>
  <c r="D274" i="36"/>
  <c r="D272" i="36"/>
  <c r="D269" i="36"/>
  <c r="D267" i="36"/>
  <c r="D266" i="36"/>
  <c r="D265" i="36"/>
  <c r="D264" i="36"/>
  <c r="D263" i="36"/>
  <c r="D262" i="36"/>
  <c r="D261" i="36"/>
  <c r="D260" i="36"/>
  <c r="D259" i="36"/>
  <c r="D258" i="36"/>
  <c r="D257" i="36"/>
  <c r="D256" i="36"/>
  <c r="D255" i="36"/>
  <c r="D254" i="36"/>
  <c r="D253" i="36"/>
  <c r="D252" i="36"/>
  <c r="D251" i="36"/>
  <c r="D250" i="36"/>
  <c r="D249" i="36"/>
  <c r="D248" i="36"/>
  <c r="D247" i="36"/>
  <c r="D246" i="36"/>
  <c r="D245" i="36"/>
  <c r="D244" i="36"/>
  <c r="D243" i="36"/>
  <c r="D242" i="36"/>
  <c r="D241" i="36"/>
  <c r="D240" i="36"/>
  <c r="D239" i="36"/>
  <c r="D237" i="36"/>
  <c r="D235" i="36"/>
  <c r="D233" i="36"/>
  <c r="D232" i="36"/>
  <c r="D231" i="36"/>
  <c r="D230" i="36"/>
  <c r="D229" i="36"/>
  <c r="D228" i="36"/>
  <c r="D227" i="36"/>
  <c r="D226" i="36"/>
  <c r="D225" i="36"/>
  <c r="D224" i="36"/>
  <c r="D223" i="36"/>
  <c r="D222" i="36"/>
  <c r="D221" i="36"/>
  <c r="D220" i="36"/>
  <c r="D218" i="36"/>
  <c r="D216" i="36"/>
  <c r="D214" i="36"/>
  <c r="D213" i="36"/>
  <c r="D207" i="36"/>
  <c r="D206" i="36"/>
  <c r="D205" i="36"/>
  <c r="D204" i="36"/>
  <c r="D203" i="36"/>
  <c r="D202" i="36"/>
  <c r="D201" i="36"/>
  <c r="D200" i="36"/>
  <c r="D62" i="36"/>
  <c r="D42" i="36"/>
  <c r="K32" i="36"/>
  <c r="D32" i="36"/>
  <c r="K31" i="36"/>
  <c r="D31" i="36"/>
  <c r="E525" i="5"/>
  <c r="D208" i="36"/>
  <c r="D268" i="36"/>
  <c r="E167" i="5"/>
  <c r="E285" i="5"/>
  <c r="E287" i="5"/>
  <c r="E320" i="5"/>
  <c r="E284" i="5"/>
  <c r="E282" i="5"/>
  <c r="E281" i="5"/>
  <c r="E294" i="5"/>
  <c r="E292" i="5"/>
  <c r="E290" i="5"/>
  <c r="E521" i="5"/>
  <c r="E527" i="5"/>
  <c r="E526" i="5"/>
  <c r="E520" i="5"/>
  <c r="E248" i="5"/>
  <c r="E239" i="5"/>
  <c r="E201" i="5"/>
  <c r="E170" i="5"/>
  <c r="E193" i="5"/>
  <c r="E194" i="5"/>
  <c r="E104" i="5"/>
  <c r="E103" i="5"/>
  <c r="E548" i="5"/>
  <c r="E547" i="5"/>
  <c r="E555" i="5"/>
  <c r="E554" i="5"/>
  <c r="E151" i="5"/>
  <c r="E318" i="5"/>
  <c r="E135" i="5"/>
  <c r="E314" i="5"/>
  <c r="E570" i="5"/>
  <c r="E599" i="5"/>
  <c r="E597" i="5"/>
  <c r="E592" i="5"/>
  <c r="E590" i="5"/>
  <c r="E216" i="5"/>
  <c r="E322" i="5"/>
  <c r="E316" i="5"/>
  <c r="E312" i="5"/>
  <c r="E310" i="5"/>
  <c r="E308" i="5"/>
  <c r="E306" i="5"/>
  <c r="E277" i="5"/>
  <c r="E275" i="5"/>
  <c r="E273" i="5"/>
  <c r="E271" i="5"/>
  <c r="E269" i="5"/>
  <c r="E263" i="5"/>
  <c r="E261" i="5"/>
  <c r="E259" i="5"/>
  <c r="E257" i="5"/>
  <c r="E255" i="5"/>
  <c r="E250" i="5"/>
  <c r="E246" i="5"/>
  <c r="E241" i="5"/>
  <c r="E233" i="5"/>
  <c r="E231" i="5"/>
  <c r="E226" i="5"/>
  <c r="E224" i="5"/>
  <c r="E222" i="5"/>
  <c r="E220" i="5"/>
  <c r="E218" i="5"/>
  <c r="E214" i="5"/>
  <c r="E212" i="5"/>
  <c r="E210" i="5"/>
  <c r="E205" i="5"/>
  <c r="E203" i="5"/>
  <c r="E199" i="5"/>
  <c r="E191" i="5"/>
  <c r="E189" i="5"/>
  <c r="E187" i="5"/>
  <c r="E185" i="5"/>
  <c r="E183" i="5"/>
  <c r="E181" i="5"/>
  <c r="E179" i="5"/>
  <c r="E174" i="5"/>
  <c r="E172" i="5"/>
  <c r="E166" i="5"/>
  <c r="E164" i="5"/>
  <c r="E159" i="5"/>
  <c r="E157" i="5"/>
  <c r="E155" i="5"/>
  <c r="E154" i="5"/>
  <c r="E150" i="5"/>
  <c r="E145" i="5"/>
  <c r="E143" i="5"/>
  <c r="E141" i="5"/>
  <c r="E140" i="5"/>
  <c r="E138" i="5"/>
  <c r="E136" i="5"/>
  <c r="E134" i="5"/>
  <c r="E128" i="5"/>
  <c r="E108" i="5"/>
  <c r="E107" i="5"/>
  <c r="E100" i="5"/>
  <c r="E99" i="5"/>
  <c r="E96" i="5"/>
  <c r="E95" i="5"/>
  <c r="E92" i="5"/>
  <c r="E91" i="5"/>
  <c r="E622" i="5"/>
  <c r="E621" i="5"/>
  <c r="E620" i="5"/>
  <c r="E550" i="5"/>
  <c r="E557" i="5"/>
  <c r="E556" i="5"/>
  <c r="E549" i="5"/>
  <c r="E576" i="5"/>
  <c r="E624" i="5"/>
  <c r="E574" i="5"/>
  <c r="E583" i="5"/>
  <c r="E580" i="5"/>
  <c r="E579" i="5"/>
  <c r="E575" i="5"/>
  <c r="E584" i="5"/>
  <c r="E585" i="5"/>
  <c r="E582" i="5"/>
  <c r="E581" i="5"/>
  <c r="E563" i="5"/>
</calcChain>
</file>

<file path=xl/comments1.xml><?xml version="1.0" encoding="utf-8"?>
<comments xmlns="http://schemas.openxmlformats.org/spreadsheetml/2006/main">
  <authors>
    <author>tc={EFC543CF-5BE4-43AF-B9F4-EDB24559D8ED}</author>
  </authors>
  <commentList>
    <comment ref="D55" authorId="0" shapeId="0">
      <text>
        <r>
          <rPr>
            <sz val="11"/>
            <color indexed="8"/>
            <rFont val="Calibri"/>
            <family val="2"/>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r>
      </text>
    </comment>
  </commentList>
</comments>
</file>

<file path=xl/sharedStrings.xml><?xml version="1.0" encoding="utf-8"?>
<sst xmlns="http://schemas.openxmlformats.org/spreadsheetml/2006/main" count="10093" uniqueCount="4848">
  <si>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</si>
  <si>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</si>
  <si>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</si>
  <si>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</si>
  <si>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</si>
  <si>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</si>
  <si>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</si>
  <si>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</si>
  <si>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</si>
  <si>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</si>
  <si>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</si>
  <si>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</si>
  <si>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</si>
  <si>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</si>
  <si>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</si>
  <si>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</si>
  <si>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</si>
  <si>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</si>
  <si>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</si>
  <si>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</si>
  <si>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</si>
  <si>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</si>
  <si>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</si>
  <si>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</si>
  <si>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</si>
  <si>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</si>
  <si>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</si>
  <si>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</si>
  <si>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</si>
  <si>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</si>
  <si>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</si>
  <si>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</si>
  <si>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</si>
  <si>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</si>
  <si>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</si>
  <si>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</si>
  <si>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</si>
  <si>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</si>
  <si>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</si>
  <si>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</si>
  <si>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</si>
  <si>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</si>
  <si>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</si>
  <si>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</si>
  <si>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</si>
  <si>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</si>
  <si>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</si>
  <si>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</si>
  <si>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</si>
  <si>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</si>
  <si>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</si>
  <si>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</si>
  <si>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</si>
  <si>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</si>
  <si>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</si>
  <si>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</si>
  <si>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</si>
  <si>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</si>
  <si>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</si>
  <si>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</si>
  <si>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</si>
  <si>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</si>
  <si>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</si>
  <si>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</si>
  <si>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</si>
  <si>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</si>
  <si>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</si>
  <si>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</si>
  <si>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</si>
  <si>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</si>
  <si>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</si>
  <si>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</si>
  <si>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</si>
  <si>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</si>
  <si>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</si>
  <si>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</si>
  <si>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</si>
  <si>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</si>
  <si>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</si>
  <si>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</si>
  <si>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</si>
  <si>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</si>
  <si>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</si>
  <si>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</si>
  <si>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</si>
  <si>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</si>
  <si>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</si>
  <si>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</si>
  <si>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</si>
  <si>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</si>
  <si>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</si>
  <si>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</si>
  <si>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</si>
  <si>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</si>
  <si>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</si>
  <si>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</si>
  <si>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</si>
  <si>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</si>
  <si>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</si>
  <si>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</si>
  <si>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</si>
  <si>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</si>
  <si>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</si>
  <si>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</si>
  <si>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</si>
  <si>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</si>
  <si>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</si>
  <si>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</si>
  <si>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</si>
  <si>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</si>
  <si>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</si>
  <si>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</si>
  <si>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</si>
  <si>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</si>
  <si>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</si>
  <si>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</si>
  <si>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</si>
  <si>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</si>
  <si>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</si>
  <si>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</si>
  <si>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</si>
  <si>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</si>
  <si>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</si>
  <si>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</si>
  <si>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</si>
  <si>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</si>
  <si>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</si>
  <si>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</si>
  <si>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</si>
  <si>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</si>
  <si>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</si>
  <si>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</si>
  <si>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</si>
  <si>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</si>
  <si>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</si>
  <si>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</si>
  <si>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</si>
  <si>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</si>
  <si>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</si>
  <si>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</si>
  <si>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</si>
  <si>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</si>
  <si>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</si>
  <si>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</si>
  <si>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</si>
  <si>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</si>
  <si>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</si>
  <si>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</si>
  <si>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</si>
  <si>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</si>
  <si>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</si>
  <si>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</si>
  <si>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</si>
  <si>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</si>
  <si>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</si>
  <si>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</si>
  <si>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</si>
  <si>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</si>
  <si>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</si>
  <si>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</si>
  <si>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</si>
  <si>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</si>
  <si>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</si>
  <si>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</si>
  <si>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</si>
  <si>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</si>
  <si>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</si>
  <si>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</si>
  <si>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</si>
  <si>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</si>
  <si>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</si>
  <si>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</si>
  <si>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</si>
  <si>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</si>
  <si>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</si>
  <si>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</si>
  <si>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</si>
  <si>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</si>
  <si>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</si>
  <si>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</si>
  <si>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</si>
  <si>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</si>
  <si>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</si>
  <si>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</si>
  <si>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</si>
  <si>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</si>
  <si>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</si>
  <si>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</si>
  <si>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</si>
  <si>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</si>
  <si>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</si>
  <si>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</si>
  <si>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</si>
  <si>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</si>
  <si>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</si>
  <si>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</si>
  <si>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</si>
  <si>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</si>
  <si>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</si>
  <si>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</si>
  <si>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</si>
  <si>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</si>
  <si>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</si>
  <si>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</si>
  <si>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</si>
  <si>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</si>
  <si>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</si>
  <si>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</si>
  <si>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</si>
  <si>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</si>
  <si>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</si>
  <si>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</si>
  <si>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</si>
  <si>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</si>
  <si>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</si>
  <si>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</si>
  <si>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</si>
  <si>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</si>
  <si>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</si>
  <si>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</si>
  <si>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</si>
  <si>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</si>
  <si>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</si>
  <si>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</si>
  <si>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</si>
  <si>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</si>
  <si>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</si>
  <si>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</si>
  <si>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</si>
  <si>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</si>
  <si>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</si>
  <si>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</si>
  <si>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</si>
  <si>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</si>
  <si>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</si>
  <si>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</si>
  <si>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</si>
  <si>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</si>
  <si>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</si>
  <si>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</si>
  <si>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</si>
  <si>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</si>
  <si>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</si>
  <si>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</si>
  <si>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</si>
  <si>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</si>
  <si>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</si>
  <si>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</si>
  <si>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</si>
  <si>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</si>
  <si>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</si>
  <si>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</si>
  <si>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</si>
  <si>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</si>
  <si>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</si>
  <si>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</si>
  <si>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</si>
  <si>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</si>
  <si>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</si>
  <si>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</si>
  <si>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</si>
  <si>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</si>
  <si>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</si>
  <si>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</si>
  <si>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</si>
  <si>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</si>
  <si>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</si>
  <si>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</si>
  <si>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</si>
  <si>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</si>
  <si>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</si>
  <si>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</si>
  <si>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</si>
  <si>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</si>
  <si>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</si>
  <si>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</si>
  <si>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</si>
  <si>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</si>
  <si>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</si>
  <si>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</si>
  <si>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</si>
  <si>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</si>
  <si>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</si>
  <si>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</si>
  <si>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</si>
  <si>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</si>
  <si>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</si>
  <si>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</si>
  <si>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</si>
  <si>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</si>
  <si>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Readily biodegradable substrate (non-VFA)</t>
  </si>
  <si>
    <t>Atomic mass of sodium</t>
  </si>
  <si>
    <t>Anaerobic methanol conversion</t>
  </si>
  <si>
    <t>HMETO decay</t>
  </si>
  <si>
    <t>AMETO decay</t>
  </si>
  <si>
    <t>2CH3OH -&gt; CH3COOH + 2H2</t>
  </si>
  <si>
    <t>r37</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</si>
  <si>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</si>
  <si>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</si>
  <si>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</si>
  <si>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</si>
  <si>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</si>
  <si>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</si>
  <si>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</si>
  <si>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</si>
  <si>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</si>
  <si>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</si>
  <si>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</si>
  <si>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</si>
  <si>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</si>
  <si>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</si>
  <si>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</si>
  <si>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</si>
  <si>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</si>
  <si>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</si>
  <si>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</si>
  <si>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</si>
  <si>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</si>
  <si>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</si>
  <si>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</si>
  <si>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</si>
  <si>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</si>
  <si>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</si>
  <si>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</si>
  <si>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</si>
  <si>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</si>
  <si>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</si>
  <si>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</si>
  <si>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</si>
  <si>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</si>
  <si>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</si>
  <si>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</si>
  <si>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</si>
  <si>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</si>
  <si>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</si>
  <si>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</si>
  <si>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</si>
  <si>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</si>
  <si>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</si>
  <si>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</si>
  <si>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</si>
  <si>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</si>
  <si>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</si>
  <si>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</si>
  <si>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</si>
  <si>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</si>
  <si>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</si>
  <si>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</si>
  <si>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</si>
  <si>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</si>
  <si>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</si>
  <si>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</si>
  <si>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r41</t>
  </si>
  <si>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</si>
  <si>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</si>
  <si>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</si>
  <si>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</si>
  <si>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</si>
  <si>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</si>
  <si>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</si>
  <si>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</si>
  <si>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</si>
  <si>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</si>
  <si>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</si>
  <si>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</si>
  <si>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</si>
  <si>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</si>
  <si>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</si>
  <si>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</si>
  <si>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</si>
  <si>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</si>
  <si>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</si>
  <si>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</si>
  <si>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</si>
  <si>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</si>
  <si>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</si>
  <si>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</si>
  <si>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</si>
  <si>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</si>
  <si>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</si>
  <si>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</si>
  <si>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</si>
  <si>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</si>
  <si>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</si>
  <si>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</si>
  <si>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</si>
  <si>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</si>
  <si>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</si>
  <si>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</si>
  <si>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</si>
  <si>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</si>
  <si>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</si>
  <si>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</si>
  <si>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</si>
  <si>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</si>
  <si>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</si>
  <si>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</si>
  <si>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</si>
  <si>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</si>
  <si>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</si>
  <si>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</si>
  <si>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</si>
  <si>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</si>
  <si>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</si>
  <si>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</si>
  <si>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</si>
  <si>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</si>
  <si>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</si>
  <si>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</si>
  <si>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</si>
  <si>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</si>
  <si>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</si>
  <si>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</si>
  <si>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</si>
  <si>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</si>
  <si>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</si>
  <si>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</si>
  <si>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</si>
  <si>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</si>
  <si>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</si>
  <si>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</si>
  <si>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</si>
  <si>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</si>
  <si>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</si>
  <si>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</si>
  <si>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</si>
  <si>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</si>
  <si>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</si>
  <si>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</si>
  <si>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</si>
  <si>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</si>
  <si>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</si>
  <si>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</si>
  <si>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</si>
  <si>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</si>
  <si>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</si>
  <si>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</si>
  <si>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</si>
  <si>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</si>
  <si>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</si>
  <si>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</si>
  <si>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</si>
  <si>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</si>
  <si>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</si>
  <si>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</si>
  <si>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</si>
  <si>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</si>
  <si>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</si>
  <si>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</si>
  <si>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</si>
  <si>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</si>
  <si>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</si>
  <si>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</si>
  <si>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</si>
  <si>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</si>
  <si>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</si>
  <si>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</si>
  <si>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</si>
  <si>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</si>
  <si>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</si>
  <si>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</si>
  <si>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</si>
  <si>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</si>
  <si>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</si>
  <si>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</si>
  <si>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</si>
  <si>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</si>
  <si>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</si>
  <si>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</si>
  <si>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</si>
  <si>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</si>
  <si>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</si>
  <si>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</si>
  <si>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</si>
  <si>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</si>
  <si>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</si>
  <si>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</si>
  <si>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</si>
  <si>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</si>
  <si>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</si>
  <si>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</si>
  <si>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</si>
  <si>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</si>
  <si>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</si>
  <si>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</si>
  <si>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</si>
  <si>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</si>
  <si>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</si>
  <si>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</si>
  <si>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</si>
  <si>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</si>
  <si>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</si>
  <si>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</si>
  <si>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</si>
  <si>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</si>
  <si>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</si>
  <si>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</si>
  <si>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</si>
  <si>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</si>
  <si>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</si>
  <si>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</si>
  <si>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</si>
  <si>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</si>
  <si>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</si>
  <si>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</si>
  <si>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</si>
  <si>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</si>
  <si>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</si>
  <si>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</si>
  <si>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</si>
  <si>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</si>
  <si>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</si>
  <si>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</si>
  <si>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</si>
  <si>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</si>
  <si>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</si>
  <si>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</si>
  <si>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</si>
  <si>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</si>
  <si>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</si>
  <si>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</si>
  <si>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</si>
  <si>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</si>
  <si>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</si>
  <si>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</si>
  <si>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</si>
  <si>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</si>
  <si>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</si>
  <si>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</si>
  <si>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</si>
  <si>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</si>
  <si>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</si>
  <si>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</si>
  <si>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</si>
  <si>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</si>
  <si>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</si>
  <si>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</si>
  <si>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</si>
  <si>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</si>
  <si>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</si>
  <si>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</si>
  <si>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</si>
  <si>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</si>
  <si>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</si>
  <si>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</si>
  <si>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</si>
  <si>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</si>
  <si>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</si>
  <si>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</si>
  <si>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</si>
  <si>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</si>
  <si>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</si>
  <si>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</si>
  <si>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</si>
  <si>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</si>
  <si>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</si>
  <si>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</si>
  <si>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</si>
  <si>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</si>
  <si>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</si>
  <si>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</si>
  <si>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</si>
  <si>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</si>
  <si>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</si>
  <si>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</si>
  <si>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</si>
  <si>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</si>
  <si>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</si>
  <si>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</si>
  <si>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</si>
  <si>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</si>
  <si>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</si>
  <si>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</si>
  <si>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</si>
  <si>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</si>
  <si>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</si>
  <si>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</si>
  <si>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</si>
  <si>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</si>
  <si>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</si>
  <si>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</si>
  <si>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</si>
  <si>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</si>
  <si>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</si>
  <si>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</si>
  <si>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</si>
  <si>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</si>
  <si>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</si>
  <si>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</si>
  <si>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</si>
  <si>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</si>
  <si>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</si>
  <si>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</si>
  <si>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</si>
  <si>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</si>
  <si>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</si>
  <si>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</si>
  <si>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</si>
  <si>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</si>
  <si>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</si>
  <si>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</si>
  <si>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</si>
  <si>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</si>
  <si>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</si>
  <si>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</si>
  <si>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</si>
  <si>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</si>
  <si>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</si>
  <si>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</si>
  <si>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</si>
  <si>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</si>
  <si>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</si>
  <si>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</si>
  <si>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</si>
  <si>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</si>
  <si>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</si>
  <si>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</si>
  <si>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</si>
  <si>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</si>
  <si>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</si>
  <si>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</si>
  <si>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</si>
  <si>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</si>
  <si>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</si>
  <si>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</si>
  <si>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</si>
  <si>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</si>
  <si>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</si>
  <si>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</si>
  <si>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</si>
  <si>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</si>
  <si>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</si>
  <si>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</si>
  <si>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</si>
  <si>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</si>
  <si>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</si>
  <si>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</si>
  <si>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</si>
  <si>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</si>
  <si>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</si>
  <si>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</si>
  <si>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</si>
  <si>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</si>
  <si>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</si>
  <si>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</si>
  <si>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</si>
  <si>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</si>
  <si>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</si>
  <si>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</si>
  <si>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</si>
  <si>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</si>
  <si>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</si>
  <si>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</si>
  <si>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</si>
  <si>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</si>
  <si>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</si>
  <si>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</si>
  <si>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</si>
  <si>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</si>
  <si>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</si>
  <si>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</si>
  <si>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</si>
  <si>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</si>
  <si>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</si>
  <si>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</si>
  <si>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</si>
  <si>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</si>
  <si>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</si>
  <si>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</si>
  <si>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</si>
  <si>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</si>
  <si>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</si>
  <si>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</si>
  <si>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</si>
  <si>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</si>
  <si>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</si>
  <si>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</si>
  <si>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</si>
  <si>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</si>
  <si>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</si>
  <si>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</si>
  <si>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</si>
  <si>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</si>
  <si>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</si>
  <si>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</si>
  <si>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</si>
  <si>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</si>
  <si>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</si>
  <si>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</si>
  <si>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</si>
  <si>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</si>
  <si>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</si>
  <si>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</si>
  <si>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</si>
  <si>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</si>
  <si>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</si>
  <si>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</si>
  <si>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</si>
  <si>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</si>
  <si>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</si>
  <si>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</si>
  <si>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</si>
  <si>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</si>
  <si>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</si>
  <si>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</si>
  <si>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</si>
  <si>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</si>
  <si>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</si>
  <si>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</si>
  <si>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</si>
  <si>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</si>
  <si>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</si>
  <si>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</si>
  <si>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</si>
  <si>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</si>
  <si>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</si>
  <si>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</si>
  <si>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</si>
  <si>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</si>
  <si>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</si>
  <si>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</si>
  <si>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</si>
  <si>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</si>
  <si>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</si>
  <si>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</si>
  <si>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</si>
  <si>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</si>
  <si>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</si>
  <si>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</si>
  <si>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</si>
  <si>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</si>
  <si>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</si>
  <si>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</si>
  <si>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</si>
  <si>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</si>
  <si>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</si>
  <si>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</si>
  <si>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</si>
  <si>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</si>
  <si>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</si>
  <si>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</si>
  <si>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</si>
  <si>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</si>
  <si>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</si>
  <si>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</si>
  <si>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</si>
  <si>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</si>
  <si>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</si>
  <si>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</si>
  <si>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</si>
  <si>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</si>
  <si>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</si>
  <si>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</si>
  <si>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</si>
  <si>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</si>
  <si>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</si>
  <si>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</si>
  <si>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</si>
  <si>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</si>
  <si>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</si>
  <si>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</si>
  <si>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</si>
  <si>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</si>
  <si>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</si>
  <si>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</si>
  <si>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</si>
  <si>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</si>
  <si>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</si>
  <si>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</si>
  <si>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</si>
  <si>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</si>
  <si>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</si>
  <si>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</si>
  <si>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</si>
  <si>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</si>
  <si>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</si>
  <si>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</si>
  <si>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</si>
  <si>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</si>
  <si>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</si>
  <si>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</si>
  <si>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</si>
  <si>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</si>
  <si>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</si>
  <si>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</si>
  <si>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</si>
  <si>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</si>
  <si>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</si>
  <si>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</si>
  <si>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</si>
  <si>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</si>
  <si>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</si>
  <si>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</si>
  <si>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</si>
  <si>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</si>
  <si>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</si>
  <si>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</si>
  <si>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</si>
  <si>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</si>
  <si>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</si>
  <si>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</si>
  <si>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</si>
  <si>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</si>
  <si>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</si>
  <si>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</si>
  <si>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</si>
  <si>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</si>
  <si>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</si>
  <si>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</si>
  <si>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</si>
  <si>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</si>
  <si>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PHA</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</si>
  <si>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</si>
  <si>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</si>
  <si>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</si>
  <si>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</si>
  <si>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</si>
  <si>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</si>
  <si>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</si>
  <si>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</si>
  <si>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</si>
  <si>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</si>
  <si>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</si>
  <si>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</si>
  <si>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</si>
  <si>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</si>
  <si>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</si>
  <si>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</si>
  <si>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</si>
  <si>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</si>
  <si>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</si>
  <si>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</si>
  <si>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</si>
  <si>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</si>
  <si>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</si>
  <si>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</si>
  <si>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</si>
  <si>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</si>
  <si>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</si>
  <si>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</si>
  <si>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</si>
  <si>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</si>
  <si>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</si>
  <si>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</si>
  <si>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</si>
  <si>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</si>
  <si>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</si>
  <si>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t>r44</t>
  </si>
  <si>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</si>
  <si>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</si>
  <si>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</si>
  <si>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</si>
  <si>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</si>
  <si>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</si>
  <si>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</si>
  <si>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HYD</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</si>
  <si>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</si>
  <si>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</si>
  <si>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</si>
  <si>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</si>
  <si>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</si>
  <si>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</si>
  <si>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</si>
  <si>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</si>
  <si>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</si>
  <si>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</si>
  <si>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</si>
  <si>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</si>
  <si>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</si>
  <si>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</si>
  <si>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</si>
  <si>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</si>
  <si>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</si>
  <si>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</si>
  <si>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</si>
  <si>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</si>
  <si>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</si>
  <si>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</si>
  <si>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</si>
  <si>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</si>
  <si>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</si>
  <si>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</si>
  <si>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</si>
  <si>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</si>
  <si>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</si>
  <si>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</si>
  <si>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</si>
  <si>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</si>
  <si>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</si>
  <si>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</si>
  <si>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</si>
  <si>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</si>
  <si>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</si>
  <si>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</si>
  <si>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</si>
  <si>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</si>
  <si>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</si>
  <si>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</si>
  <si>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</si>
  <si>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</si>
  <si>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</si>
  <si>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</si>
  <si>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</si>
  <si>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</si>
  <si>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</si>
  <si>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</si>
  <si>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</si>
  <si>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</si>
  <si>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</si>
  <si>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</si>
  <si>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</si>
  <si>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</si>
  <si>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</si>
  <si>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</si>
  <si>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</si>
  <si>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</si>
  <si>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</si>
  <si>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</si>
  <si>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</si>
  <si>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</si>
  <si>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</si>
  <si>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</si>
  <si>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</si>
  <si>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</si>
  <si>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</si>
  <si>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</si>
  <si>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</si>
  <si>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</si>
  <si>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</si>
  <si>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</si>
  <si>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</si>
  <si>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</si>
  <si>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</si>
  <si>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</si>
  <si>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</si>
  <si>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</si>
  <si>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</si>
  <si>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</si>
  <si>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</si>
  <si>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</si>
  <si>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</si>
  <si>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</si>
  <si>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</si>
  <si>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</si>
  <si>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</si>
  <si>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</si>
  <si>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</si>
  <si>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</si>
  <si>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</si>
  <si>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</si>
  <si>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</si>
  <si>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</si>
  <si>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</si>
  <si>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</si>
  <si>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</si>
  <si>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</si>
  <si>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</si>
  <si>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</si>
  <si>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</si>
  <si>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</si>
  <si>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</si>
  <si>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</si>
  <si>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</si>
  <si>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</si>
  <si>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</si>
  <si>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</si>
  <si>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</si>
  <si>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</si>
  <si>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</si>
  <si>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</si>
  <si>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</si>
  <si>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</si>
  <si>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</si>
  <si>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</si>
  <si>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</si>
  <si>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</si>
  <si>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</si>
  <si>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</si>
  <si>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</si>
  <si>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</si>
  <si>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</si>
  <si>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</si>
  <si>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</si>
  <si>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</si>
  <si>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</si>
  <si>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</si>
  <si>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</si>
  <si>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</si>
  <si>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</si>
  <si>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</si>
  <si>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</si>
  <si>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</si>
  <si>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</si>
  <si>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</si>
  <si>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</si>
  <si>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</si>
  <si>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</si>
  <si>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</si>
  <si>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</si>
  <si>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</si>
  <si>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</si>
  <si>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</si>
  <si>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</si>
  <si>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</si>
  <si>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</si>
  <si>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</si>
  <si>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</si>
  <si>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</si>
  <si>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</si>
  <si>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</si>
  <si>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</si>
  <si>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</si>
  <si>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</si>
  <si>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</si>
  <si>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</si>
  <si>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</si>
  <si>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</si>
  <si>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</si>
  <si>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</si>
  <si>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</si>
  <si>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</si>
  <si>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</si>
  <si>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</si>
  <si>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</si>
  <si>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</si>
  <si>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</si>
  <si>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</si>
  <si>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</si>
  <si>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</si>
  <si>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</si>
  <si>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</si>
  <si>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</si>
  <si>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</si>
  <si>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</si>
  <si>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</si>
  <si>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</si>
  <si>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</si>
  <si>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</si>
  <si>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</si>
  <si>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</si>
  <si>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</si>
  <si>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</si>
  <si>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</si>
  <si>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</si>
  <si>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</si>
  <si>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</si>
  <si>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</si>
  <si>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</si>
  <si>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</si>
  <si>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</si>
  <si>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</si>
  <si>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</si>
  <si>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</si>
  <si>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</si>
  <si>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</si>
  <si>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</si>
  <si>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</si>
  <si>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</si>
  <si>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</si>
  <si>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</si>
  <si>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</si>
  <si>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</si>
  <si>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</si>
  <si>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</si>
  <si>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</si>
  <si>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</si>
  <si>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</si>
  <si>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</si>
  <si>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</si>
  <si>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</si>
  <si>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</si>
  <si>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</si>
  <si>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</si>
  <si>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</si>
  <si>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</si>
  <si>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</si>
  <si>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</si>
  <si>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</si>
  <si>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</si>
  <si>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</si>
  <si>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</si>
  <si>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</si>
  <si>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</si>
  <si>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</si>
  <si>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</si>
  <si>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</si>
  <si>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</si>
  <si>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</si>
  <si>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</si>
  <si>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</si>
  <si>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</si>
  <si>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</si>
  <si>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</si>
  <si>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</si>
  <si>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</si>
  <si>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</si>
  <si>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</si>
  <si>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</si>
  <si>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</si>
  <si>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</si>
  <si>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</si>
  <si>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</si>
  <si>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</si>
  <si>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</si>
  <si>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</si>
  <si>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</si>
  <si>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</si>
  <si>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</si>
  <si>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</si>
  <si>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</si>
  <si>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</si>
  <si>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</si>
  <si>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</si>
  <si>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</si>
  <si>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</si>
  <si>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</si>
  <si>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</si>
  <si>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</si>
  <si>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</si>
  <si>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</si>
  <si>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</si>
  <si>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</si>
  <si>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</si>
  <si>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</si>
  <si>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</si>
  <si>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</si>
  <si>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</si>
  <si>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</si>
  <si>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</si>
  <si>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</si>
  <si>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</si>
  <si>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</si>
  <si>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</si>
  <si>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</si>
  <si>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</si>
  <si>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</si>
  <si>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</si>
  <si>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</si>
  <si>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</si>
  <si>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</si>
  <si>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</si>
  <si>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</si>
  <si>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</si>
  <si>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</si>
  <si>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</si>
  <si>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CV,MEOL</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</si>
  <si>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</si>
  <si>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</si>
  <si>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</si>
  <si>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</si>
  <si>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</si>
  <si>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</si>
  <si>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</si>
  <si>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</si>
  <si>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</si>
  <si>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</si>
  <si>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</si>
  <si>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</si>
  <si>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t>Advanced</t>
  </si>
  <si>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</si>
  <si>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</si>
  <si>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</si>
  <si>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</si>
  <si>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</si>
  <si>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</si>
  <si>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</si>
  <si>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</si>
  <si>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</si>
  <si>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</si>
  <si>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</si>
  <si>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</si>
  <si>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</si>
  <si>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</si>
  <si>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</si>
  <si>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</si>
  <si>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</si>
  <si>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</si>
  <si>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</si>
  <si>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</si>
  <si>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</si>
  <si>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</si>
  <si>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</si>
  <si>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</si>
  <si>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</si>
  <si>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</si>
  <si>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</si>
  <si>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FLOC</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</si>
  <si>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</si>
  <si>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</si>
  <si>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</si>
  <si>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</si>
  <si>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</si>
  <si>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</si>
  <si>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</si>
  <si>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</si>
  <si>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</si>
  <si>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</si>
  <si>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</si>
  <si>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</si>
  <si>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</si>
  <si>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</si>
  <si>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</si>
  <si>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</si>
  <si>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</si>
  <si>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</si>
  <si>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</si>
  <si>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</si>
  <si>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</si>
  <si>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</si>
  <si>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</si>
  <si>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</si>
  <si>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</si>
  <si>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</si>
  <si>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</si>
  <si>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</si>
  <si>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</si>
  <si>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</si>
  <si>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</si>
  <si>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</si>
  <si>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</si>
  <si>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</si>
  <si>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</si>
  <si>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</si>
  <si>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</si>
  <si>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</si>
  <si>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</si>
  <si>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</si>
  <si>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</si>
  <si>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</si>
  <si>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</si>
  <si>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</si>
  <si>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</si>
  <si>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</si>
  <si>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</si>
  <si>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</si>
  <si>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</si>
  <si>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</si>
  <si>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</si>
  <si>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</si>
  <si>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</si>
  <si>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</si>
  <si>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</si>
  <si>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</si>
  <si>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</si>
  <si>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</si>
  <si>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</si>
  <si>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</si>
  <si>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</si>
  <si>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</si>
  <si>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</si>
  <si>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</si>
  <si>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</si>
  <si>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</si>
  <si>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</si>
  <si>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</si>
  <si>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</si>
  <si>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</si>
  <si>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</si>
  <si>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</si>
  <si>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</si>
  <si>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</si>
  <si>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</si>
  <si>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</si>
  <si>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</si>
  <si>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</si>
  <si>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</si>
  <si>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</si>
  <si>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</si>
  <si>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</si>
  <si>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</si>
  <si>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</si>
  <si>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</si>
  <si>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</si>
  <si>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</si>
  <si>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</si>
  <si>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</si>
  <si>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</si>
  <si>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</si>
  <si>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</si>
  <si>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</si>
  <si>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</si>
  <si>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</si>
  <si>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</si>
  <si>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</si>
  <si>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</si>
  <si>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</si>
  <si>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</si>
  <si>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</si>
  <si>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</si>
  <si>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</si>
  <si>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</si>
  <si>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</si>
  <si>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</si>
  <si>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</si>
  <si>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</si>
  <si>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</si>
  <si>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</si>
  <si>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</si>
  <si>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</si>
  <si>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</si>
  <si>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</si>
  <si>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</si>
  <si>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</si>
  <si>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</si>
  <si>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</si>
  <si>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</si>
  <si>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</si>
  <si>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</si>
  <si>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</si>
  <si>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</si>
  <si>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</si>
  <si>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</si>
  <si>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</si>
  <si>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</si>
  <si>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</si>
  <si>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</si>
  <si>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</si>
  <si>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</si>
  <si>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</si>
  <si>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</si>
  <si>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</si>
  <si>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</si>
  <si>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</si>
  <si>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</si>
  <si>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</si>
  <si>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</si>
  <si>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</si>
  <si>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</si>
  <si>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</si>
  <si>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</si>
  <si>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</si>
  <si>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</si>
  <si>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</si>
  <si>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</si>
  <si>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</si>
  <si>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</si>
  <si>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</si>
  <si>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</si>
  <si>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</si>
  <si>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</si>
  <si>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</si>
  <si>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</si>
  <si>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</si>
  <si>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</si>
  <si>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</si>
  <si>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</si>
  <si>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</si>
  <si>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</si>
  <si>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</si>
  <si>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</si>
  <si>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</si>
  <si>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</si>
  <si>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</si>
  <si>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</si>
  <si>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</si>
  <si>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</si>
  <si>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</si>
  <si>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</si>
  <si>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</si>
  <si>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</si>
  <si>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</si>
  <si>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</si>
  <si>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</si>
  <si>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</si>
  <si>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</si>
  <si>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</si>
  <si>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</si>
  <si>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</si>
  <si>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</si>
  <si>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</si>
  <si>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</si>
  <si>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</si>
  <si>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</si>
  <si>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</si>
  <si>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</si>
  <si>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</si>
  <si>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</si>
  <si>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</si>
  <si>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</si>
  <si>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</si>
  <si>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</si>
  <si>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</si>
  <si>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</si>
  <si>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</si>
  <si>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</si>
  <si>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</si>
  <si>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</si>
  <si>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</si>
  <si>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</si>
  <si>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</si>
  <si>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</si>
  <si>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</si>
  <si>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</si>
  <si>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</si>
  <si>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</si>
  <si>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</si>
  <si>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</si>
  <si>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</si>
  <si>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</si>
  <si>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</si>
  <si>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</si>
  <si>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</si>
  <si>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</si>
  <si>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</si>
  <si>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</si>
  <si>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</si>
  <si>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</si>
  <si>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</si>
  <si>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Sign(x2) * abs(x1)</t>
  </si>
  <si>
    <t>Damp(x)</t>
  </si>
  <si>
    <t xml:space="preserve">Logarithmic damping </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</si>
  <si>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</si>
  <si>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</si>
  <si>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</si>
  <si>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</si>
  <si>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</si>
  <si>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</si>
  <si>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</si>
  <si>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</si>
  <si>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</si>
  <si>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</si>
  <si>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</si>
  <si>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</si>
  <si>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</si>
  <si>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</si>
  <si>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</si>
  <si>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</si>
  <si>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</si>
  <si>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</si>
  <si>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</si>
  <si>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</si>
  <si>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</si>
  <si>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</si>
  <si>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</si>
  <si>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</si>
  <si>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</si>
  <si>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</si>
  <si>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</si>
  <si>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</si>
  <si>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</si>
  <si>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</si>
  <si>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</si>
  <si>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</si>
  <si>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</si>
  <si>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</si>
  <si>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</si>
  <si>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</si>
  <si>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</si>
  <si>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</si>
  <si>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</si>
  <si>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</si>
  <si>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</si>
  <si>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</si>
  <si>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</si>
  <si>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</si>
  <si>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</si>
  <si>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</si>
  <si>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</si>
  <si>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</si>
  <si>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</si>
  <si>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</si>
  <si>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</si>
  <si>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</si>
  <si>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</si>
  <si>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</si>
  <si>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</si>
  <si>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</si>
  <si>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</si>
  <si>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</si>
  <si>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</si>
  <si>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</si>
  <si>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</si>
  <si>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</si>
  <si>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</si>
  <si>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</si>
  <si>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</si>
  <si>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</si>
  <si>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</si>
  <si>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</si>
  <si>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</si>
  <si>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</si>
  <si>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</si>
  <si>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</si>
  <si>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</si>
  <si>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</si>
  <si>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</si>
  <si>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</si>
  <si>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</si>
  <si>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</si>
  <si>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</si>
  <si>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</si>
  <si>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</si>
  <si>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</si>
  <si>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</si>
  <si>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</si>
  <si>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</si>
  <si>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</si>
  <si>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</si>
  <si>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</si>
  <si>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</si>
  <si>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</si>
  <si>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</si>
  <si>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</si>
  <si>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</si>
  <si>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</si>
  <si>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</si>
  <si>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</si>
  <si>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</si>
  <si>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</si>
  <si>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</si>
  <si>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</si>
  <si>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</si>
  <si>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</si>
  <si>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</si>
  <si>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</si>
  <si>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</si>
  <si>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</si>
  <si>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</si>
  <si>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</si>
  <si>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</si>
  <si>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</si>
  <si>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</si>
  <si>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</si>
  <si>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</si>
  <si>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</si>
  <si>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</si>
  <si>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</si>
  <si>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</si>
  <si>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</si>
  <si>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</si>
  <si>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</si>
  <si>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</si>
  <si>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</si>
  <si>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</si>
  <si>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</si>
  <si>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</si>
  <si>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</si>
  <si>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</si>
  <si>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</si>
  <si>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</si>
  <si>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</si>
  <si>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</si>
  <si>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</si>
  <si>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</si>
  <si>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</si>
  <si>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</si>
  <si>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</si>
  <si>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</si>
  <si>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</si>
  <si>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</si>
  <si>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</si>
  <si>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</si>
  <si>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</si>
  <si>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</si>
  <si>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</si>
  <si>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</si>
  <si>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</si>
  <si>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</si>
  <si>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</si>
  <si>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</si>
  <si>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</si>
  <si>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</si>
  <si>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</si>
  <si>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</si>
  <si>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</si>
  <si>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</si>
  <si>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</si>
  <si>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</si>
  <si>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</si>
  <si>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</si>
  <si>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</si>
  <si>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</si>
  <si>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</si>
  <si>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</si>
  <si>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</si>
  <si>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</si>
  <si>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</si>
  <si>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</si>
  <si>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</si>
  <si>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</si>
  <si>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</si>
  <si>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</si>
  <si>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</si>
  <si>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</si>
  <si>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</si>
  <si>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</si>
  <si>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</si>
  <si>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</si>
  <si>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</si>
  <si>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</si>
  <si>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</si>
  <si>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</si>
  <si>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</si>
  <si>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</si>
  <si>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</si>
  <si>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</si>
  <si>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</si>
  <si>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</si>
  <si>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</si>
  <si>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</si>
  <si>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</si>
  <si>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</si>
  <si>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</si>
  <si>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</si>
  <si>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</si>
  <si>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</si>
  <si>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pH; Precipitation</t>
  </si>
  <si>
    <t>pH; Non-Precipitation</t>
  </si>
  <si>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</si>
  <si>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</si>
  <si>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</si>
  <si>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</si>
  <si>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</si>
  <si>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</si>
  <si>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</si>
  <si>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</si>
  <si>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</si>
  <si>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</si>
  <si>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</si>
  <si>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</si>
  <si>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</si>
  <si>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PAO</t>
    </r>
    <r>
      <rPr>
        <sz val="11"/>
        <rFont val="Calibri"/>
        <family val="2"/>
      </rPr>
      <t>)</t>
    </r>
  </si>
  <si>
    <r>
      <t>f(X</t>
    </r>
    <r>
      <rPr>
        <vertAlign val="subscript"/>
        <sz val="11"/>
        <rFont val="Calibri"/>
        <family val="2"/>
      </rPr>
      <t>B</t>
    </r>
    <r>
      <rPr>
        <sz val="11"/>
        <rFont val="Calibri"/>
        <family val="2"/>
      </rPr>
      <t>)</t>
    </r>
  </si>
  <si>
    <t>Non-pH; Non-Precipitation</t>
  </si>
  <si>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</si>
  <si>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</si>
  <si>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</si>
  <si>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</si>
  <si>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</si>
  <si>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</si>
  <si>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</si>
  <si>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</si>
  <si>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</si>
  <si>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</si>
  <si>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</si>
  <si>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</si>
  <si>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</si>
  <si>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</si>
  <si>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</si>
  <si>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</si>
  <si>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</si>
  <si>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</si>
  <si>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</si>
  <si>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</si>
  <si>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</si>
  <si>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</si>
  <si>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</si>
  <si>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</si>
  <si>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</si>
  <si>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</si>
  <si>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</si>
  <si>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</si>
  <si>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</si>
  <si>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</si>
  <si>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</si>
  <si>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</si>
  <si>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</si>
  <si>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</si>
  <si>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</si>
  <si>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</si>
  <si>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</si>
  <si>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</si>
  <si>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</si>
  <si>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</si>
  <si>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</si>
  <si>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</si>
  <si>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</si>
  <si>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</si>
  <si>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</si>
  <si>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</si>
  <si>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</si>
  <si>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</si>
  <si>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</si>
  <si>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</si>
  <si>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</si>
  <si>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</si>
  <si>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</si>
  <si>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</si>
  <si>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</si>
  <si>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</si>
  <si>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</si>
  <si>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</si>
  <si>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</si>
  <si>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</si>
  <si>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</si>
  <si>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</si>
  <si>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</si>
  <si>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</si>
  <si>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</si>
  <si>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t>XB hydrolysis</t>
  </si>
  <si>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</si>
  <si>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</si>
  <si>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</si>
  <si>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</si>
  <si>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t>SN,B ammonification</t>
  </si>
  <si>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</si>
  <si>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t>XE conversion</t>
  </si>
  <si>
    <r>
      <t>NO</t>
    </r>
    <r>
      <rPr>
        <vertAlign val="subscript"/>
        <sz val="11"/>
        <color rgb="FF000000"/>
        <rFont val="Calibri"/>
        <family val="2"/>
        <scheme val="minor"/>
      </rPr>
      <t>3</t>
    </r>
    <r>
      <rPr>
        <sz val="11"/>
        <color rgb="FF000000"/>
        <rFont val="Calibri"/>
        <family val="2"/>
        <charset val="238"/>
        <scheme val="minor"/>
      </rPr>
      <t xml:space="preserve"> assimilative reduction</t>
    </r>
  </si>
  <si>
    <r>
      <t>1+EEQ</t>
    </r>
    <r>
      <rPr>
        <vertAlign val="subscript"/>
        <sz val="11"/>
        <rFont val="Calibri"/>
        <family val="2"/>
      </rPr>
      <t>NO3</t>
    </r>
    <r>
      <rPr>
        <sz val="11"/>
        <rFont val="Calibri"/>
        <family val="2"/>
      </rPr>
      <t>*i</t>
    </r>
    <r>
      <rPr>
        <vertAlign val="subscript"/>
        <sz val="11"/>
        <rFont val="Calibri"/>
        <family val="2"/>
      </rPr>
      <t>N,BIO</t>
    </r>
  </si>
  <si>
    <r>
      <t>EEQ</t>
    </r>
    <r>
      <rPr>
        <vertAlign val="subscript"/>
        <sz val="11"/>
        <rFont val="Calibri"/>
        <family val="2"/>
      </rPr>
      <t>NO3</t>
    </r>
    <r>
      <rPr>
        <sz val="11"/>
        <rFont val="Calibri"/>
        <family val="2"/>
      </rPr>
      <t>*i</t>
    </r>
    <r>
      <rPr>
        <vertAlign val="subscript"/>
        <sz val="11"/>
        <rFont val="Calibri"/>
        <family val="2"/>
      </rPr>
      <t>P,BIO</t>
    </r>
  </si>
  <si>
    <r>
      <t>i</t>
    </r>
    <r>
      <rPr>
        <vertAlign val="subscript"/>
        <sz val="11"/>
        <rFont val="Calibri"/>
        <family val="2"/>
      </rPr>
      <t>CIT,BIO</t>
    </r>
    <r>
      <rPr>
        <sz val="11"/>
        <rFont val="Calibri"/>
        <family val="2"/>
      </rPr>
      <t>*EEQ</t>
    </r>
    <r>
      <rPr>
        <vertAlign val="subscript"/>
        <sz val="11"/>
        <rFont val="Calibri"/>
        <family val="2"/>
      </rPr>
      <t>NO3</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</si>
  <si>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</si>
  <si>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</si>
  <si>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</si>
  <si>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</si>
  <si>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</si>
  <si>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</si>
  <si>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</si>
  <si>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</si>
  <si>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</si>
  <si>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</si>
  <si>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</si>
  <si>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</si>
  <si>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</si>
  <si>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</si>
  <si>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</si>
  <si>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</si>
  <si>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</si>
  <si>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</si>
  <si>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</si>
  <si>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</si>
  <si>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</si>
  <si>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</si>
  <si>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</si>
  <si>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</si>
  <si>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</si>
  <si>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</si>
  <si>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</si>
  <si>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</si>
  <si>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</si>
  <si>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</si>
  <si>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</si>
  <si>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</si>
  <si>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η</t>
    </r>
    <r>
      <rPr>
        <vertAlign val="subscript"/>
        <sz val="11"/>
        <rFont val="Calibri"/>
        <family val="2"/>
        <scheme val="minor"/>
      </rPr>
      <t>OHO,anox</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</si>
  <si>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</si>
  <si>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</si>
  <si>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</si>
  <si>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OHO,VFA,anox</t>
    </r>
  </si>
  <si>
    <r>
      <t>Y</t>
    </r>
    <r>
      <rPr>
        <vertAlign val="subscript"/>
        <sz val="11"/>
        <rFont val="Calibri"/>
        <family val="2"/>
        <scheme val="minor"/>
      </rPr>
      <t>OHO,SB,ox</t>
    </r>
  </si>
  <si>
    <r>
      <t>Y</t>
    </r>
    <r>
      <rPr>
        <vertAlign val="subscript"/>
        <sz val="11"/>
        <rFont val="Calibri"/>
        <family val="2"/>
        <scheme val="minor"/>
      </rPr>
      <t>OHO,SB,anox</t>
    </r>
  </si>
  <si>
    <r>
      <t>Y</t>
    </r>
    <r>
      <rPr>
        <vertAlign val="subscript"/>
        <sz val="11"/>
        <rFont val="Calibri"/>
        <family val="2"/>
        <scheme val="minor"/>
      </rPr>
      <t>OHO,SB,ana</t>
    </r>
  </si>
  <si>
    <r>
      <t>Y</t>
    </r>
    <r>
      <rPr>
        <vertAlign val="subscript"/>
        <sz val="11"/>
        <rFont val="Calibri"/>
        <family val="2"/>
        <scheme val="minor"/>
      </rPr>
      <t>OHO,SMEOL,ox</t>
    </r>
  </si>
  <si>
    <t>XE,ana hydrolysis</t>
  </si>
  <si>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</si>
  <si>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</si>
  <si>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</si>
  <si>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OHO,VFA,anox</t>
    </r>
  </si>
  <si>
    <r>
      <t>-1/Y</t>
    </r>
    <r>
      <rPr>
        <vertAlign val="subscript"/>
        <sz val="11"/>
        <rFont val="Calibri"/>
        <family val="2"/>
      </rPr>
      <t>OHO,SB,ox</t>
    </r>
  </si>
  <si>
    <r>
      <t>-1/Y</t>
    </r>
    <r>
      <rPr>
        <vertAlign val="subscript"/>
        <sz val="11"/>
        <rFont val="Calibri"/>
        <family val="2"/>
      </rPr>
      <t>OHO,SB,anox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</si>
  <si>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</si>
  <si>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</si>
  <si>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</si>
  <si>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</si>
  <si>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</si>
  <si>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</si>
  <si>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</si>
  <si>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</si>
  <si>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</si>
  <si>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</si>
  <si>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</si>
  <si>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</si>
  <si>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</si>
  <si>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</si>
  <si>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</si>
  <si>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</si>
  <si>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</si>
  <si>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</si>
  <si>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X</t>
    </r>
    <r>
      <rPr>
        <vertAlign val="subscript"/>
        <sz val="11"/>
        <rFont val="Calibri"/>
        <family val="2"/>
        <scheme val="minor"/>
      </rPr>
      <t>VSS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+S</t>
    </r>
    <r>
      <rPr>
        <vertAlign val="subscript"/>
        <sz val="11"/>
        <rFont val="Calibri"/>
        <family val="2"/>
        <scheme val="minor"/>
      </rPr>
      <t>MEOL</t>
    </r>
    <r>
      <rPr>
        <sz val="11"/>
        <rFont val="Calibri"/>
        <family val="2"/>
        <scheme val="minor"/>
      </rPr>
      <t>/i</t>
    </r>
    <r>
      <rPr>
        <vertAlign val="subscript"/>
        <sz val="11"/>
        <rFont val="Calibri"/>
        <family val="2"/>
        <scheme val="minor"/>
      </rPr>
      <t>CV,MEOL</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</si>
  <si>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</si>
  <si>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</si>
  <si>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</si>
  <si>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</si>
  <si>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</si>
  <si>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</si>
  <si>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</si>
  <si>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</si>
  <si>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</si>
  <si>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</si>
  <si>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</si>
  <si>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</si>
  <si>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</si>
  <si>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</si>
  <si>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</si>
  <si>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</si>
  <si>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</si>
  <si>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</si>
  <si>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</si>
  <si>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</si>
  <si>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</si>
  <si>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</si>
  <si>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</si>
  <si>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</si>
  <si>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</si>
  <si>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</si>
  <si>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</si>
  <si>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</si>
  <si>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</si>
  <si>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</si>
  <si>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</si>
  <si>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</si>
  <si>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</si>
  <si>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</si>
  <si>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</si>
  <si>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</si>
  <si>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</si>
  <si>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</si>
  <si>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</si>
  <si>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</si>
  <si>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</si>
  <si>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</si>
  <si>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</si>
  <si>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</si>
  <si>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</si>
  <si>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</si>
  <si>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</si>
  <si>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</si>
  <si>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</si>
  <si>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</si>
  <si>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</si>
  <si>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</si>
  <si>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</si>
  <si>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</si>
  <si>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</si>
  <si>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</si>
  <si>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</si>
  <si>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</si>
  <si>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</si>
  <si>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</si>
  <si>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MRsat(X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</si>
  <si>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</si>
  <si>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</si>
  <si>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</si>
  <si>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</si>
  <si>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</si>
  <si>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</si>
  <si>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</si>
  <si>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</si>
  <si>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</si>
  <si>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</si>
  <si>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</si>
  <si>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</si>
  <si>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</si>
  <si>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</si>
  <si>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</si>
  <si>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</si>
  <si>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</si>
  <si>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</si>
  <si>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</si>
  <si>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</si>
  <si>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</si>
  <si>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</si>
  <si>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</si>
  <si>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</si>
  <si>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</si>
  <si>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</si>
  <si>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</si>
  <si>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</si>
  <si>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</si>
  <si>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HYD,T</t>
    </r>
  </si>
  <si>
    <r>
      <t>q</t>
    </r>
    <r>
      <rPr>
        <vertAlign val="subscript"/>
        <sz val="11"/>
        <color indexed="8"/>
        <rFont val="Calibri"/>
        <family val="2"/>
        <scheme val="minor"/>
      </rPr>
      <t>HYD</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</si>
  <si>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</si>
  <si>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</si>
  <si>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</si>
  <si>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</si>
  <si>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</si>
  <si>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</si>
  <si>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</si>
  <si>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</si>
  <si>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</si>
  <si>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</si>
  <si>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</si>
  <si>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</si>
  <si>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</si>
  <si>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</si>
  <si>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</si>
  <si>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</si>
  <si>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</si>
  <si>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</si>
  <si>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</si>
  <si>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</si>
  <si>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</si>
  <si>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</si>
  <si>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</si>
  <si>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r>
      <t>MRsat</t>
    </r>
    <r>
      <rPr>
        <vertAlign val="subscript"/>
        <sz val="11"/>
        <rFont val="Calibri"/>
        <family val="2"/>
        <scheme val="minor"/>
      </rPr>
      <t>CB,XBIO,KFLOC</t>
    </r>
  </si>
  <si>
    <r>
      <t>MRsat</t>
    </r>
    <r>
      <rPr>
        <vertAlign val="subscript"/>
        <sz val="11"/>
        <rFont val="Calibri"/>
        <family val="2"/>
        <scheme val="minor"/>
      </rPr>
      <t>CU,XBIO,KFLOC</t>
    </r>
  </si>
  <si>
    <r>
      <t>MRsat</t>
    </r>
    <r>
      <rPr>
        <vertAlign val="subscript"/>
        <sz val="11"/>
        <rFont val="Calibri"/>
        <family val="2"/>
        <scheme val="minor"/>
      </rPr>
      <t>XB,XBIO,KHYD</t>
    </r>
  </si>
  <si>
    <r>
      <rPr>
        <sz val="11"/>
        <rFont val="Calibri"/>
        <family val="2"/>
        <scheme val="minor"/>
      </rPr>
      <t>MRsat</t>
    </r>
    <r>
      <rPr>
        <vertAlign val="subscript"/>
        <sz val="11"/>
        <rFont val="Calibri"/>
        <family val="2"/>
        <scheme val="minor"/>
      </rPr>
      <t>XEana,XBIO,KHYD</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</si>
  <si>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</si>
  <si>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</si>
  <si>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</si>
  <si>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</si>
  <si>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</si>
  <si>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</si>
  <si>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</si>
  <si>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</si>
  <si>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</si>
  <si>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</si>
  <si>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</si>
  <si>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</si>
  <si>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</si>
  <si>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</si>
  <si>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</si>
  <si>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</si>
  <si>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</si>
  <si>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</si>
  <si>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</si>
  <si>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Unitless</t>
  </si>
  <si>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</si>
  <si>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</si>
  <si>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</si>
  <si>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</si>
  <si>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</si>
  <si>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</si>
  <si>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</si>
  <si>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</si>
  <si>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</si>
  <si>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</si>
  <si>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</si>
  <si>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</si>
  <si>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</si>
  <si>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</si>
  <si>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</si>
  <si>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</si>
  <si>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</si>
  <si>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</si>
  <si>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</si>
  <si>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</si>
  <si>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</si>
  <si>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</si>
  <si>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</si>
  <si>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</si>
  <si>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</si>
  <si>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</si>
  <si>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</si>
  <si>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</si>
  <si>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</si>
  <si>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</si>
  <si>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</si>
  <si>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</si>
  <si>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</si>
  <si>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</si>
  <si>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</si>
  <si>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</si>
  <si>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</si>
  <si>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</si>
  <si>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</si>
  <si>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</si>
  <si>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</si>
  <si>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</si>
  <si>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</si>
  <si>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</si>
  <si>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</si>
  <si>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</si>
  <si>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</si>
  <si>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</si>
  <si>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</si>
  <si>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</si>
  <si>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</si>
  <si>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</si>
  <si>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FLOC,AS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</si>
  <si>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</si>
  <si>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</si>
  <si>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</si>
  <si>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FLOC,AS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</si>
  <si>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</si>
  <si>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</si>
  <si>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</si>
  <si>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</si>
  <si>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</si>
  <si>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</si>
  <si>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</si>
  <si>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</si>
  <si>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</si>
  <si>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</si>
  <si>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</si>
  <si>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</si>
  <si>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</si>
  <si>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</si>
  <si>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</si>
  <si>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</si>
  <si>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</si>
  <si>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</si>
  <si>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</si>
  <si>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</si>
  <si>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</si>
  <si>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</si>
  <si>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</si>
  <si>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</si>
  <si>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</si>
  <si>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</si>
  <si>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</si>
  <si>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</si>
  <si>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</si>
  <si>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</si>
  <si>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</si>
  <si>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</si>
  <si>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</si>
  <si>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</si>
  <si>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</si>
  <si>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</si>
  <si>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</si>
  <si>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</si>
  <si>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</si>
  <si>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</si>
  <si>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</si>
  <si>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</si>
  <si>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</si>
  <si>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</si>
  <si>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(1-f</t>
    </r>
    <r>
      <rPr>
        <vertAlign val="subscript"/>
        <sz val="11"/>
        <rFont val="Calibri"/>
        <family val="2"/>
      </rPr>
      <t>E</t>
    </r>
    <r>
      <rPr>
        <sz val="11"/>
        <rFont val="Calibri"/>
        <family val="2"/>
      </rPr>
      <t>)*(i</t>
    </r>
    <r>
      <rPr>
        <vertAlign val="subscript"/>
        <sz val="11"/>
        <rFont val="Calibri"/>
        <family val="2"/>
      </rPr>
      <t>CIT,BIO</t>
    </r>
    <r>
      <rPr>
        <sz val="11"/>
        <rFont val="Calibri"/>
        <family val="2"/>
      </rPr>
      <t>-i</t>
    </r>
    <r>
      <rPr>
        <vertAlign val="subscript"/>
        <sz val="11"/>
        <rFont val="Calibri"/>
        <family val="2"/>
      </rPr>
      <t>CIT,SB</t>
    </r>
    <r>
      <rPr>
        <sz val="11"/>
        <rFont val="Calibri"/>
        <family val="2"/>
      </rPr>
      <t>)</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</si>
  <si>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</si>
  <si>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</si>
  <si>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</si>
  <si>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</si>
  <si>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</si>
  <si>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</si>
  <si>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</si>
  <si>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</si>
  <si>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</si>
  <si>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</si>
  <si>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</si>
  <si>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</si>
  <si>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</si>
  <si>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Key(930)</t>
  </si>
  <si>
    <t>Key(940)</t>
  </si>
  <si>
    <t>Key(950)</t>
  </si>
  <si>
    <t>Key(960)</t>
  </si>
  <si>
    <t>Key(970)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</si>
  <si>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</si>
  <si>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</si>
  <si>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</si>
  <si>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</si>
  <si>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</si>
  <si>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</si>
  <si>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</si>
  <si>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</si>
  <si>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</si>
  <si>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</si>
  <si>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</si>
  <si>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</si>
  <si>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</si>
  <si>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</si>
  <si>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</si>
  <si>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</si>
  <si>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</si>
  <si>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</si>
  <si>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</si>
  <si>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</si>
  <si>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</si>
  <si>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</si>
  <si>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</si>
  <si>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</si>
  <si>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</si>
  <si>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</si>
  <si>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</si>
  <si>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</si>
  <si>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</si>
  <si>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</si>
  <si>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</si>
  <si>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</si>
  <si>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</si>
  <si>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</si>
  <si>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</si>
  <si>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</si>
  <si>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</si>
  <si>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</si>
  <si>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</si>
  <si>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</si>
  <si>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</si>
  <si>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</si>
  <si>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</si>
  <si>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</si>
  <si>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</si>
  <si>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</si>
  <si>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</si>
  <si>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</si>
  <si>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</si>
  <si>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</si>
  <si>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</si>
  <si>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</si>
  <si>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</si>
  <si>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</si>
  <si>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</si>
  <si>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</si>
  <si>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</si>
  <si>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</si>
  <si>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</si>
  <si>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</si>
  <si>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</si>
  <si>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</si>
  <si>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</si>
  <si>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</si>
  <si>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</si>
  <si>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</si>
  <si>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</si>
  <si>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</si>
  <si>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</si>
  <si>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</si>
  <si>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</si>
  <si>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</si>
  <si>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</si>
  <si>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</si>
  <si>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</si>
  <si>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</si>
  <si>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</si>
  <si>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</si>
  <si>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</si>
  <si>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</si>
  <si>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</si>
  <si>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</si>
  <si>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</si>
  <si>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</si>
  <si>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</si>
  <si>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</si>
  <si>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</si>
  <si>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</si>
  <si>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</si>
  <si>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</si>
  <si>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</si>
  <si>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</si>
  <si>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</si>
  <si>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</si>
  <si>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</si>
  <si>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</si>
  <si>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</si>
  <si>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</si>
  <si>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</si>
  <si>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</si>
  <si>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</si>
  <si>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</si>
  <si>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</si>
  <si>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</si>
  <si>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</si>
  <si>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</si>
  <si>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</si>
  <si>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</si>
  <si>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</si>
  <si>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</si>
  <si>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</si>
  <si>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r>
      <t>X</t>
    </r>
    <r>
      <rPr>
        <b/>
        <vertAlign val="subscript"/>
        <sz val="11"/>
        <rFont val="Calibri"/>
        <family val="2"/>
        <scheme val="minor"/>
      </rPr>
      <t>GLY</t>
    </r>
  </si>
  <si>
    <t>Glycogen accumulating organisms</t>
  </si>
  <si>
    <t>GAO's GLY storage from VFAs</t>
  </si>
  <si>
    <r>
      <t>i</t>
    </r>
    <r>
      <rPr>
        <vertAlign val="subscript"/>
        <sz val="11"/>
        <rFont val="Calibri"/>
        <family val="2"/>
      </rPr>
      <t>CIT,VFA</t>
    </r>
    <r>
      <rPr>
        <sz val="11"/>
        <rFont val="Calibri"/>
        <family val="2"/>
      </rPr>
      <t>-i</t>
    </r>
    <r>
      <rPr>
        <vertAlign val="subscript"/>
        <sz val="11"/>
        <rFont val="Calibri"/>
        <family val="2"/>
      </rPr>
      <t>CIT,GLY</t>
    </r>
  </si>
  <si>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</si>
  <si>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</si>
  <si>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</si>
  <si>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</si>
  <si>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</si>
  <si>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K</t>
    </r>
    <r>
      <rPr>
        <vertAlign val="subscript"/>
        <sz val="11"/>
        <rFont val="Calibri"/>
        <family val="2"/>
        <scheme val="minor"/>
      </rPr>
      <t>GLY</t>
    </r>
  </si>
  <si>
    <r>
      <t>MRsat</t>
    </r>
    <r>
      <rPr>
        <vertAlign val="subscript"/>
        <sz val="11"/>
        <rFont val="Calibri"/>
        <family val="2"/>
        <scheme val="minor"/>
      </rPr>
      <t>XGLY,XGAO,KGLY</t>
    </r>
  </si>
  <si>
    <r>
      <t>MRsat(X</t>
    </r>
    <r>
      <rPr>
        <vertAlign val="subscript"/>
        <sz val="11"/>
        <rFont val="Calibri"/>
        <family val="2"/>
        <scheme val="minor"/>
      </rPr>
      <t>GLY</t>
    </r>
    <r>
      <rPr>
        <sz val="11"/>
        <rFont val="Calibri"/>
        <family val="2"/>
        <scheme val="minor"/>
      </rPr>
      <t>;X</t>
    </r>
    <r>
      <rPr>
        <vertAlign val="subscript"/>
        <sz val="11"/>
        <rFont val="Calibri"/>
        <family val="2"/>
        <scheme val="minor"/>
      </rPr>
      <t>GAO</t>
    </r>
    <r>
      <rPr>
        <sz val="11"/>
        <rFont val="Calibri"/>
        <family val="2"/>
        <scheme val="minor"/>
      </rPr>
      <t>;K</t>
    </r>
    <r>
      <rPr>
        <vertAlign val="subscript"/>
        <sz val="11"/>
        <rFont val="Calibri"/>
        <family val="2"/>
        <scheme val="minor"/>
      </rPr>
      <t>GLY</t>
    </r>
    <r>
      <rPr>
        <sz val="11"/>
        <rFont val="Calibri"/>
        <family val="2"/>
        <scheme val="minor"/>
      </rPr>
      <t>)</t>
    </r>
  </si>
  <si>
    <r>
      <t>Y</t>
    </r>
    <r>
      <rPr>
        <vertAlign val="subscript"/>
        <sz val="11"/>
        <rFont val="Calibri"/>
        <family val="2"/>
        <scheme val="minor"/>
      </rPr>
      <t>BOD,ult</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scheme val="minor"/>
      </rPr>
      <t>PHA</t>
    </r>
    <r>
      <rPr>
        <sz val="11"/>
        <rFont val="Calibri"/>
        <family val="2"/>
        <scheme val="minor"/>
      </rPr>
      <t>+X</t>
    </r>
    <r>
      <rPr>
        <vertAlign val="subscript"/>
        <sz val="11"/>
        <rFont val="Calibri"/>
        <family val="2"/>
        <scheme val="minor"/>
      </rPr>
      <t>GLY</t>
    </r>
    <r>
      <rPr>
        <sz val="11"/>
        <rFont val="Calibri"/>
        <family val="2"/>
        <scheme val="minor"/>
      </rPr>
      <t>)</t>
    </r>
  </si>
  <si>
    <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scheme val="minor"/>
      </rPr>
      <t>U</t>
    </r>
    <r>
      <rPr>
        <sz val="11"/>
        <rFont val="Calibri"/>
        <family val="2"/>
        <scheme val="minor"/>
      </rPr>
      <t>+X</t>
    </r>
    <r>
      <rPr>
        <vertAlign val="subscript"/>
        <sz val="11"/>
        <rFont val="Calibri"/>
        <family val="2"/>
        <scheme val="minor"/>
      </rPr>
      <t>PHA</t>
    </r>
    <r>
      <rPr>
        <sz val="11"/>
        <rFont val="Calibri"/>
        <family val="2"/>
        <scheme val="minor"/>
      </rPr>
      <t>+X</t>
    </r>
    <r>
      <rPr>
        <vertAlign val="subscript"/>
        <sz val="11"/>
        <rFont val="Calibri"/>
        <family val="2"/>
        <scheme val="minor"/>
      </rPr>
      <t>GLY</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</si>
  <si>
    <r>
      <t>i</t>
    </r>
    <r>
      <rPr>
        <vertAlign val="subscript"/>
        <sz val="11"/>
        <rFont val="Calibri"/>
        <family val="2"/>
        <scheme val="minor"/>
      </rPr>
      <t>CV,GLY</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</si>
  <si>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</si>
  <si>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</si>
  <si>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</si>
  <si>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i</t>
    </r>
    <r>
      <rPr>
        <vertAlign val="subscript"/>
        <sz val="11"/>
        <rFont val="Calibri"/>
        <family val="2"/>
        <scheme val="minor"/>
      </rPr>
      <t>CIT,GLY</t>
    </r>
  </si>
  <si>
    <r>
      <t>MRsat</t>
    </r>
    <r>
      <rPr>
        <vertAlign val="subscript"/>
        <sz val="11"/>
        <rFont val="Calibri"/>
        <family val="2"/>
        <scheme val="minor"/>
      </rPr>
      <t>XPP,XPAO,KPP</t>
    </r>
  </si>
  <si>
    <r>
      <t>[C</t>
    </r>
    <r>
      <rPr>
        <vertAlign val="subscript"/>
        <sz val="11"/>
        <color indexed="8"/>
        <rFont val="Calibri"/>
        <family val="2"/>
        <scheme val="minor"/>
      </rPr>
      <t>6</t>
    </r>
    <r>
      <rPr>
        <sz val="11"/>
        <color indexed="8"/>
        <rFont val="Calibri"/>
        <family val="2"/>
        <scheme val="minor"/>
      </rPr>
      <t>H</t>
    </r>
    <r>
      <rPr>
        <vertAlign val="subscript"/>
        <sz val="11"/>
        <color indexed="8"/>
        <rFont val="Calibri"/>
        <family val="2"/>
        <scheme val="minor"/>
      </rPr>
      <t>10</t>
    </r>
    <r>
      <rPr>
        <sz val="11"/>
        <color indexed="8"/>
        <rFont val="Calibri"/>
        <family val="2"/>
        <scheme val="minor"/>
      </rPr>
      <t>O</t>
    </r>
    <r>
      <rPr>
        <vertAlign val="subscript"/>
        <sz val="11"/>
        <color indexed="8"/>
        <rFont val="Calibri"/>
        <family val="2"/>
        <scheme val="minor"/>
      </rPr>
      <t>5</t>
    </r>
    <r>
      <rPr>
        <sz val="11"/>
        <color indexed="8"/>
        <rFont val="Calibri"/>
        <family val="2"/>
        <scheme val="minor"/>
      </rPr>
      <t>]</t>
    </r>
    <r>
      <rPr>
        <vertAlign val="subscript"/>
        <sz val="11"/>
        <color indexed="8"/>
        <rFont val="Calibri"/>
        <family val="2"/>
        <scheme val="minor"/>
      </rPr>
      <t>n</t>
    </r>
    <r>
      <rPr>
        <sz val="11"/>
        <color indexed="8"/>
        <rFont val="Calibri"/>
        <family val="2"/>
        <scheme val="minor"/>
      </rPr>
      <t>: 32 g COD/mol C</t>
    </r>
  </si>
  <si>
    <r>
      <t>q</t>
    </r>
    <r>
      <rPr>
        <vertAlign val="subscript"/>
        <sz val="11"/>
        <color indexed="8"/>
        <rFont val="Calibri"/>
        <family val="2"/>
        <scheme val="minor"/>
      </rPr>
      <t>GAO,GLY,T</t>
    </r>
  </si>
  <si>
    <r>
      <t>q</t>
    </r>
    <r>
      <rPr>
        <vertAlign val="subscript"/>
        <sz val="11"/>
        <color indexed="8"/>
        <rFont val="Calibri"/>
        <family val="2"/>
        <scheme val="minor"/>
      </rPr>
      <t>GAO,GLY</t>
    </r>
    <r>
      <rPr>
        <sz val="11"/>
        <color indexed="8"/>
        <rFont val="Calibri"/>
        <family val="2"/>
        <scheme val="minor"/>
      </rPr>
      <t>*Arrh(θ</t>
    </r>
    <r>
      <rPr>
        <vertAlign val="subscript"/>
        <sz val="11"/>
        <color indexed="8"/>
        <rFont val="Calibri"/>
        <family val="2"/>
        <scheme val="minor"/>
      </rPr>
      <t>q,GAO,GLY</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</si>
  <si>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q,GAO,GLY</t>
    </r>
  </si>
  <si>
    <t>Arrhenius coefficient for GLY storage</t>
  </si>
  <si>
    <t>r50</t>
  </si>
  <si>
    <t>r51</t>
  </si>
  <si>
    <t>r52</t>
  </si>
  <si>
    <t>r53</t>
  </si>
  <si>
    <t>r54</t>
  </si>
  <si>
    <t>r55</t>
  </si>
  <si>
    <t>r56</t>
  </si>
  <si>
    <t>r57</t>
  </si>
  <si>
    <r>
      <t>MRinh</t>
    </r>
    <r>
      <rPr>
        <vertAlign val="subscript"/>
        <sz val="11"/>
        <rFont val="Calibri"/>
        <family val="2"/>
        <scheme val="minor"/>
      </rPr>
      <t>XGLY,XGAO,KGLY</t>
    </r>
  </si>
  <si>
    <r>
      <t>MRinh(X</t>
    </r>
    <r>
      <rPr>
        <vertAlign val="subscript"/>
        <sz val="11"/>
        <rFont val="Calibri"/>
        <family val="2"/>
        <scheme val="minor"/>
      </rPr>
      <t>GLY</t>
    </r>
    <r>
      <rPr>
        <sz val="11"/>
        <rFont val="Calibri"/>
        <family val="2"/>
        <scheme val="minor"/>
      </rPr>
      <t>;X</t>
    </r>
    <r>
      <rPr>
        <vertAlign val="subscript"/>
        <sz val="11"/>
        <rFont val="Calibri"/>
        <family val="2"/>
        <scheme val="minor"/>
      </rPr>
      <t>GAO</t>
    </r>
    <r>
      <rPr>
        <sz val="11"/>
        <rFont val="Calibri"/>
        <family val="2"/>
        <scheme val="minor"/>
      </rPr>
      <t>;K</t>
    </r>
    <r>
      <rPr>
        <vertAlign val="subscript"/>
        <sz val="11"/>
        <rFont val="Calibri"/>
        <family val="2"/>
        <scheme val="minor"/>
      </rPr>
      <t>GLY</t>
    </r>
    <r>
      <rPr>
        <sz val="11"/>
        <rFont val="Calibri"/>
        <family val="2"/>
        <scheme val="minor"/>
      </rPr>
      <t>)</t>
    </r>
  </si>
  <si>
    <r>
      <t>f(X</t>
    </r>
    <r>
      <rPr>
        <vertAlign val="subscript"/>
        <sz val="11"/>
        <rFont val="Calibri"/>
        <family val="2"/>
      </rPr>
      <t>INORG</t>
    </r>
    <r>
      <rPr>
        <sz val="11"/>
        <rFont val="Calibri"/>
        <family val="2"/>
      </rPr>
      <t>); f(X</t>
    </r>
    <r>
      <rPr>
        <vertAlign val="subscript"/>
        <sz val="11"/>
        <rFont val="Calibri"/>
        <family val="2"/>
      </rPr>
      <t>PP</t>
    </r>
    <r>
      <rPr>
        <sz val="11"/>
        <rFont val="Calibri"/>
        <family val="2"/>
      </rPr>
      <t>)</t>
    </r>
    <r>
      <rPr>
        <sz val="11"/>
        <rFont val="Calibri"/>
        <family val="2"/>
      </rPr>
      <t>;f(X</t>
    </r>
    <r>
      <rPr>
        <vertAlign val="subscript"/>
        <sz val="11"/>
        <rFont val="Calibri"/>
        <family val="2"/>
      </rPr>
      <t>PHA</t>
    </r>
    <r>
      <rPr>
        <sz val="11"/>
        <rFont val="Calibri"/>
        <family val="2"/>
      </rPr>
      <t>)</t>
    </r>
  </si>
  <si>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</si>
  <si>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</si>
  <si>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</si>
  <si>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</si>
  <si>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Loginh</t>
    </r>
    <r>
      <rPr>
        <vertAlign val="subscript"/>
        <sz val="11"/>
        <rFont val="Calibri"/>
        <family val="2"/>
        <scheme val="minor"/>
      </rPr>
      <t>XGLY,XGAO,max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</si>
  <si>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</si>
  <si>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</si>
  <si>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</si>
  <si>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</si>
  <si>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</si>
  <si>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</si>
  <si>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</si>
  <si>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</si>
  <si>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</si>
  <si>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</si>
  <si>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</si>
  <si>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</si>
  <si>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</si>
  <si>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</si>
  <si>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</si>
  <si>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</si>
  <si>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</si>
  <si>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</si>
  <si>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</si>
  <si>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</si>
  <si>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</si>
  <si>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</si>
  <si>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</si>
  <si>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</si>
  <si>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</si>
  <si>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</si>
  <si>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</si>
  <si>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</si>
  <si>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</si>
  <si>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</si>
  <si>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</si>
  <si>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</si>
  <si>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</si>
  <si>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</si>
  <si>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</si>
  <si>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</si>
  <si>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t>Inhibition term of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</si>
  <si>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</si>
  <si>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</si>
  <si>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</si>
  <si>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</si>
  <si>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</si>
  <si>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</si>
  <si>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</si>
  <si>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</si>
  <si>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</si>
  <si>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</si>
  <si>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</si>
  <si>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</si>
  <si>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</si>
  <si>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</si>
  <si>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</si>
  <si>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t>Oxidation-reduction potential due to dissolved oxygen</t>
  </si>
  <si>
    <t>GAO anaerobic maintenance</t>
  </si>
  <si>
    <r>
      <t>i</t>
    </r>
    <r>
      <rPr>
        <vertAlign val="subscript"/>
        <sz val="11"/>
        <rFont val="Calibri"/>
        <family val="2"/>
      </rPr>
      <t>CIT,GLY</t>
    </r>
    <r>
      <rPr>
        <sz val="11"/>
        <rFont val="Calibri"/>
        <family val="2"/>
      </rPr>
      <t>-i</t>
    </r>
    <r>
      <rPr>
        <vertAlign val="subscript"/>
        <sz val="11"/>
        <rFont val="Calibri"/>
        <family val="2"/>
      </rPr>
      <t>CIT,VFA</t>
    </r>
  </si>
  <si>
    <r>
      <t>η</t>
    </r>
    <r>
      <rPr>
        <vertAlign val="subscript"/>
        <sz val="11"/>
        <rFont val="Calibri"/>
        <family val="2"/>
        <scheme val="minor"/>
      </rPr>
      <t>bGLY,ana</t>
    </r>
  </si>
  <si>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</si>
  <si>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</si>
  <si>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</si>
  <si>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</si>
  <si>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</si>
  <si>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</si>
  <si>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</si>
  <si>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</si>
  <si>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</si>
  <si>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</si>
  <si>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</si>
  <si>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</si>
  <si>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</si>
  <si>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</si>
  <si>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</si>
  <si>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</si>
  <si>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</si>
  <si>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</si>
  <si>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</si>
  <si>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</si>
  <si>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</si>
  <si>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</si>
  <si>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</si>
  <si>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r>
      <rPr>
        <sz val="11"/>
        <rFont val="Calibri"/>
        <family val="2"/>
      </rPr>
      <t>-i</t>
    </r>
    <r>
      <rPr>
        <vertAlign val="subscript"/>
        <sz val="11"/>
        <rFont val="Calibri"/>
        <family val="2"/>
      </rPr>
      <t>N,BIO</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</si>
  <si>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</si>
  <si>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</si>
  <si>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</si>
  <si>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</si>
  <si>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growth</t>
  </si>
  <si>
    <t>AOB decay</t>
  </si>
  <si>
    <t>NOB growth</t>
  </si>
  <si>
    <t>NOB decay</t>
  </si>
  <si>
    <t>Anammox growth</t>
  </si>
  <si>
    <t>Anammox decay</t>
  </si>
  <si>
    <r>
      <t>X</t>
    </r>
    <r>
      <rPr>
        <b/>
        <vertAlign val="subscript"/>
        <sz val="11"/>
        <rFont val="Calibri"/>
        <family val="2"/>
        <charset val="238"/>
        <scheme val="minor"/>
      </rPr>
      <t>AMX</t>
    </r>
  </si>
  <si>
    <r>
      <t>OHO growth on VFAs,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</si>
  <si>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</si>
  <si>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</si>
  <si>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</si>
  <si>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</si>
  <si>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</si>
  <si>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</si>
  <si>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</si>
  <si>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</si>
  <si>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</si>
  <si>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</si>
  <si>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</si>
  <si>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</si>
  <si>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</si>
  <si>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</si>
  <si>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</si>
  <si>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</si>
  <si>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</si>
  <si>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</si>
  <si>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</si>
  <si>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</si>
  <si>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</si>
  <si>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CO2,AOB,sidestream</t>
    </r>
  </si>
  <si>
    <r>
      <t>K</t>
    </r>
    <r>
      <rPr>
        <vertAlign val="subscript"/>
        <sz val="11"/>
        <color indexed="8"/>
        <rFont val="Calibri"/>
        <family val="2"/>
        <scheme val="minor"/>
      </rPr>
      <t>CO2,AOB,AS</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</si>
  <si>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</si>
  <si>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</si>
  <si>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O2,AOB,sidestream</t>
    </r>
  </si>
  <si>
    <r>
      <t>K</t>
    </r>
    <r>
      <rPr>
        <vertAlign val="subscript"/>
        <sz val="11"/>
        <color indexed="8"/>
        <rFont val="Calibri"/>
        <family val="2"/>
        <scheme val="minor"/>
      </rPr>
      <t>O2,AOB,AS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</si>
  <si>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</si>
  <si>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</si>
  <si>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</si>
  <si>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</si>
  <si>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</si>
  <si>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CO2,NOB,AS</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</si>
  <si>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</si>
  <si>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</si>
  <si>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</si>
  <si>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</si>
  <si>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</si>
  <si>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</si>
  <si>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</si>
  <si>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</si>
  <si>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</si>
  <si>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</si>
  <si>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</si>
  <si>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</si>
  <si>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</si>
  <si>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</si>
  <si>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</si>
  <si>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</si>
  <si>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</si>
  <si>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</si>
  <si>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</si>
  <si>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</si>
  <si>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</si>
  <si>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</si>
  <si>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</si>
  <si>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</si>
  <si>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</si>
  <si>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</si>
  <si>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</si>
  <si>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</si>
  <si>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</si>
  <si>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</si>
  <si>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</si>
  <si>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</si>
  <si>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t>
    </r>
  </si>
  <si>
    <r>
      <t>K</t>
    </r>
    <r>
      <rPr>
        <vertAlign val="subscript"/>
        <sz val="11"/>
        <rFont val="Calibri"/>
        <family val="2"/>
      </rPr>
      <t>CO2,AOB,AS</t>
    </r>
  </si>
  <si>
    <r>
      <t>K</t>
    </r>
    <r>
      <rPr>
        <vertAlign val="subscript"/>
        <sz val="11"/>
        <rFont val="Calibri"/>
        <family val="2"/>
      </rPr>
      <t>CO2,AOB,sidestream</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</si>
  <si>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</si>
  <si>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</si>
  <si>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</si>
  <si>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</si>
  <si>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</si>
  <si>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</si>
  <si>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</si>
  <si>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</si>
  <si>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</si>
  <si>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</si>
  <si>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t>
    </r>
  </si>
  <si>
    <r>
      <t>K</t>
    </r>
    <r>
      <rPr>
        <vertAlign val="subscript"/>
        <sz val="11"/>
        <rFont val="Calibri"/>
        <family val="2"/>
      </rPr>
      <t>CO2,NOB,AS</t>
    </r>
  </si>
  <si>
    <r>
      <t>g CO</t>
    </r>
    <r>
      <rPr>
        <vertAlign val="subscript"/>
        <sz val="11"/>
        <rFont val="Calibri"/>
        <family val="2"/>
        <scheme val="minor"/>
      </rPr>
      <t>2</t>
    </r>
    <r>
      <rPr>
        <sz val="11"/>
        <rFont val="Calibri"/>
        <family val="2"/>
        <scheme val="minor"/>
      </rPr>
      <t>.m</t>
    </r>
    <r>
      <rPr>
        <vertAlign val="superscript"/>
        <sz val="11"/>
        <rFont val="Calibri"/>
        <family val="2"/>
        <scheme val="minor"/>
      </rPr>
      <t>-3</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</si>
  <si>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</si>
  <si>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</si>
  <si>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</si>
  <si>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</si>
  <si>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</si>
  <si>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</si>
  <si>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</si>
  <si>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</si>
  <si>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</si>
  <si>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</si>
  <si>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</si>
  <si>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t>
    </r>
  </si>
  <si>
    <r>
      <t>K</t>
    </r>
    <r>
      <rPr>
        <vertAlign val="subscript"/>
        <sz val="11"/>
        <rFont val="Calibri"/>
        <family val="2"/>
      </rPr>
      <t>CO2,AMX,AS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</si>
  <si>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</si>
  <si>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</si>
  <si>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</si>
  <si>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</si>
  <si>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NO2,OHO</t>
    </r>
  </si>
  <si>
    <r>
      <t>K</t>
    </r>
    <r>
      <rPr>
        <vertAlign val="subscript"/>
        <sz val="11"/>
        <rFont val="Calibri"/>
        <family val="2"/>
      </rPr>
      <t>NO2,OHO,AS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</si>
  <si>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</si>
  <si>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</si>
  <si>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</si>
  <si>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</si>
  <si>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</si>
  <si>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</si>
  <si>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</si>
  <si>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1+EEQ</t>
    </r>
    <r>
      <rPr>
        <vertAlign val="subscript"/>
        <sz val="11"/>
        <rFont val="Calibri"/>
        <family val="2"/>
      </rPr>
      <t>NO2</t>
    </r>
    <r>
      <rPr>
        <sz val="11"/>
        <rFont val="Calibri"/>
        <family val="2"/>
      </rPr>
      <t>*i</t>
    </r>
    <r>
      <rPr>
        <vertAlign val="subscript"/>
        <sz val="11"/>
        <rFont val="Calibri"/>
        <family val="2"/>
      </rPr>
      <t>N,BIO</t>
    </r>
  </si>
  <si>
    <r>
      <t>EEQ</t>
    </r>
    <r>
      <rPr>
        <vertAlign val="subscript"/>
        <sz val="11"/>
        <rFont val="Calibri"/>
        <family val="2"/>
      </rPr>
      <t>NO2</t>
    </r>
    <r>
      <rPr>
        <sz val="11"/>
        <rFont val="Calibri"/>
        <family val="2"/>
      </rPr>
      <t>*i</t>
    </r>
    <r>
      <rPr>
        <vertAlign val="subscript"/>
        <sz val="11"/>
        <rFont val="Calibri"/>
        <family val="2"/>
      </rPr>
      <t>P,BIO</t>
    </r>
  </si>
  <si>
    <r>
      <t>i</t>
    </r>
    <r>
      <rPr>
        <vertAlign val="subscript"/>
        <sz val="11"/>
        <rFont val="Calibri"/>
        <family val="2"/>
      </rPr>
      <t>CIT,BIO</t>
    </r>
    <r>
      <rPr>
        <sz val="11"/>
        <rFont val="Calibri"/>
        <family val="2"/>
      </rPr>
      <t>*EEQ</t>
    </r>
    <r>
      <rPr>
        <vertAlign val="subscript"/>
        <sz val="11"/>
        <rFont val="Calibri"/>
        <family val="2"/>
      </rPr>
      <t>NO2</t>
    </r>
  </si>
  <si>
    <r>
      <t>MinhpH</t>
    </r>
    <r>
      <rPr>
        <vertAlign val="subscript"/>
        <sz val="11"/>
        <rFont val="Calibri"/>
        <family val="2"/>
        <scheme val="minor"/>
      </rPr>
      <t>HNO2,AOB</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</si>
  <si>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</si>
  <si>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</si>
  <si>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</si>
  <si>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</si>
  <si>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</si>
  <si>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</si>
  <si>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</si>
  <si>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</si>
  <si>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</si>
  <si>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</si>
  <si>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</si>
  <si>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</si>
  <si>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</si>
  <si>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</si>
  <si>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</si>
  <si>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</si>
  <si>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</si>
  <si>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</si>
  <si>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</si>
  <si>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</si>
  <si>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</si>
  <si>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</si>
  <si>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</si>
  <si>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</si>
  <si>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</si>
  <si>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</si>
  <si>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</si>
  <si>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</si>
  <si>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</si>
  <si>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</si>
  <si>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</si>
  <si>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</si>
  <si>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</si>
  <si>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</si>
  <si>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</si>
  <si>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</si>
  <si>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</si>
  <si>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</si>
  <si>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</si>
  <si>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</si>
  <si>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</si>
  <si>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</si>
  <si>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</si>
  <si>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</si>
  <si>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</si>
  <si>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</si>
  <si>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</si>
  <si>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</si>
  <si>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</si>
  <si>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</si>
  <si>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</si>
  <si>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</si>
  <si>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</si>
  <si>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</si>
  <si>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</si>
  <si>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</si>
  <si>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</si>
  <si>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</si>
  <si>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</si>
  <si>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</si>
  <si>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[H</t>
    </r>
    <r>
      <rPr>
        <vertAlign val="superscript"/>
        <sz val="11"/>
        <rFont val="Calibri"/>
        <family val="2"/>
        <scheme val="minor"/>
      </rPr>
      <t>+</t>
    </r>
    <r>
      <rPr>
        <sz val="11"/>
        <rFont val="Calibri"/>
        <family val="2"/>
        <scheme val="minor"/>
      </rPr>
      <t>]</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</si>
  <si>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</si>
  <si>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</si>
  <si>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</si>
  <si>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</si>
  <si>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</si>
  <si>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</si>
  <si>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</si>
  <si>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</si>
  <si>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</si>
  <si>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</si>
  <si>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</si>
  <si>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</si>
  <si>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</si>
  <si>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</si>
  <si>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</si>
  <si>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</si>
  <si>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</si>
  <si>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</si>
  <si>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</si>
  <si>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</si>
  <si>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</si>
  <si>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</si>
  <si>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</si>
  <si>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</si>
  <si>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</si>
  <si>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</si>
  <si>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</si>
  <si>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</si>
  <si>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</si>
  <si>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</si>
  <si>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</si>
  <si>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</si>
  <si>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</si>
  <si>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</si>
  <si>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</si>
  <si>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</si>
  <si>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</si>
  <si>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</si>
  <si>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</si>
  <si>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</si>
  <si>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</si>
  <si>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</si>
  <si>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</si>
  <si>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</si>
  <si>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</si>
  <si>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</si>
  <si>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</si>
  <si>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</si>
  <si>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</si>
  <si>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</si>
  <si>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</si>
  <si>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t>Key(995)</t>
  </si>
  <si>
    <t>Key(994)</t>
  </si>
  <si>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</si>
  <si>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</si>
  <si>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</si>
  <si>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</si>
  <si>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</si>
  <si>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</si>
  <si>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</si>
  <si>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</si>
  <si>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</si>
  <si>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</si>
  <si>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</si>
  <si>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</si>
  <si>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</si>
  <si>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</si>
  <si>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</si>
  <si>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</si>
  <si>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</si>
  <si>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</si>
  <si>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</si>
  <si>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</si>
  <si>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</si>
  <si>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</si>
  <si>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</si>
  <si>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</si>
  <si>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Reduction factor for anoxic growth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</si>
  <si>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</si>
  <si>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</si>
  <si>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</si>
  <si>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</si>
  <si>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</si>
  <si>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</si>
  <si>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</si>
  <si>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</si>
  <si>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</si>
  <si>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</si>
  <si>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</si>
  <si>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</si>
  <si>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</si>
  <si>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</si>
  <si>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</si>
  <si>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</si>
  <si>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</si>
  <si>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</si>
  <si>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</si>
  <si>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</si>
  <si>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</si>
  <si>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</si>
  <si>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</si>
  <si>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</si>
  <si>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</si>
  <si>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Half-inhibition of maximum PP content of PAOs</t>
  </si>
  <si>
    <t>Half-inhibition of maximum PHA content of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</si>
  <si>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</si>
  <si>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</si>
  <si>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</si>
  <si>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</si>
  <si>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</si>
  <si>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Reduction factor for anaerobic maintenance of GAOs on glycogen</t>
  </si>
  <si>
    <t>Half-saturation of glycogen for GAOs (AS)</t>
  </si>
  <si>
    <t>Half-inhibition of maximum glycogen content of GAOs (AS)</t>
  </si>
  <si>
    <t>Logistic slope of ORP switching of GAOs</t>
  </si>
  <si>
    <r>
      <t>Ki</t>
    </r>
    <r>
      <rPr>
        <vertAlign val="subscript"/>
        <sz val="11"/>
        <color indexed="8"/>
        <rFont val="Calibri"/>
        <family val="2"/>
        <scheme val="minor"/>
      </rPr>
      <t>HNO2,AOB,pH,AS</t>
    </r>
  </si>
  <si>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</si>
  <si>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</si>
  <si>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r>
      <t>Half-saturation of CO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</si>
  <si>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CO</t>
    </r>
    <r>
      <rPr>
        <vertAlign val="subscript"/>
        <sz val="11"/>
        <color rgb="FF000000"/>
        <rFont val="Calibri"/>
        <family val="2"/>
        <scheme val="minor"/>
      </rPr>
      <t>2</t>
    </r>
    <r>
      <rPr>
        <sz val="11"/>
        <color rgb="FF000000"/>
        <rFont val="Calibri"/>
        <family val="2"/>
        <charset val="238"/>
        <scheme val="minor"/>
      </rPr>
      <t xml:space="preserve"> for AOBs (AS)</t>
    </r>
  </si>
  <si>
    <t>Half-saturation of bicarbonate for AOBs (Sidestream)</t>
  </si>
  <si>
    <t>Half-saturation of bicarbonate for AOBs (AS)</t>
  </si>
  <si>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</si>
  <si>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</si>
  <si>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</si>
  <si>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t>Half-inhibition of nitrous acid for AOBs (AS)</t>
  </si>
  <si>
    <r>
      <t>Ki</t>
    </r>
    <r>
      <rPr>
        <vertAlign val="subscript"/>
        <sz val="11"/>
        <color indexed="8"/>
        <rFont val="Calibri"/>
        <family val="2"/>
        <scheme val="minor"/>
      </rPr>
      <t>NH3,NOB,pH,AS</t>
    </r>
  </si>
  <si>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</si>
  <si>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</si>
  <si>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r>
      <t>Half-saturation of CO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</si>
  <si>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</si>
  <si>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</si>
  <si>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</si>
  <si>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</si>
  <si>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</si>
  <si>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</si>
  <si>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</si>
  <si>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</si>
  <si>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</si>
  <si>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</si>
  <si>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r>
      <t>Half-saturation of CO</t>
    </r>
    <r>
      <rPr>
        <vertAlign val="subscript"/>
        <sz val="11"/>
        <color rgb="FF000000"/>
        <rFont val="Calibri"/>
        <family val="2"/>
        <scheme val="minor"/>
      </rPr>
      <t>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</si>
  <si>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</si>
  <si>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</si>
  <si>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</si>
  <si>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</si>
  <si>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</si>
  <si>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</si>
  <si>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</si>
  <si>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</si>
  <si>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</si>
  <si>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</si>
  <si>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</si>
  <si>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</si>
  <si>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</si>
  <si>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</si>
  <si>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</si>
  <si>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</si>
  <si>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</si>
  <si>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</si>
  <si>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</si>
  <si>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</si>
  <si>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</si>
  <si>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</si>
  <si>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</si>
  <si>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</si>
  <si>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</si>
  <si>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</si>
  <si>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</si>
  <si>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</si>
  <si>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</si>
  <si>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</si>
  <si>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</si>
  <si>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</si>
  <si>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</si>
  <si>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</si>
  <si>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</si>
  <si>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</si>
  <si>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</si>
  <si>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</si>
  <si>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</si>
  <si>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</si>
  <si>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</si>
  <si>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</si>
  <si>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</si>
  <si>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</si>
  <si>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</si>
  <si>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</si>
  <si>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</si>
  <si>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</si>
  <si>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</si>
  <si>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</si>
  <si>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</si>
  <si>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hydrolysis</t>
  </si>
  <si>
    <t>Rate of flocculation</t>
  </si>
  <si>
    <t>Half-saturation of colloids in flocculation (AS)</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</si>
  <si>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</si>
  <si>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</si>
  <si>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</si>
  <si>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</si>
  <si>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</si>
  <si>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</si>
  <si>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</si>
  <si>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</si>
  <si>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</si>
  <si>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</si>
  <si>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</si>
  <si>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VFA under anoxic conditions</t>
  </si>
  <si>
    <t>Yield of OHOs on readily biodegradable substrate under aerobic conditions</t>
  </si>
  <si>
    <t>Yield of OHOs on readily biodegradable substrate under anoxic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</si>
  <si>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</si>
  <si>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</si>
  <si>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</si>
  <si>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</si>
  <si>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</si>
  <si>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</si>
  <si>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</si>
  <si>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</si>
  <si>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</si>
  <si>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</si>
  <si>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</si>
  <si>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</si>
  <si>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</si>
  <si>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</si>
  <si>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</si>
  <si>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</si>
  <si>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</si>
  <si>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</si>
  <si>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</si>
  <si>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</si>
  <si>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</si>
  <si>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</si>
  <si>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</si>
  <si>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</si>
  <si>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</si>
  <si>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</si>
  <si>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</si>
  <si>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</si>
  <si>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</si>
  <si>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</si>
  <si>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</si>
  <si>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methanol in volatile solids</t>
  </si>
  <si>
    <t>COD of soluble unbiodegradable organics in volatile solids</t>
  </si>
  <si>
    <t>COD of colloidal biodegradable substrate in volatile solids</t>
  </si>
  <si>
    <t>COD of colloidal unbiodegradable organics in volatile solids</t>
  </si>
  <si>
    <t>COD of PHA in volatile solids</t>
  </si>
  <si>
    <t>COD of glycogen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</si>
  <si>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</si>
  <si>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</si>
  <si>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</si>
  <si>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</si>
  <si>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</si>
  <si>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</si>
  <si>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</si>
  <si>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Inorganic carbon content of glycogen</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</si>
  <si>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</si>
  <si>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</si>
  <si>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</si>
  <si>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</si>
  <si>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</si>
  <si>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</si>
  <si>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</si>
  <si>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</si>
  <si>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</si>
  <si>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</si>
  <si>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</si>
  <si>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</si>
  <si>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</si>
  <si>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</si>
  <si>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</si>
  <si>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</si>
  <si>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</si>
  <si>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</si>
  <si>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</si>
  <si>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</si>
  <si>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</si>
  <si>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</si>
  <si>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</si>
  <si>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</si>
  <si>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</si>
  <si>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</si>
  <si>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</si>
  <si>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</si>
  <si>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</si>
  <si>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</si>
  <si>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</si>
  <si>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</si>
  <si>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</si>
  <si>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</si>
  <si>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</si>
  <si>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</si>
  <si>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</si>
  <si>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</si>
  <si>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r>
      <t>Half-saturation of CO</t>
    </r>
    <r>
      <rPr>
        <vertAlign val="subscript"/>
        <sz val="11"/>
        <color rgb="FF000000"/>
        <rFont val="Calibri"/>
        <family val="2"/>
        <scheme val="minor"/>
      </rPr>
      <t>2</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</si>
  <si>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</si>
  <si>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</si>
  <si>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</si>
  <si>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t>Half-inhibition of nitrous acid for AOBs</t>
  </si>
  <si>
    <r>
      <t>Ki</t>
    </r>
    <r>
      <rPr>
        <vertAlign val="subscript"/>
        <sz val="11"/>
        <rFont val="Calibri"/>
        <family val="2"/>
        <scheme val="minor"/>
      </rPr>
      <t>HNO2,AOB,pH</t>
    </r>
  </si>
  <si>
    <r>
      <t>Ki</t>
    </r>
    <r>
      <rPr>
        <vertAlign val="subscript"/>
        <sz val="11"/>
        <rFont val="Calibri"/>
        <family val="2"/>
      </rPr>
      <t>HNO2,AOB,pH,AS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</si>
  <si>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</si>
  <si>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</si>
  <si>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</si>
  <si>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</si>
  <si>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r>
      <t>Half-saturation of CO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</si>
  <si>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</si>
  <si>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</si>
  <si>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</si>
  <si>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</si>
  <si>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</si>
  <si>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</si>
  <si>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</si>
  <si>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</si>
  <si>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</si>
  <si>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</si>
  <si>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</si>
  <si>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</si>
  <si>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</si>
  <si>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readily biodegradable substrate in fermentation by OHOs</t>
  </si>
  <si>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</si>
  <si>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</si>
  <si>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</si>
  <si>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</si>
  <si>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</si>
  <si>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</si>
  <si>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</si>
  <si>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</si>
  <si>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</si>
  <si>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</si>
  <si>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</si>
  <si>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</si>
  <si>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</si>
  <si>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</si>
  <si>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r>
      <t>Ki</t>
    </r>
    <r>
      <rPr>
        <vertAlign val="subscript"/>
        <sz val="11"/>
        <rFont val="Calibri"/>
        <family val="2"/>
        <scheme val="minor"/>
      </rPr>
      <t>GLY,GAO,max</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</si>
  <si>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</si>
  <si>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</si>
  <si>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</si>
  <si>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</si>
  <si>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</si>
  <si>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</si>
  <si>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</si>
  <si>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</si>
  <si>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</si>
  <si>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</si>
  <si>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</si>
  <si>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</si>
  <si>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colloids in flocculation</t>
  </si>
  <si>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</si>
  <si>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</si>
  <si>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</si>
  <si>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</si>
  <si>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</si>
  <si>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</si>
  <si>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Inhibition term for nitrous acid (AOB)</t>
  </si>
  <si>
    <t>Logistic saturation term for bicarbonate (AOB)</t>
  </si>
  <si>
    <t>Logistic saturation term for inorganic carbon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</si>
  <si>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</si>
  <si>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</si>
  <si>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inorganic carbon (NOB)</t>
  </si>
  <si>
    <t>Logistic saturation term for bicarbonate (AMX)</t>
  </si>
  <si>
    <t>Logistic saturation term for inorganic carbon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</si>
  <si>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</si>
  <si>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</si>
  <si>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</si>
  <si>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Minh([HNO</t>
    </r>
    <r>
      <rPr>
        <vertAlign val="subscript"/>
        <sz val="11"/>
        <rFont val="Calibri"/>
        <family val="2"/>
        <scheme val="minor"/>
      </rPr>
      <t>2</t>
    </r>
    <r>
      <rPr>
        <sz val="11"/>
        <rFont val="Calibri"/>
        <family val="2"/>
        <scheme val="minor"/>
      </rPr>
      <t>]; Ki</t>
    </r>
    <r>
      <rPr>
        <vertAlign val="subscript"/>
        <sz val="11"/>
        <rFont val="Calibri"/>
        <family val="2"/>
        <scheme val="minor"/>
      </rPr>
      <t>HNO2,AOB,pH</t>
    </r>
    <r>
      <rPr>
        <sz val="11"/>
        <rFont val="Calibri"/>
        <family val="2"/>
        <scheme val="minor"/>
      </rPr>
      <t>)</t>
    </r>
  </si>
  <si>
    <r>
      <t>Loginh</t>
    </r>
    <r>
      <rPr>
        <vertAlign val="subscript"/>
        <sz val="11"/>
        <rFont val="Calibri"/>
        <family val="2"/>
      </rPr>
      <t>ORP,PAO</t>
    </r>
  </si>
  <si>
    <t>ORP switch of fermentation by PAOs</t>
  </si>
  <si>
    <t>ORP switch of glycogen storage by GAO</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</si>
  <si>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</si>
  <si>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</si>
  <si>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</si>
  <si>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</si>
  <si>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</si>
  <si>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</si>
  <si>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</si>
  <si>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</si>
  <si>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</si>
  <si>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</si>
  <si>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</si>
  <si>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</si>
  <si>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</si>
  <si>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</si>
  <si>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</si>
  <si>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</si>
  <si>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</si>
  <si>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</si>
  <si>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</si>
  <si>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</si>
  <si>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</si>
  <si>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</si>
  <si>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</si>
  <si>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</si>
  <si>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</si>
  <si>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</si>
  <si>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</si>
  <si>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</si>
  <si>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</si>
  <si>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</si>
  <si>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</si>
  <si>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</si>
  <si>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</si>
  <si>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</si>
  <si>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</si>
  <si>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</si>
  <si>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</si>
  <si>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</si>
  <si>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</si>
  <si>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</si>
  <si>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</si>
  <si>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</si>
  <si>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</si>
  <si>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</si>
  <si>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</si>
  <si>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t>Saturation term for glycogen (GAO)</t>
  </si>
  <si>
    <t>Inhibition term for glycogen (GAO)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</si>
  <si>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</si>
  <si>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</si>
  <si>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</si>
  <si>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</si>
  <si>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</si>
  <si>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</si>
  <si>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</si>
  <si>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</si>
  <si>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</si>
  <si>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</si>
  <si>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</si>
  <si>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</si>
  <si>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</si>
  <si>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colloidal biodegradable substrate (flocculation)</t>
  </si>
  <si>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</si>
  <si>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</si>
  <si>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</si>
  <si>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</si>
  <si>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</si>
  <si>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</si>
  <si>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</si>
  <si>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</si>
  <si>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</si>
  <si>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</si>
  <si>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</si>
  <si>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</si>
  <si>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</si>
  <si>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</si>
  <si>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</si>
  <si>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</si>
  <si>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</si>
  <si>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</si>
  <si>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</si>
  <si>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</si>
  <si>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</si>
  <si>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</si>
  <si>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</si>
  <si>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</si>
  <si>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</si>
  <si>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</si>
  <si>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</si>
  <si>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</si>
  <si>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</si>
  <si>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</si>
  <si>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Rate of VFA storage into glycogen for GAOs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</si>
  <si>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</si>
  <si>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</si>
  <si>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</si>
  <si>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</si>
  <si>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</si>
  <si>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</si>
  <si>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</si>
  <si>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</si>
  <si>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</si>
  <si>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</si>
  <si>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</si>
  <si>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</si>
  <si>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</si>
  <si>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</si>
  <si>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</si>
  <si>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</si>
  <si>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</si>
  <si>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</si>
  <si>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</si>
  <si>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</si>
  <si>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</si>
  <si>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</si>
  <si>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</si>
  <si>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</si>
  <si>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</si>
  <si>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</si>
  <si>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</si>
  <si>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</si>
  <si>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</si>
  <si>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</si>
  <si>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</si>
  <si>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</si>
  <si>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</si>
  <si>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</si>
  <si>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</si>
  <si>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</si>
  <si>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</si>
  <si>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</si>
  <si>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</si>
  <si>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</si>
  <si>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</si>
  <si>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</si>
  <si>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</si>
  <si>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</si>
  <si>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</si>
  <si>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</si>
  <si>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</si>
  <si>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</si>
  <si>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</si>
  <si>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</si>
  <si>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</si>
  <si>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</si>
  <si>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</si>
  <si>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</si>
  <si>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</si>
  <si>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</si>
  <si>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</si>
  <si>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</si>
  <si>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</si>
  <si>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</si>
  <si>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</si>
  <si>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</si>
  <si>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</si>
  <si>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</si>
  <si>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</si>
  <si>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</si>
  <si>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</si>
  <si>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Stored polyhydroxyalkanoates (PHA)</t>
  </si>
  <si>
    <t>Stored glycogen (GLY)</t>
  </si>
  <si>
    <t>Ordinary heterotrophic organisms (OHO)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</si>
  <si>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</si>
  <si>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</si>
  <si>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</si>
  <si>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</si>
  <si>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</si>
  <si>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</si>
  <si>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</si>
  <si>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</si>
  <si>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</si>
  <si>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</si>
  <si>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</si>
  <si>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</si>
  <si>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</si>
  <si>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</si>
  <si>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</si>
  <si>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</si>
  <si>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</si>
  <si>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</si>
  <si>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</si>
  <si>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</si>
  <si>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</si>
  <si>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</si>
  <si>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</si>
  <si>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</si>
  <si>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</si>
  <si>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</si>
  <si>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</si>
  <si>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</si>
  <si>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t>Aged used hydrous ferric oxide, high surface (HFO,H,P,old)</t>
  </si>
  <si>
    <t>Aged used hydrous ferric oxide, low surface (HFO,L,P,old)</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</si>
  <si>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</si>
  <si>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</si>
  <si>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</si>
  <si>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</si>
  <si>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</si>
  <si>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</si>
  <si>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</si>
  <si>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</si>
  <si>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</si>
  <si>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</si>
  <si>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</si>
  <si>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</si>
  <si>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</si>
  <si>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</si>
  <si>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</si>
  <si>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</si>
  <si>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</si>
  <si>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</si>
  <si>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</si>
  <si>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</si>
  <si>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</si>
  <si>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</si>
  <si>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</si>
  <si>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</si>
  <si>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</si>
  <si>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</si>
  <si>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</si>
  <si>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</si>
  <si>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</si>
  <si>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</si>
  <si>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*C</t>
    </r>
    <r>
      <rPr>
        <vertAlign val="subscript"/>
        <sz val="11"/>
        <rFont val="Calibri"/>
        <family val="2"/>
        <scheme val="minor"/>
      </rPr>
      <t>B</t>
    </r>
    <r>
      <rPr>
        <sz val="11"/>
        <rFont val="Calibri"/>
        <family val="2"/>
        <scheme val="minor"/>
      </rPr>
      <t>*f</t>
    </r>
    <r>
      <rPr>
        <vertAlign val="subscript"/>
        <sz val="11"/>
        <rFont val="Calibri"/>
        <family val="2"/>
        <scheme val="minor"/>
      </rPr>
      <t>C,BOD5,BODult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</si>
  <si>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</si>
  <si>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</si>
  <si>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</si>
  <si>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</si>
  <si>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</si>
  <si>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r>
      <t>X</t>
    </r>
    <r>
      <rPr>
        <vertAlign val="subscript"/>
        <sz val="11"/>
        <rFont val="Calibri"/>
        <family val="2"/>
      </rPr>
      <t>B</t>
    </r>
    <r>
      <rPr>
        <sz val="11"/>
        <rFont val="Calibri"/>
        <family val="2"/>
      </rPr>
      <t xml:space="preserve"> + C</t>
    </r>
    <r>
      <rPr>
        <vertAlign val="subscript"/>
        <sz val="11"/>
        <rFont val="Calibri"/>
        <family val="2"/>
      </rPr>
      <t>B</t>
    </r>
  </si>
  <si>
    <t>Oxygen uptake rate (OUR)</t>
  </si>
  <si>
    <t>Phosphorus uptake rate, biologically (PURBIO)</t>
  </si>
  <si>
    <t>Phosphorus uptake rate, chemically (PURCHEM)</t>
  </si>
  <si>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</si>
  <si>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</si>
  <si>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</si>
  <si>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</si>
  <si>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</si>
  <si>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</si>
  <si>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</si>
  <si>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</si>
  <si>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</si>
  <si>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</si>
  <si>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</si>
  <si>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</si>
  <si>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S</t>
    </r>
    <r>
      <rPr>
        <vertAlign val="subscript"/>
        <sz val="11"/>
        <rFont val="Calibri"/>
        <family val="2"/>
        <scheme val="minor"/>
      </rPr>
      <t>BOD,5</t>
    </r>
    <r>
      <rPr>
        <sz val="11"/>
        <rFont val="Calibri"/>
        <family val="2"/>
        <scheme val="minor"/>
      </rPr>
      <t>+X</t>
    </r>
    <r>
      <rPr>
        <vertAlign val="subscript"/>
        <sz val="11"/>
        <rFont val="Calibri"/>
        <family val="2"/>
        <scheme val="minor"/>
      </rPr>
      <t>BOD,5</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</si>
  <si>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</si>
  <si>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</si>
  <si>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</si>
  <si>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</si>
  <si>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</si>
  <si>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</si>
  <si>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</si>
  <si>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</si>
  <si>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</si>
  <si>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theoretical complete reaction</t>
  </si>
  <si>
    <t>measured loss between 105°C and 500°C</t>
  </si>
  <si>
    <t>Stricker et al. (2004) for Fe, calculation for Al</t>
  </si>
  <si>
    <r>
      <t>X</t>
    </r>
    <r>
      <rPr>
        <vertAlign val="subscript"/>
        <sz val="11"/>
        <rFont val="Calibri"/>
        <family val="2"/>
        <scheme val="minor"/>
      </rPr>
      <t>Me,TSS</t>
    </r>
  </si>
  <si>
    <t>Metal precipitates in TSS unit</t>
  </si>
  <si>
    <t>r75</t>
  </si>
  <si>
    <t>r76</t>
  </si>
  <si>
    <t>r77</t>
  </si>
  <si>
    <t>r78</t>
  </si>
  <si>
    <t>r79</t>
  </si>
  <si>
    <t>r80</t>
  </si>
  <si>
    <t>r81</t>
  </si>
  <si>
    <t>r82</t>
  </si>
  <si>
    <t>r83</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</si>
  <si>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</si>
  <si>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</si>
  <si>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</si>
  <si>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</si>
  <si>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</si>
  <si>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</si>
  <si>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</si>
  <si>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</si>
  <si>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</si>
  <si>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</si>
  <si>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</si>
  <si>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</si>
  <si>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</si>
  <si>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</si>
  <si>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</si>
  <si>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</si>
  <si>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</si>
  <si>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</si>
  <si>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</si>
  <si>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</si>
  <si>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</si>
  <si>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</si>
  <si>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</si>
  <si>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</si>
  <si>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</si>
  <si>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</si>
  <si>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</si>
  <si>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</si>
  <si>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</si>
  <si>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</si>
  <si>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</si>
  <si>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</si>
  <si>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</si>
  <si>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</si>
  <si>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</si>
  <si>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</si>
  <si>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</si>
  <si>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</si>
  <si>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</si>
  <si>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</si>
  <si>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</si>
  <si>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</si>
  <si>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</si>
  <si>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</si>
  <si>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</si>
  <si>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</si>
  <si>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</si>
  <si>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</si>
  <si>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</si>
  <si>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</si>
  <si>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</si>
  <si>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</si>
  <si>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</si>
  <si>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</si>
  <si>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</si>
  <si>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</si>
  <si>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</si>
  <si>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</si>
  <si>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</si>
  <si>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</si>
  <si>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</si>
  <si>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</si>
  <si>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</si>
  <si>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</si>
  <si>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</si>
  <si>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</si>
  <si>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</si>
  <si>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</si>
  <si>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</si>
  <si>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</si>
  <si>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</si>
  <si>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</si>
  <si>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</si>
  <si>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</si>
  <si>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</si>
  <si>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</si>
  <si>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</si>
  <si>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</si>
  <si>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</si>
  <si>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</si>
  <si>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</si>
  <si>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</si>
  <si>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</si>
  <si>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</si>
  <si>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</si>
  <si>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</si>
  <si>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</si>
  <si>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</si>
  <si>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</si>
  <si>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</si>
  <si>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</si>
  <si>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MinStateVar</t>
  </si>
  <si>
    <t>MaxStateVar</t>
  </si>
  <si>
    <t>Separators</t>
  </si>
  <si>
    <t>Sumo 2</t>
  </si>
  <si>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</si>
  <si>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</si>
  <si>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Carbon dioxide gas (CO</t>
    </r>
    <r>
      <rPr>
        <vertAlign val="subscript"/>
        <sz val="11"/>
        <rFont val="Calibri"/>
        <family val="2"/>
      </rPr>
      <t>2</t>
    </r>
    <r>
      <rPr>
        <sz val="11"/>
        <rFont val="Calibri"/>
        <family val="2"/>
      </rPr>
      <t>)</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</si>
  <si>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</si>
  <si>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Methane gas (CH</t>
    </r>
    <r>
      <rPr>
        <vertAlign val="subscript"/>
        <sz val="11"/>
        <color rgb="FF000000"/>
        <rFont val="Calibri"/>
        <family val="2"/>
        <scheme val="minor"/>
      </rPr>
      <t>4</t>
    </r>
    <r>
      <rPr>
        <sz val="11"/>
        <color rgb="FF000000"/>
        <rFont val="Calibri"/>
        <family val="2"/>
        <charset val="238"/>
        <scheme val="minor"/>
      </rPr>
      <t>)</t>
    </r>
  </si>
  <si>
    <r>
      <t>g COD.m</t>
    </r>
    <r>
      <rPr>
        <vertAlign val="superscript"/>
        <sz val="11"/>
        <color theme="1"/>
        <rFont val="Calibri"/>
        <family val="2"/>
        <scheme val="minor"/>
      </rPr>
      <t>-3</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</si>
  <si>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</si>
  <si>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</si>
  <si>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</si>
  <si>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Ammonia gas (NH</t>
    </r>
    <r>
      <rPr>
        <vertAlign val="subscript"/>
        <sz val="11"/>
        <rFont val="Calibri"/>
        <family val="2"/>
      </rPr>
      <t>3</t>
    </r>
    <r>
      <rPr>
        <sz val="11"/>
        <rFont val="Calibri"/>
        <family val="2"/>
      </rPr>
      <t>)</t>
    </r>
  </si>
  <si>
    <r>
      <t>g N.m</t>
    </r>
    <r>
      <rPr>
        <vertAlign val="superscript"/>
        <sz val="11"/>
        <color theme="1"/>
        <rFont val="Calibri"/>
        <family val="2"/>
        <scheme val="minor"/>
      </rPr>
      <t>-3</t>
    </r>
  </si>
  <si>
    <r>
      <t>Nitrogen gas (N</t>
    </r>
    <r>
      <rPr>
        <vertAlign val="subscript"/>
        <sz val="11"/>
        <color rgb="FF000000"/>
        <rFont val="Calibri"/>
        <family val="2"/>
        <scheme val="minor"/>
      </rPr>
      <t>2</t>
    </r>
    <r>
      <rPr>
        <sz val="11"/>
        <color rgb="FF000000"/>
        <rFont val="Calibri"/>
        <family val="2"/>
        <charset val="238"/>
        <scheme val="minor"/>
      </rPr>
      <t>)</t>
    </r>
  </si>
  <si>
    <r>
      <t>g N</t>
    </r>
    <r>
      <rPr>
        <sz val="11"/>
        <color theme="1"/>
        <rFont val="Calibri"/>
        <family val="2"/>
        <scheme val="minor"/>
      </rPr>
      <t>.m</t>
    </r>
    <r>
      <rPr>
        <vertAlign val="superscript"/>
        <sz val="11"/>
        <color theme="1"/>
        <rFont val="Calibri"/>
        <family val="2"/>
        <scheme val="minor"/>
      </rPr>
      <t>-3</t>
    </r>
  </si>
  <si>
    <r>
      <t>G</t>
    </r>
    <r>
      <rPr>
        <b/>
        <vertAlign val="subscript"/>
        <sz val="11"/>
        <rFont val="Calibri"/>
        <family val="2"/>
        <charset val="238"/>
      </rPr>
      <t>CO2,atm</t>
    </r>
  </si>
  <si>
    <t>Balancing</t>
  </si>
  <si>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</si>
  <si>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</si>
  <si>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</si>
  <si>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</si>
  <si>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</si>
  <si>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</si>
  <si>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</si>
  <si>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</si>
  <si>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</si>
  <si>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</si>
  <si>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</si>
  <si>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t>Carbon dioxide gas transfer - surface</t>
  </si>
  <si>
    <r>
      <t>-Δ</t>
    </r>
    <r>
      <rPr>
        <vertAlign val="subscript"/>
        <sz val="11"/>
        <rFont val="Calibri"/>
        <family val="2"/>
      </rPr>
      <t>atm</t>
    </r>
  </si>
  <si>
    <r>
      <t>k</t>
    </r>
    <r>
      <rPr>
        <vertAlign val="subscript"/>
        <sz val="11"/>
        <rFont val="Calibri"/>
        <family val="2"/>
        <scheme val="minor"/>
      </rPr>
      <t>transfer,GCO2,sur</t>
    </r>
  </si>
  <si>
    <t>Methane gas transfer - surface</t>
  </si>
  <si>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</si>
  <si>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t>Hydrogen gas transfer - surface</t>
  </si>
  <si>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</si>
  <si>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t>Oxygen gas transfer - surface</t>
  </si>
  <si>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</si>
  <si>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t>Ammonia absorption - surface</t>
  </si>
  <si>
    <r>
      <t>k</t>
    </r>
    <r>
      <rPr>
        <vertAlign val="subscript"/>
        <sz val="11"/>
        <rFont val="Calibri"/>
        <family val="2"/>
        <scheme val="minor"/>
      </rPr>
      <t>transfer,GNH3,sur</t>
    </r>
  </si>
  <si>
    <t>Nitrogen gas transfer - surface</t>
  </si>
  <si>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</si>
  <si>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transfer,GCO2,bub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</si>
  <si>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</si>
  <si>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</si>
  <si>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</si>
  <si>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transfer,GNH3,bub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</si>
  <si>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</si>
  <si>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Carbon dioxide gas transfer - bubbles</t>
  </si>
  <si>
    <t>Methane gas transfer - bubbles</t>
  </si>
  <si>
    <t>Hydrogen gas transfer - bubbles</t>
  </si>
  <si>
    <t>Oxygen gas transfer - bubbles</t>
  </si>
  <si>
    <t>Ammonia absorption - bubbles</t>
  </si>
  <si>
    <t>Nitrogen gas transfer - bubbles</t>
  </si>
  <si>
    <t>r86</t>
  </si>
  <si>
    <t>r87</t>
  </si>
  <si>
    <t>r88</t>
  </si>
  <si>
    <t>r89</t>
  </si>
  <si>
    <t>r90</t>
  </si>
  <si>
    <t>r91</t>
  </si>
  <si>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</si>
  <si>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</si>
  <si>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</si>
  <si>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</si>
  <si>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</si>
  <si>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</si>
  <si>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</si>
  <si>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t>Gas transfer rates for pH-dependent gases in bubbles</t>
  </si>
  <si>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</si>
  <si>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</si>
  <si>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</si>
  <si>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</si>
  <si>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t>Gas transfer rates for pH-dependent gases in the atmosphere</t>
  </si>
  <si>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</si>
  <si>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</si>
  <si>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</si>
  <si>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</si>
  <si>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m.d</t>
    </r>
    <r>
      <rPr>
        <vertAlign val="superscript"/>
        <sz val="11"/>
        <rFont val="Calibri"/>
        <family val="2"/>
        <scheme val="minor"/>
      </rPr>
      <t>-1</t>
    </r>
  </si>
  <si>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</si>
  <si>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</si>
  <si>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</si>
  <si>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</si>
  <si>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</si>
  <si>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</si>
  <si>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</si>
  <si>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</si>
  <si>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</si>
  <si>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</si>
  <si>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</si>
  <si>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</si>
  <si>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</si>
  <si>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</si>
  <si>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</si>
  <si>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</si>
  <si>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</si>
  <si>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Standard barometric pressure</t>
  </si>
  <si>
    <t>Normal barometric pressure</t>
  </si>
  <si>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</si>
  <si>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</si>
  <si>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</si>
  <si>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</si>
  <si>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</si>
  <si>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</si>
  <si>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</si>
  <si>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</si>
  <si>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</si>
  <si>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</si>
  <si>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</si>
  <si>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</si>
  <si>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</si>
  <si>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</si>
  <si>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</si>
  <si>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</si>
  <si>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</si>
  <si>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</si>
  <si>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</si>
  <si>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</si>
  <si>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</si>
  <si>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</si>
  <si>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</si>
  <si>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</si>
  <si>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</si>
  <si>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</si>
  <si>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</si>
  <si>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</si>
  <si>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</si>
  <si>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</si>
  <si>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</si>
  <si>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</si>
  <si>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</si>
  <si>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</si>
  <si>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</si>
  <si>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</si>
  <si>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</si>
  <si>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</si>
  <si>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</si>
  <si>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</si>
  <si>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</si>
  <si>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</si>
  <si>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</si>
  <si>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</si>
  <si>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</si>
  <si>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</si>
  <si>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</si>
  <si>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</si>
  <si>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</si>
  <si>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</si>
  <si>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</si>
  <si>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</si>
  <si>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</si>
  <si>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</si>
  <si>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</si>
  <si>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</si>
  <si>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</si>
  <si>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</si>
  <si>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</si>
  <si>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</si>
  <si>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</si>
  <si>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</si>
  <si>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</si>
  <si>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</si>
  <si>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</si>
  <si>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</si>
  <si>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</si>
  <si>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T+T</t>
    </r>
    <r>
      <rPr>
        <vertAlign val="subscript"/>
        <sz val="11"/>
        <rFont val="Calibri"/>
        <family val="2"/>
        <scheme val="minor"/>
      </rPr>
      <t>STP,K</t>
    </r>
  </si>
  <si>
    <r>
      <t>(H-H</t>
    </r>
    <r>
      <rPr>
        <vertAlign val="subscript"/>
        <sz val="11"/>
        <rFont val="Calibri"/>
        <family val="2"/>
        <scheme val="minor"/>
      </rPr>
      <t>STP</t>
    </r>
    <r>
      <rPr>
        <sz val="11"/>
        <rFont val="Calibri"/>
        <family val="2"/>
        <scheme val="minor"/>
      </rPr>
      <t>)/c</t>
    </r>
    <r>
      <rPr>
        <vertAlign val="subscript"/>
        <sz val="11"/>
        <rFont val="Calibri"/>
        <family val="2"/>
        <scheme val="minor"/>
      </rPr>
      <t>p,water</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</si>
  <si>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</si>
  <si>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</si>
  <si>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</si>
  <si>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</si>
  <si>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</si>
  <si>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</si>
  <si>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</si>
  <si>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</si>
  <si>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</si>
  <si>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</si>
  <si>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</si>
  <si>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</si>
  <si>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</si>
  <si>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</si>
  <si>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</si>
  <si>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</si>
  <si>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</si>
  <si>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</si>
  <si>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</si>
  <si>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</si>
  <si>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</si>
  <si>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</si>
  <si>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</si>
  <si>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</si>
  <si>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</si>
  <si>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</si>
  <si>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</si>
  <si>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</si>
  <si>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</si>
  <si>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</si>
  <si>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</si>
  <si>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</si>
  <si>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</si>
  <si>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</si>
  <si>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</si>
  <si>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</si>
  <si>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</si>
  <si>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</si>
  <si>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</si>
  <si>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</si>
  <si>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</si>
  <si>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</si>
  <si>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</si>
  <si>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</si>
  <si>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</si>
  <si>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</si>
  <si>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</si>
  <si>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</si>
  <si>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</si>
  <si>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</si>
  <si>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</si>
  <si>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</si>
  <si>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</si>
  <si>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</si>
  <si>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</si>
  <si>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</si>
  <si>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</si>
  <si>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</si>
  <si>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</si>
  <si>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</si>
  <si>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</si>
  <si>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</si>
  <si>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</si>
  <si>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</si>
  <si>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</si>
  <si>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</si>
  <si>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</si>
  <si>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</si>
  <si>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</si>
  <si>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</si>
  <si>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</si>
  <si>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Used to compensate for the high solubility of NH3 gas</t>
  </si>
  <si>
    <t>1</t>
  </si>
  <si>
    <r>
      <t>-EEQ</t>
    </r>
    <r>
      <rPr>
        <vertAlign val="subscript"/>
        <sz val="11"/>
        <rFont val="Calibri"/>
        <family val="2"/>
      </rPr>
      <t>N2</t>
    </r>
  </si>
  <si>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</si>
  <si>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</si>
  <si>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</si>
  <si>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</si>
  <si>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</si>
  <si>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</si>
  <si>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</si>
  <si>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</si>
  <si>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</si>
  <si>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</si>
  <si>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</si>
  <si>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</si>
  <si>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</si>
  <si>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</si>
  <si>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</si>
  <si>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</si>
  <si>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</si>
  <si>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</si>
  <si>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Slope</t>
    </r>
    <r>
      <rPr>
        <vertAlign val="subscript"/>
        <sz val="11"/>
        <rFont val="Calibri"/>
        <family val="2"/>
        <scheme val="minor"/>
      </rPr>
      <t>IS,corr</t>
    </r>
  </si>
  <si>
    <t>Slope of correction</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</si>
  <si>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</si>
  <si>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MJ.m</t>
    </r>
    <r>
      <rPr>
        <vertAlign val="superscript"/>
        <sz val="11"/>
        <rFont val="Calibri"/>
        <family val="2"/>
      </rPr>
      <t>-3</t>
    </r>
  </si>
  <si>
    <t>COD removal including 2-step denitrification</t>
  </si>
  <si>
    <t>2-step nitrification</t>
  </si>
  <si>
    <t>r92</t>
  </si>
  <si>
    <t>r93</t>
  </si>
  <si>
    <t>Flocculation of colloidal biodegradable substrate with polymers</t>
  </si>
  <si>
    <t>Flocculation of colloidal unbiodegradable organics with polymers</t>
  </si>
  <si>
    <r>
      <t>rate</t>
    </r>
    <r>
      <rPr>
        <vertAlign val="subscript"/>
        <sz val="11"/>
        <rFont val="Calibri"/>
        <family val="2"/>
      </rPr>
      <t>FLOC,CB,polymer</t>
    </r>
  </si>
  <si>
    <r>
      <t>rate</t>
    </r>
    <r>
      <rPr>
        <vertAlign val="subscript"/>
        <sz val="11"/>
        <rFont val="Calibri"/>
        <family val="2"/>
      </rPr>
      <t>FLOC,CU,polymer</t>
    </r>
  </si>
  <si>
    <t>Rate of flocculation of colloidal biodegradable substrate with polymers</t>
  </si>
  <si>
    <r>
      <t>f(C</t>
    </r>
    <r>
      <rPr>
        <vertAlign val="subscript"/>
        <sz val="11"/>
        <rFont val="Calibri"/>
        <family val="2"/>
      </rPr>
      <t>B</t>
    </r>
    <r>
      <rPr>
        <sz val="11"/>
        <rFont val="Calibri"/>
        <family val="2"/>
      </rPr>
      <t>)</t>
    </r>
  </si>
  <si>
    <t>only if polymers are added, calculated in three compartments clarifier and primary</t>
  </si>
  <si>
    <t>Rate of flocculation of colloidal unbiodegradable substrate with polymers</t>
  </si>
  <si>
    <r>
      <t>f(C</t>
    </r>
    <r>
      <rPr>
        <vertAlign val="subscript"/>
        <sz val="11"/>
        <rFont val="Calibri"/>
        <family val="2"/>
      </rPr>
      <t>U</t>
    </r>
    <r>
      <rPr>
        <sz val="11"/>
        <rFont val="Calibri"/>
        <family val="2"/>
      </rPr>
      <t>)</t>
    </r>
  </si>
  <si>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</si>
  <si>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</si>
  <si>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</si>
  <si>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</si>
  <si>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</si>
  <si>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</si>
  <si>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</si>
  <si>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</si>
  <si>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</si>
  <si>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</si>
  <si>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</si>
  <si>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t>r94</t>
  </si>
  <si>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</si>
  <si>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</si>
  <si>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</si>
  <si>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</si>
  <si>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</si>
  <si>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</si>
  <si>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</si>
  <si>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Conc</t>
    </r>
    <r>
      <rPr>
        <vertAlign val="subscript"/>
        <sz val="11"/>
        <rFont val="Calibri"/>
        <family val="2"/>
        <scheme val="minor"/>
      </rPr>
      <t>H2CO3,NonpH</t>
    </r>
  </si>
  <si>
    <r>
      <t>Concentration of H</t>
    </r>
    <r>
      <rPr>
        <vertAlign val="subscript"/>
        <sz val="11"/>
        <color rgb="FF000000"/>
        <rFont val="Calibri"/>
        <family val="2"/>
        <scheme val="minor"/>
      </rPr>
      <t>2</t>
    </r>
    <r>
      <rPr>
        <sz val="11"/>
        <color rgb="FF000000"/>
        <rFont val="Calibri"/>
        <family val="2"/>
        <charset val="238"/>
        <scheme val="minor"/>
      </rPr>
      <t>CO</t>
    </r>
    <r>
      <rPr>
        <vertAlign val="subscript"/>
        <sz val="11"/>
        <color rgb="FF000000"/>
        <rFont val="Calibri"/>
        <family val="2"/>
        <scheme val="minor"/>
      </rPr>
      <t>3</t>
    </r>
    <r>
      <rPr>
        <sz val="11"/>
        <color rgb="FF000000"/>
        <rFont val="Calibri"/>
        <family val="2"/>
        <charset val="238"/>
        <scheme val="minor"/>
      </rPr>
      <t xml:space="preserve"> at pH 7 (pH not calculated)</t>
    </r>
  </si>
  <si>
    <r>
      <t>Conc</t>
    </r>
    <r>
      <rPr>
        <vertAlign val="subscript"/>
        <sz val="11"/>
        <rFont val="Calibri"/>
        <family val="2"/>
        <scheme val="minor"/>
      </rPr>
      <t>NH3,NonpH</t>
    </r>
  </si>
  <si>
    <r>
      <t>Concentration of NH</t>
    </r>
    <r>
      <rPr>
        <vertAlign val="subscript"/>
        <sz val="11"/>
        <color rgb="FF000000"/>
        <rFont val="Calibri"/>
        <family val="2"/>
        <scheme val="minor"/>
      </rPr>
      <t>3</t>
    </r>
    <r>
      <rPr>
        <sz val="11"/>
        <color rgb="FF000000"/>
        <rFont val="Calibri"/>
        <family val="2"/>
        <charset val="238"/>
        <scheme val="minor"/>
      </rPr>
      <t xml:space="preserve"> at pH 7 (pH not calculated)</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</si>
  <si>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Conc</t>
    </r>
    <r>
      <rPr>
        <vertAlign val="subscript"/>
        <sz val="11"/>
        <rFont val="Calibri"/>
        <family val="2"/>
      </rPr>
      <t>H2CO3,NonpH</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</si>
  <si>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Conc</t>
    </r>
    <r>
      <rPr>
        <vertAlign val="subscript"/>
        <sz val="11"/>
        <rFont val="Calibri"/>
        <family val="2"/>
      </rPr>
      <t>NH3,NonpH</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</si>
  <si>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Conc</t>
    </r>
    <r>
      <rPr>
        <vertAlign val="subscript"/>
        <sz val="11"/>
        <rFont val="Calibri"/>
        <family val="2"/>
      </rPr>
      <t>H2CO3,NonpH</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</si>
  <si>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Conc</t>
    </r>
    <r>
      <rPr>
        <vertAlign val="subscript"/>
        <sz val="11"/>
        <rFont val="Calibri"/>
        <family val="2"/>
      </rPr>
      <t>NH3,NonpH</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</si>
  <si>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pH</t>
    </r>
    <r>
      <rPr>
        <vertAlign val="subscript"/>
        <sz val="11"/>
        <rFont val="Calibri"/>
        <family val="2"/>
        <scheme val="minor"/>
      </rPr>
      <t>field</t>
    </r>
  </si>
  <si>
    <t>pH in process unit</t>
  </si>
  <si>
    <r>
      <t>IS</t>
    </r>
    <r>
      <rPr>
        <vertAlign val="subscript"/>
        <sz val="11"/>
        <rFont val="Calibri"/>
        <family val="2"/>
        <scheme val="minor"/>
      </rPr>
      <t>field</t>
    </r>
  </si>
  <si>
    <t>IS in process unit (pH off)</t>
  </si>
  <si>
    <t>Non-pH; 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</si>
  <si>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</si>
  <si>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</si>
  <si>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</si>
  <si>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</si>
  <si>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</si>
  <si>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</si>
  <si>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r>
      <t>S</t>
    </r>
    <r>
      <rPr>
        <vertAlign val="subscript"/>
        <sz val="11"/>
        <rFont val="Calibri"/>
        <family val="2"/>
      </rPr>
      <t>CO2</t>
    </r>
    <r>
      <rPr>
        <sz val="11"/>
        <rFont val="Calibri"/>
        <family val="2"/>
      </rPr>
      <t>/(AM</t>
    </r>
    <r>
      <rPr>
        <vertAlign val="subscript"/>
        <sz val="11"/>
        <rFont val="Calibri"/>
        <family val="2"/>
      </rPr>
      <t>C</t>
    </r>
    <r>
      <rPr>
        <sz val="11"/>
        <rFont val="Calibri"/>
        <family val="2"/>
      </rPr>
      <t>*1000)*10^(-2*pH</t>
    </r>
    <r>
      <rPr>
        <vertAlign val="subscript"/>
        <sz val="11"/>
        <rFont val="Calibri"/>
        <family val="2"/>
      </rPr>
      <t>field</t>
    </r>
    <r>
      <rPr>
        <sz val="11"/>
        <rFont val="Calibri"/>
        <family val="2"/>
      </rPr>
      <t>)/(10^(-2*pH</t>
    </r>
    <r>
      <rPr>
        <vertAlign val="subscript"/>
        <sz val="11"/>
        <rFont val="Calibri"/>
        <family val="2"/>
      </rPr>
      <t>field</t>
    </r>
    <r>
      <rPr>
        <sz val="11"/>
        <rFont val="Calibri"/>
        <family val="2"/>
      </rPr>
      <t>)+10^(-pH</t>
    </r>
    <r>
      <rPr>
        <vertAlign val="subscript"/>
        <sz val="11"/>
        <rFont val="Calibri"/>
        <family val="2"/>
      </rPr>
      <t>field</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</si>
  <si>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/(10^(-pH</t>
    </r>
    <r>
      <rPr>
        <vertAlign val="subscript"/>
        <sz val="11"/>
        <rFont val="Calibri"/>
        <family val="2"/>
      </rPr>
      <t>field</t>
    </r>
    <r>
      <rPr>
        <sz val="11"/>
        <rFont val="Calibri"/>
        <family val="2"/>
      </rPr>
      <t>)+K</t>
    </r>
    <r>
      <rPr>
        <vertAlign val="subscript"/>
        <sz val="11"/>
        <rFont val="Calibri"/>
        <family val="2"/>
      </rPr>
      <t>NH3</t>
    </r>
    <r>
      <rPr>
        <sz val="11"/>
        <rFont val="Calibri"/>
        <family val="2"/>
      </rPr>
      <t>)</t>
    </r>
  </si>
  <si>
    <t>pH calculation - pH specified, for other process units (pHSet, NonInput)</t>
  </si>
  <si>
    <t>Non-Input; pHSet; pH</t>
  </si>
  <si>
    <t>Error calculation</t>
  </si>
  <si>
    <t>Input; pHSet; pH</t>
  </si>
  <si>
    <t>pH calculation - pH specified, for influents (pHSet, Input)</t>
  </si>
  <si>
    <t>Key(1190)</t>
  </si>
  <si>
    <t>Key(1180)</t>
  </si>
  <si>
    <t>Key(1170)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</si>
  <si>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</si>
  <si>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</si>
  <si>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</si>
  <si>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</si>
  <si>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</si>
  <si>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</si>
  <si>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</si>
  <si>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</si>
  <si>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</si>
  <si>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</si>
  <si>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</si>
  <si>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t>Sidestream; Non-pH</t>
  </si>
  <si>
    <t>Sidestream; pH</t>
  </si>
  <si>
    <t>Non-Biofilm; pH</t>
  </si>
  <si>
    <t>Biofilm; pH</t>
  </si>
  <si>
    <t>if pH is not calculated</t>
  </si>
  <si>
    <t>if pH is calculated</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</si>
  <si>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</si>
  <si>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</si>
  <si>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</si>
  <si>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</si>
  <si>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</si>
  <si>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</si>
  <si>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</si>
  <si>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</si>
  <si>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</si>
  <si>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</si>
  <si>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</si>
  <si>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</si>
  <si>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</si>
  <si>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</si>
  <si>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</si>
  <si>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</si>
  <si>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</si>
  <si>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</si>
  <si>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</si>
  <si>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</si>
  <si>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</si>
  <si>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</si>
  <si>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</si>
  <si>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</si>
  <si>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</si>
  <si>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</si>
  <si>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</si>
  <si>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</si>
  <si>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Ki</t>
    </r>
    <r>
      <rPr>
        <vertAlign val="subscript"/>
        <sz val="11"/>
        <rFont val="Calibri"/>
        <family val="2"/>
      </rPr>
      <t>HNO2,AOB,pH,AS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</si>
  <si>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</si>
  <si>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</si>
  <si>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</si>
  <si>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</si>
  <si>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</si>
  <si>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</si>
  <si>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</si>
  <si>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</si>
  <si>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</si>
  <si>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</si>
  <si>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</si>
  <si>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</si>
  <si>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rPr>
      <t>NO2,OHO,AS</t>
    </r>
    <r>
      <rPr>
        <sz val="11"/>
        <rFont val="Calibri"/>
        <family val="2"/>
      </rPr>
      <t>*f</t>
    </r>
    <r>
      <rPr>
        <vertAlign val="subscript"/>
        <sz val="11"/>
        <rFont val="Calibri"/>
        <family val="2"/>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</si>
  <si>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</si>
  <si>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</si>
  <si>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</si>
  <si>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</si>
  <si>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</si>
  <si>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</si>
  <si>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</si>
  <si>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</si>
  <si>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</si>
  <si>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</si>
  <si>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</si>
  <si>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</si>
  <si>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</si>
  <si>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</si>
  <si>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</si>
  <si>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</si>
  <si>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</si>
  <si>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</si>
  <si>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</si>
  <si>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</si>
  <si>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</si>
  <si>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FLOC,AS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</si>
  <si>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</si>
  <si>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</si>
  <si>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</si>
  <si>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</si>
  <si>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</si>
  <si>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</si>
  <si>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</si>
  <si>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</si>
  <si>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</si>
  <si>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</si>
  <si>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</si>
  <si>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</si>
  <si>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</si>
  <si>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</si>
  <si>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</si>
  <si>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</si>
  <si>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</si>
  <si>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</si>
  <si>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</si>
  <si>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</si>
  <si>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</si>
  <si>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</si>
  <si>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</si>
  <si>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</si>
  <si>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</si>
  <si>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</si>
  <si>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</si>
  <si>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</si>
  <si>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</si>
  <si>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</si>
  <si>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</si>
  <si>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</si>
  <si>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</si>
  <si>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</si>
  <si>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</si>
  <si>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</si>
  <si>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</si>
  <si>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</si>
  <si>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</si>
  <si>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</si>
  <si>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</si>
  <si>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</si>
  <si>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</si>
  <si>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</si>
  <si>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t>unused</t>
  </si>
  <si>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</si>
  <si>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</si>
  <si>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</si>
  <si>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</si>
  <si>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</si>
  <si>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</si>
  <si>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Minh</t>
    </r>
    <r>
      <rPr>
        <vertAlign val="subscript"/>
        <sz val="11"/>
        <rFont val="Calibri"/>
        <family val="2"/>
      </rPr>
      <t>SO2,KiO2,AMX</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</si>
  <si>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</si>
  <si>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</si>
  <si>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</si>
  <si>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Ki</t>
    </r>
    <r>
      <rPr>
        <vertAlign val="subscript"/>
        <sz val="11"/>
        <color indexed="8"/>
        <rFont val="Calibri"/>
        <family val="2"/>
        <scheme val="minor"/>
      </rPr>
      <t>O2,AMX,AS</t>
    </r>
  </si>
  <si>
    <t>Half-inhibition of O2 for AMX (AS)</t>
  </si>
  <si>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</si>
  <si>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</si>
  <si>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rPr>
      <t>L,GO2,bub</t>
    </r>
  </si>
  <si>
    <r>
      <t>k</t>
    </r>
    <r>
      <rPr>
        <vertAlign val="subscript"/>
        <sz val="11"/>
        <rFont val="Calibri"/>
        <family val="2"/>
      </rPr>
      <t>L,GO2,sur</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</si>
  <si>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</si>
  <si>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</si>
  <si>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</si>
  <si>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</si>
  <si>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</si>
  <si>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</si>
  <si>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</si>
  <si>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</si>
  <si>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</si>
  <si>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</si>
  <si>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</si>
  <si>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</si>
  <si>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</si>
  <si>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</si>
  <si>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</si>
  <si>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</si>
  <si>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</si>
  <si>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</si>
  <si>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</si>
  <si>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</si>
  <si>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</si>
  <si>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</si>
  <si>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</si>
  <si>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</si>
  <si>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</si>
  <si>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</si>
  <si>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</si>
  <si>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</si>
  <si>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</si>
  <si>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</si>
  <si>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Saturation term for colloidal unbiodegradable organics (floculation)</t>
  </si>
  <si>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</si>
  <si>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</si>
  <si>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</si>
  <si>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</si>
  <si>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</si>
  <si>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</si>
  <si>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</si>
  <si>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</si>
  <si>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</si>
  <si>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</si>
  <si>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</si>
  <si>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</si>
  <si>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t>SNHx, SMEOL considered to be volatilized</t>
  </si>
  <si>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</si>
  <si>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</si>
  <si>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</si>
  <si>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</si>
  <si>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</si>
  <si>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</si>
  <si>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</si>
  <si>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</si>
  <si>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</si>
  <si>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</si>
  <si>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</si>
  <si>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</si>
  <si>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</si>
  <si>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</si>
  <si>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</si>
  <si>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</si>
  <si>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</si>
  <si>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</si>
  <si>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</si>
  <si>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</si>
  <si>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</si>
  <si>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</si>
  <si>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</si>
  <si>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</si>
  <si>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</si>
  <si>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</si>
  <si>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</si>
  <si>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</si>
  <si>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</si>
  <si>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</si>
  <si>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</si>
  <si>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</si>
  <si>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</si>
  <si>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</si>
  <si>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</si>
  <si>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</si>
  <si>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</si>
  <si>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</si>
  <si>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</si>
  <si>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</si>
  <si>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</si>
  <si>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</si>
  <si>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</si>
  <si>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</si>
  <si>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</si>
  <si>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</si>
  <si>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</si>
  <si>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</si>
  <si>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SO2,KO2,AOB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HNO2,AOB</t>
    </r>
    <r>
      <rPr>
        <sz val="11"/>
        <rFont val="Calibri"/>
        <family val="2"/>
      </rPr>
      <t>*Bellinh</t>
    </r>
    <r>
      <rPr>
        <vertAlign val="subscript"/>
        <sz val="11"/>
        <rFont val="Calibri"/>
        <family val="2"/>
      </rPr>
      <t>pH</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</si>
  <si>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NH3,NOB</t>
    </r>
    <r>
      <rPr>
        <sz val="11"/>
        <rFont val="Calibri"/>
        <family val="2"/>
      </rPr>
      <t>*Bellinh</t>
    </r>
    <r>
      <rPr>
        <vertAlign val="subscript"/>
        <sz val="11"/>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</si>
  <si>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</si>
  <si>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</si>
  <si>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</si>
  <si>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</si>
  <si>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</si>
  <si>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</si>
  <si>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</si>
  <si>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</si>
  <si>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</si>
  <si>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</si>
  <si>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</si>
  <si>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Alkalinity</t>
  </si>
  <si>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</si>
  <si>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</si>
  <si>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</si>
  <si>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</si>
  <si>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</si>
  <si>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</si>
  <si>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</si>
  <si>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</si>
  <si>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</si>
  <si>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</si>
  <si>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</si>
  <si>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</si>
  <si>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</si>
  <si>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</si>
  <si>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</si>
  <si>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</si>
  <si>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</si>
  <si>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</si>
  <si>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t>Interstitial water content</t>
  </si>
  <si>
    <r>
      <t>i</t>
    </r>
    <r>
      <rPr>
        <vertAlign val="subscript"/>
        <sz val="11"/>
        <rFont val="Calibri"/>
        <family val="2"/>
        <scheme val="minor"/>
      </rPr>
      <t>iw,BIO</t>
    </r>
  </si>
  <si>
    <t>Interstitial water of biomass in volatile solids</t>
  </si>
  <si>
    <r>
      <t>g H2O.g VS</t>
    </r>
    <r>
      <rPr>
        <vertAlign val="superscript"/>
        <sz val="11"/>
        <rFont val="Calibri"/>
        <family val="2"/>
        <scheme val="minor"/>
      </rPr>
      <t>-1</t>
    </r>
  </si>
  <si>
    <t>Assuming 70% of biomass cytoplasm is water</t>
  </si>
  <si>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</si>
  <si>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</si>
  <si>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</si>
  <si>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</si>
  <si>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</si>
  <si>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</si>
  <si>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</si>
  <si>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</si>
  <si>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</si>
  <si>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</si>
  <si>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</si>
  <si>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</si>
  <si>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</si>
  <si>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</si>
  <si>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</si>
  <si>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</si>
  <si>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vw,GLY</t>
    </r>
  </si>
  <si>
    <t>Vicinal water of glycogen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</si>
  <si>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</si>
  <si>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</si>
  <si>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</si>
  <si>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</si>
  <si>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</si>
  <si>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</si>
  <si>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</si>
  <si>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</si>
  <si>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</si>
  <si>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</si>
  <si>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</si>
  <si>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</si>
  <si>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</si>
  <si>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</si>
  <si>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</si>
  <si>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wh,GLY</t>
    </r>
  </si>
  <si>
    <t>Water of hydration of glycogen in volatile solids</t>
  </si>
  <si>
    <r>
      <t>i</t>
    </r>
    <r>
      <rPr>
        <vertAlign val="subscript"/>
        <sz val="11"/>
        <rFont val="Calibri"/>
        <family val="2"/>
        <scheme val="minor"/>
      </rPr>
      <t>wh,EPS</t>
    </r>
  </si>
  <si>
    <t>Water of hydration correction of EPS in volatile solids</t>
  </si>
  <si>
    <t>Assuming 25% of H2O is associated with water of hydration</t>
  </si>
  <si>
    <r>
      <t>f</t>
    </r>
    <r>
      <rPr>
        <vertAlign val="subscript"/>
        <sz val="11"/>
        <rFont val="Calibri"/>
        <family val="2"/>
        <scheme val="minor"/>
      </rPr>
      <t>bw,floc</t>
    </r>
  </si>
  <si>
    <t>Fraction of bound water</t>
  </si>
  <si>
    <t>-Damp(chargebalance)</t>
  </si>
  <si>
    <t>MABR offgas</t>
  </si>
  <si>
    <r>
      <t>K</t>
    </r>
    <r>
      <rPr>
        <vertAlign val="subscript"/>
        <sz val="11"/>
        <rFont val="Calibri"/>
        <family val="2"/>
        <scheme val="minor"/>
      </rPr>
      <t>SB,ana,DIG</t>
    </r>
  </si>
  <si>
    <t>Half-saturation of readily biodegradable substrate in fermentation by OHOs in mainstream (AS)</t>
  </si>
  <si>
    <r>
      <t>q</t>
    </r>
    <r>
      <rPr>
        <vertAlign val="subscript"/>
        <sz val="11"/>
        <rFont val="Calibri"/>
        <family val="2"/>
        <scheme val="minor"/>
      </rPr>
      <t>PAO,PP</t>
    </r>
  </si>
  <si>
    <r>
      <t>q</t>
    </r>
    <r>
      <rPr>
        <vertAlign val="subscript"/>
        <sz val="11"/>
        <rFont val="Calibri"/>
        <family val="2"/>
        <scheme val="minor"/>
      </rPr>
      <t>BSH,PREC</t>
    </r>
  </si>
  <si>
    <t>Rate of brushite precipitation</t>
  </si>
  <si>
    <r>
      <t>q</t>
    </r>
    <r>
      <rPr>
        <vertAlign val="subscript"/>
        <sz val="11"/>
        <rFont val="Calibri"/>
        <family val="2"/>
        <scheme val="minor"/>
      </rPr>
      <t>BSH,DISS</t>
    </r>
  </si>
  <si>
    <t>Rate of brushite dissolution</t>
  </si>
  <si>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</si>
  <si>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</si>
  <si>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</si>
  <si>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</si>
  <si>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</si>
  <si>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</si>
  <si>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</si>
  <si>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</si>
  <si>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</si>
  <si>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</si>
  <si>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</si>
  <si>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</si>
  <si>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</si>
  <si>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</si>
  <si>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</si>
  <si>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</si>
  <si>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</si>
  <si>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</si>
  <si>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</si>
  <si>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</si>
  <si>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</si>
  <si>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r>
      <t>θ</t>
    </r>
    <r>
      <rPr>
        <vertAlign val="subscript"/>
        <sz val="11"/>
        <color indexed="8"/>
        <rFont val="Calibri"/>
        <family val="2"/>
        <scheme val="minor"/>
      </rPr>
      <t>q,PAO,PP</t>
    </r>
  </si>
  <si>
    <t>Arrhenius coefficient for PP storage</t>
  </si>
  <si>
    <r>
      <t>i</t>
    </r>
    <r>
      <rPr>
        <vertAlign val="subscript"/>
        <sz val="11"/>
        <rFont val="Calibri"/>
        <family val="2"/>
        <scheme val="minor"/>
      </rPr>
      <t>P,XBSH</t>
    </r>
  </si>
  <si>
    <t>P content of BSH</t>
  </si>
  <si>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</si>
  <si>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</si>
  <si>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</si>
  <si>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</si>
  <si>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</si>
  <si>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</si>
  <si>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</si>
  <si>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</si>
  <si>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</si>
  <si>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</si>
  <si>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</si>
  <si>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</si>
  <si>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</si>
  <si>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</si>
  <si>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</si>
  <si>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</si>
  <si>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</si>
  <si>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</si>
  <si>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</si>
  <si>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</si>
  <si>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</si>
  <si>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</si>
  <si>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X</t>
    </r>
    <r>
      <rPr>
        <vertAlign val="subscript"/>
        <sz val="11"/>
        <rFont val="Calibri"/>
        <family val="2"/>
        <scheme val="minor"/>
      </rPr>
      <t>HAO,H</t>
    </r>
  </si>
  <si>
    <t>Active hydrous aluminium oxide, high surface (HAO,H)</t>
  </si>
  <si>
    <r>
      <t>g Al.m</t>
    </r>
    <r>
      <rPr>
        <vertAlign val="superscript"/>
        <sz val="11"/>
        <rFont val="Calibri"/>
        <family val="2"/>
      </rPr>
      <t>-3</t>
    </r>
  </si>
  <si>
    <r>
      <t>X</t>
    </r>
    <r>
      <rPr>
        <vertAlign val="subscript"/>
        <sz val="11"/>
        <rFont val="Calibri"/>
        <family val="2"/>
        <scheme val="minor"/>
      </rPr>
      <t>HAO,L</t>
    </r>
  </si>
  <si>
    <t>Active hydrous aluminium oxide, low surface (HAO,L)</t>
  </si>
  <si>
    <r>
      <t>X</t>
    </r>
    <r>
      <rPr>
        <vertAlign val="subscript"/>
        <sz val="11"/>
        <rFont val="Calibri"/>
        <family val="2"/>
        <scheme val="minor"/>
      </rPr>
      <t>HAO,old</t>
    </r>
  </si>
  <si>
    <t>Aged unused hydrous aluminium oxide (HAO,old)</t>
  </si>
  <si>
    <r>
      <t>X</t>
    </r>
    <r>
      <rPr>
        <vertAlign val="subscript"/>
        <sz val="11"/>
        <rFont val="Calibri"/>
        <family val="2"/>
        <scheme val="minor"/>
      </rPr>
      <t>HAO,H,P</t>
    </r>
  </si>
  <si>
    <t>P-bound hydrous aluminium oxide, high surface (HAO,H,P)</t>
  </si>
  <si>
    <r>
      <t>X</t>
    </r>
    <r>
      <rPr>
        <vertAlign val="subscript"/>
        <sz val="11"/>
        <rFont val="Calibri"/>
        <family val="2"/>
        <scheme val="minor"/>
      </rPr>
      <t>HAO,L,P</t>
    </r>
  </si>
  <si>
    <t>P-bound hydrous aluminium oxide, low surface (HAO,L,P)</t>
  </si>
  <si>
    <r>
      <t>X</t>
    </r>
    <r>
      <rPr>
        <vertAlign val="subscript"/>
        <sz val="11"/>
        <rFont val="Calibri"/>
        <family val="2"/>
      </rPr>
      <t>HAO,H,P,old</t>
    </r>
  </si>
  <si>
    <t>Aged P-bound hydrous aluminium oxide, high surface (HAO,H,P,old)</t>
  </si>
  <si>
    <r>
      <t>X</t>
    </r>
    <r>
      <rPr>
        <vertAlign val="subscript"/>
        <sz val="11"/>
        <rFont val="Calibri"/>
        <family val="2"/>
      </rPr>
      <t>HAO,L,P,old</t>
    </r>
  </si>
  <si>
    <t>Aged P-bound hydrous aluminium oxide, low surface (HAO,L,P,old)</t>
  </si>
  <si>
    <r>
      <t>X</t>
    </r>
    <r>
      <rPr>
        <vertAlign val="subscript"/>
        <sz val="11"/>
        <rFont val="Calibri"/>
        <family val="2"/>
        <scheme val="minor"/>
      </rPr>
      <t>BSH</t>
    </r>
  </si>
  <si>
    <t>Brushite (BSH)</t>
  </si>
  <si>
    <r>
      <t>X</t>
    </r>
    <r>
      <rPr>
        <b/>
        <vertAlign val="subscript"/>
        <sz val="11"/>
        <rFont val="Calibri"/>
        <family val="2"/>
        <scheme val="minor"/>
      </rPr>
      <t>HAO,H</t>
    </r>
  </si>
  <si>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</si>
  <si>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</si>
  <si>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</si>
  <si>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</si>
  <si>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</si>
  <si>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</si>
  <si>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X</t>
    </r>
    <r>
      <rPr>
        <b/>
        <vertAlign val="subscript"/>
        <sz val="12"/>
        <rFont val="Calibri"/>
        <family val="2"/>
        <scheme val="minor"/>
      </rPr>
      <t>BSH</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</si>
  <si>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</si>
  <si>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</si>
  <si>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t>Aging of active HAO,H</t>
  </si>
  <si>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</si>
  <si>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</si>
  <si>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</si>
  <si>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</si>
  <si>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</si>
  <si>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t>Aging of active HAO,L</t>
  </si>
  <si>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</si>
  <si>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</si>
  <si>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</si>
  <si>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</si>
  <si>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</si>
  <si>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t>Fast binding of P on active HAO,H</t>
  </si>
  <si>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</si>
  <si>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</si>
  <si>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</si>
  <si>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t>Slow binding of P on active HAO,L</t>
  </si>
  <si>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</si>
  <si>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</si>
  <si>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</si>
  <si>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Desorption of P from X</t>
    </r>
    <r>
      <rPr>
        <vertAlign val="subscript"/>
        <sz val="11"/>
        <color rgb="FF000000"/>
        <rFont val="Calibri"/>
        <family val="2"/>
        <scheme val="minor"/>
      </rPr>
      <t>HAO,H,P</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</si>
  <si>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</si>
  <si>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</si>
  <si>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Desorption of P from X</t>
    </r>
    <r>
      <rPr>
        <vertAlign val="subscript"/>
        <sz val="11"/>
        <color rgb="FF000000"/>
        <rFont val="Calibri"/>
        <family val="2"/>
        <scheme val="minor"/>
      </rPr>
      <t>HAO,L,P</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</si>
  <si>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</si>
  <si>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</si>
  <si>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</si>
  <si>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</si>
  <si>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</si>
  <si>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</si>
  <si>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</si>
  <si>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</si>
  <si>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</si>
  <si>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</si>
  <si>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</si>
  <si>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scheme val="minor"/>
      </rPr>
      <t>+X</t>
    </r>
    <r>
      <rPr>
        <vertAlign val="subscript"/>
        <sz val="11"/>
        <rFont val="Calibri"/>
        <family val="2"/>
        <scheme val="minor"/>
      </rPr>
      <t>BSH</t>
    </r>
  </si>
  <si>
    <r>
      <t>X</t>
    </r>
    <r>
      <rPr>
        <vertAlign val="subscript"/>
        <sz val="11"/>
        <rFont val="Calibri"/>
        <family val="2"/>
        <scheme val="minor"/>
      </rPr>
      <t>HAO,TSS</t>
    </r>
  </si>
  <si>
    <t>Total HAOs in TSS unit</t>
  </si>
  <si>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</si>
  <si>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</si>
  <si>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HFO,TSS</t>
    </r>
    <r>
      <rPr>
        <sz val="11"/>
        <rFont val="Calibri"/>
        <family val="2"/>
        <scheme val="minor"/>
      </rPr>
      <t>+X</t>
    </r>
    <r>
      <rPr>
        <vertAlign val="subscript"/>
        <sz val="11"/>
        <rFont val="Calibri"/>
        <family val="2"/>
        <scheme val="minor"/>
      </rPr>
      <t>HAO,TSS</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</si>
  <si>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</si>
  <si>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</si>
  <si>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</si>
  <si>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</si>
  <si>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</si>
  <si>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</si>
  <si>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</si>
  <si>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</si>
  <si>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</si>
  <si>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</si>
  <si>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</si>
  <si>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</si>
  <si>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</si>
  <si>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</si>
  <si>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</si>
  <si>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</si>
  <si>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</si>
  <si>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</si>
  <si>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</si>
  <si>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</si>
  <si>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</si>
  <si>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</si>
  <si>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q</t>
    </r>
    <r>
      <rPr>
        <vertAlign val="subscript"/>
        <sz val="11"/>
        <color theme="1"/>
        <rFont val="Calibri"/>
        <family val="2"/>
        <scheme val="minor"/>
      </rPr>
      <t>BSH</t>
    </r>
  </si>
  <si>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</si>
  <si>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</si>
  <si>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t>Non-Digester; Non-Biofilm</t>
  </si>
  <si>
    <t>Non-Digester; Biofilm</t>
  </si>
  <si>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</si>
  <si>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</si>
  <si>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</si>
  <si>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</si>
  <si>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</si>
  <si>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</si>
  <si>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</si>
  <si>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</si>
  <si>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</si>
  <si>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</si>
  <si>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</si>
  <si>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</si>
  <si>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*MRsat</t>
    </r>
    <r>
      <rPr>
        <vertAlign val="subscript"/>
        <sz val="11"/>
        <rFont val="Calibri"/>
        <family val="2"/>
      </rPr>
      <t>CB,XBIO,KFLOC</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</si>
  <si>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*MRsat</t>
    </r>
    <r>
      <rPr>
        <vertAlign val="subscript"/>
        <sz val="11"/>
        <rFont val="Calibri"/>
        <family val="2"/>
      </rPr>
      <t>CU,XBIO,KFLOC</t>
    </r>
  </si>
  <si>
    <r>
      <t>q</t>
    </r>
    <r>
      <rPr>
        <vertAlign val="subscript"/>
        <sz val="11"/>
        <rFont val="Calibri"/>
        <family val="2"/>
      </rPr>
      <t>HYD,T</t>
    </r>
    <r>
      <rPr>
        <sz val="11"/>
        <rFont val="Calibri"/>
        <family val="2"/>
      </rPr>
      <t>*X</t>
    </r>
    <r>
      <rPr>
        <vertAlign val="subscript"/>
        <sz val="11"/>
        <rFont val="Calibri"/>
        <family val="2"/>
      </rPr>
      <t>BIO</t>
    </r>
    <r>
      <rPr>
        <sz val="11"/>
        <rFont val="Calibri"/>
        <family val="2"/>
      </rPr>
      <t>*MRsat</t>
    </r>
    <r>
      <rPr>
        <vertAlign val="subscript"/>
        <sz val="11"/>
        <rFont val="Calibri"/>
        <family val="2"/>
      </rPr>
      <t>XB,XBIO,KHYD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</si>
  <si>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BIO</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</si>
  <si>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BIO</t>
    </r>
  </si>
  <si>
    <r>
      <t>q</t>
    </r>
    <r>
      <rPr>
        <vertAlign val="subscript"/>
        <sz val="11"/>
        <rFont val="Calibri"/>
        <family val="2"/>
      </rPr>
      <t>HYD,T</t>
    </r>
    <r>
      <rPr>
        <sz val="11"/>
        <rFont val="Calibri"/>
        <family val="2"/>
      </rPr>
      <t>*X</t>
    </r>
    <r>
      <rPr>
        <vertAlign val="subscript"/>
        <sz val="11"/>
        <rFont val="Calibri"/>
        <family val="2"/>
      </rPr>
      <t>BIO</t>
    </r>
    <r>
      <rPr>
        <sz val="11"/>
        <rFont val="Calibri"/>
        <family val="2"/>
      </rPr>
      <t>*MRsat</t>
    </r>
    <r>
      <rPr>
        <vertAlign val="subscript"/>
        <sz val="11"/>
        <rFont val="Calibri"/>
        <family val="2"/>
      </rPr>
      <t>XEana,XBIO,KHYD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</si>
  <si>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</si>
  <si>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</si>
  <si>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</si>
  <si>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</si>
  <si>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</si>
  <si>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</si>
  <si>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</si>
  <si>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</si>
  <si>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</si>
  <si>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</si>
  <si>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</si>
  <si>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</si>
  <si>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</si>
  <si>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</si>
  <si>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</si>
  <si>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</si>
  <si>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X</t>
    </r>
    <r>
      <rPr>
        <vertAlign val="subscript"/>
        <sz val="11"/>
        <rFont val="Calibri"/>
        <family val="2"/>
      </rPr>
      <t>HFO,P</t>
    </r>
    <r>
      <rPr>
        <sz val="11"/>
        <rFont val="Calibri"/>
        <family val="2"/>
      </rPr>
      <t>/X</t>
    </r>
    <r>
      <rPr>
        <vertAlign val="subscript"/>
        <sz val="11"/>
        <rFont val="Calibri"/>
        <family val="2"/>
      </rPr>
      <t>HFO</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</si>
  <si>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</si>
  <si>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</si>
  <si>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</si>
  <si>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</si>
  <si>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</si>
  <si>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</si>
  <si>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</si>
  <si>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</si>
  <si>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Minh</t>
    </r>
    <r>
      <rPr>
        <vertAlign val="subscript"/>
        <sz val="11"/>
        <rFont val="Calibri"/>
        <family val="2"/>
      </rPr>
      <t>SNOx,KNOx,AOB</t>
    </r>
  </si>
  <si>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</si>
  <si>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Msat</t>
    </r>
    <r>
      <rPr>
        <vertAlign val="subscript"/>
        <sz val="11"/>
        <rFont val="Calibri"/>
        <family val="2"/>
      </rPr>
      <t>SNOx,KNOx,AOB</t>
    </r>
  </si>
  <si>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</si>
  <si>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t>
    </r>
    <r>
      <rPr>
        <vertAlign val="subscript"/>
        <sz val="11"/>
        <rFont val="Calibri"/>
        <family val="2"/>
      </rPr>
      <t>SNOx,KNOx,NOB</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</si>
  <si>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</si>
  <si>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Msat</t>
    </r>
    <r>
      <rPr>
        <vertAlign val="subscript"/>
        <sz val="11"/>
        <rFont val="Calibri"/>
        <family val="2"/>
      </rPr>
      <t>SNOx,KNOx,NOB</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</si>
  <si>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</si>
  <si>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t>
    </r>
    <r>
      <rPr>
        <vertAlign val="subscript"/>
        <sz val="11"/>
        <rFont val="Calibri"/>
        <family val="2"/>
      </rPr>
      <t>SNOx,KNOx,AMX</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</si>
  <si>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</si>
  <si>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Msat</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</si>
  <si>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</si>
  <si>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</si>
  <si>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</si>
  <si>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</si>
  <si>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</si>
  <si>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MRsat(C</t>
    </r>
    <r>
      <rPr>
        <vertAlign val="subscript"/>
        <sz val="11"/>
        <rFont val="Calibri"/>
        <family val="2"/>
        <scheme val="minor"/>
      </rPr>
      <t>B</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FLOC</t>
    </r>
    <r>
      <rPr>
        <sz val="11"/>
        <rFont val="Calibri"/>
        <family val="2"/>
        <scheme val="minor"/>
      </rPr>
      <t>)</t>
    </r>
  </si>
  <si>
    <r>
      <t>MRsat(C</t>
    </r>
    <r>
      <rPr>
        <vertAlign val="subscript"/>
        <sz val="11"/>
        <rFont val="Calibri"/>
        <family val="2"/>
        <scheme val="minor"/>
      </rPr>
      <t>U</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FLOC</t>
    </r>
    <r>
      <rPr>
        <sz val="11"/>
        <rFont val="Calibri"/>
        <family val="2"/>
        <scheme val="minor"/>
      </rPr>
      <t>)</t>
    </r>
  </si>
  <si>
    <r>
      <t>MRsat(X</t>
    </r>
    <r>
      <rPr>
        <vertAlign val="subscript"/>
        <sz val="11"/>
        <rFont val="Calibri"/>
        <family val="2"/>
        <scheme val="minor"/>
      </rPr>
      <t>B</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</si>
  <si>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BIO</t>
    </r>
    <r>
      <rPr>
        <sz val="11"/>
        <rFont val="Calibri"/>
        <family val="2"/>
        <scheme val="minor"/>
      </rPr>
      <t>;K</t>
    </r>
    <r>
      <rPr>
        <vertAlign val="subscript"/>
        <sz val="11"/>
        <rFont val="Calibri"/>
        <family val="2"/>
        <scheme val="minor"/>
      </rPr>
      <t>HYD</t>
    </r>
    <r>
      <rPr>
        <sz val="11"/>
        <rFont val="Calibri"/>
        <family val="2"/>
        <scheme val="minor"/>
      </rPr>
      <t>)</t>
    </r>
  </si>
  <si>
    <t>r95</t>
  </si>
  <si>
    <t>r96</t>
  </si>
  <si>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</si>
  <si>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</si>
  <si>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</si>
  <si>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</si>
  <si>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</si>
  <si>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</si>
  <si>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</si>
  <si>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</si>
  <si>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</si>
  <si>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</si>
  <si>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</si>
  <si>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ASF</t>
    </r>
    <r>
      <rPr>
        <vertAlign val="subscript"/>
        <sz val="11"/>
        <rFont val="Calibri"/>
        <family val="2"/>
        <scheme val="minor"/>
      </rPr>
      <t>HFO,H</t>
    </r>
  </si>
  <si>
    <r>
      <t>ASF</t>
    </r>
    <r>
      <rPr>
        <vertAlign val="subscript"/>
        <sz val="11"/>
        <rFont val="Calibri"/>
        <family val="2"/>
        <scheme val="minor"/>
      </rPr>
      <t>HFO,L</t>
    </r>
  </si>
  <si>
    <r>
      <t>q</t>
    </r>
    <r>
      <rPr>
        <vertAlign val="subscript"/>
        <sz val="11"/>
        <rFont val="Calibri"/>
        <family val="2"/>
        <scheme val="minor"/>
      </rPr>
      <t>P,HFO,COPREC</t>
    </r>
  </si>
  <si>
    <r>
      <t>q</t>
    </r>
    <r>
      <rPr>
        <vertAlign val="subscript"/>
        <sz val="11"/>
        <rFont val="Calibri"/>
        <family val="2"/>
        <scheme val="minor"/>
      </rPr>
      <t>P,HFO,BIND</t>
    </r>
  </si>
  <si>
    <r>
      <t>Ki</t>
    </r>
    <r>
      <rPr>
        <vertAlign val="subscript"/>
        <sz val="11"/>
        <rFont val="Calibri"/>
        <family val="2"/>
        <scheme val="minor"/>
      </rPr>
      <t>P,HFO,DISS</t>
    </r>
  </si>
  <si>
    <r>
      <t>Ki</t>
    </r>
    <r>
      <rPr>
        <vertAlign val="subscript"/>
        <sz val="11"/>
        <rFont val="Calibri"/>
        <family val="2"/>
        <scheme val="minor"/>
      </rPr>
      <t>P,HFO,DESORP</t>
    </r>
  </si>
  <si>
    <r>
      <t>K</t>
    </r>
    <r>
      <rPr>
        <vertAlign val="subscript"/>
        <sz val="11"/>
        <rFont val="Calibri"/>
        <family val="2"/>
        <scheme val="minor"/>
      </rPr>
      <t>P,HFO,BIND</t>
    </r>
  </si>
  <si>
    <r>
      <t>Loginh</t>
    </r>
    <r>
      <rPr>
        <vertAlign val="subscript"/>
        <sz val="11"/>
        <rFont val="Calibri"/>
        <family val="2"/>
        <scheme val="minor"/>
      </rPr>
      <t>SPO4,KiP,HFO,DISS</t>
    </r>
  </si>
  <si>
    <r>
      <t>Minh</t>
    </r>
    <r>
      <rPr>
        <vertAlign val="subscript"/>
        <sz val="11"/>
        <rFont val="Calibri"/>
        <family val="2"/>
        <scheme val="minor"/>
      </rPr>
      <t>SPO4,KiP,HFO,DESORP</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</si>
  <si>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</si>
  <si>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Msat</t>
    </r>
    <r>
      <rPr>
        <vertAlign val="subscript"/>
        <sz val="11"/>
        <rFont val="Calibri"/>
        <family val="2"/>
        <scheme val="minor"/>
      </rPr>
      <t>SPO4,KP,HFO,BIND</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</si>
  <si>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</si>
  <si>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q</t>
    </r>
    <r>
      <rPr>
        <vertAlign val="subscript"/>
        <sz val="11"/>
        <rFont val="Calibri"/>
        <family val="2"/>
      </rPr>
      <t>HFOH,AGING</t>
    </r>
    <r>
      <rPr>
        <sz val="11"/>
        <rFont val="Calibri"/>
        <family val="2"/>
      </rPr>
      <t xml:space="preserve"> *(X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</si>
  <si>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 xml:space="preserve"> *(X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</si>
  <si>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</si>
  <si>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</si>
  <si>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</si>
  <si>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</si>
  <si>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</si>
  <si>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</si>
  <si>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</si>
  <si>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</si>
  <si>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</si>
  <si>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</si>
  <si>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</si>
  <si>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MM</t>
    </r>
    <r>
      <rPr>
        <vertAlign val="subscript"/>
        <sz val="11"/>
        <rFont val="Calibri"/>
        <family val="2"/>
        <scheme val="minor"/>
      </rPr>
      <t>BSH</t>
    </r>
  </si>
  <si>
    <t>Molecular mass of Brushite</t>
  </si>
  <si>
    <r>
      <t>K</t>
    </r>
    <r>
      <rPr>
        <vertAlign val="subscript"/>
        <sz val="11"/>
        <rFont val="Calibri"/>
        <family val="2"/>
        <scheme val="minor"/>
      </rPr>
      <t>sp,BSH,param</t>
    </r>
  </si>
  <si>
    <t>Solubility constant of Brushite</t>
  </si>
  <si>
    <t xml:space="preserve">Musvoto et al. (2000) =10^(-6.6) </t>
  </si>
  <si>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</si>
  <si>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</si>
  <si>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</si>
  <si>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K</t>
    </r>
    <r>
      <rPr>
        <vertAlign val="subscript"/>
        <sz val="11"/>
        <color indexed="8"/>
        <rFont val="Calibri"/>
        <family val="2"/>
        <scheme val="minor"/>
      </rPr>
      <t>BSH,DISS</t>
    </r>
  </si>
  <si>
    <t>Half-saturation of brushite redissolution</t>
  </si>
  <si>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</si>
  <si>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</si>
  <si>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</si>
  <si>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</si>
  <si>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</si>
  <si>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</si>
  <si>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</si>
  <si>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</si>
  <si>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</si>
  <si>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</si>
  <si>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</si>
  <si>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</si>
  <si>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</si>
  <si>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</si>
  <si>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</si>
  <si>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</si>
  <si>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</si>
  <si>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</si>
  <si>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</si>
  <si>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</si>
  <si>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</si>
  <si>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</si>
  <si>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</si>
  <si>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</si>
  <si>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</si>
  <si>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</si>
  <si>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</si>
  <si>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</si>
  <si>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</si>
  <si>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</si>
  <si>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</si>
  <si>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</si>
  <si>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</si>
  <si>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</si>
  <si>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</si>
  <si>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</si>
  <si>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</si>
  <si>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</si>
  <si>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</si>
  <si>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</si>
  <si>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</si>
  <si>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</si>
  <si>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</si>
  <si>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</si>
  <si>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</si>
  <si>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</si>
  <si>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</si>
  <si>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</si>
  <si>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</si>
  <si>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</si>
  <si>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</si>
  <si>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</si>
  <si>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</si>
  <si>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</si>
  <si>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</si>
  <si>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</si>
  <si>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N2O</t>
    </r>
  </si>
  <si>
    <t>Molar mass of nitrous oxide ion</t>
  </si>
  <si>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</si>
  <si>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</si>
  <si>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</si>
  <si>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</si>
  <si>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</si>
  <si>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</si>
  <si>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MM</t>
    </r>
    <r>
      <rPr>
        <vertAlign val="subscript"/>
        <sz val="11"/>
        <rFont val="Calibri"/>
        <family val="2"/>
        <scheme val="minor"/>
      </rPr>
      <t>NO</t>
    </r>
  </si>
  <si>
    <t>Molar mass of nitric oxide ion</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</si>
  <si>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</si>
  <si>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</si>
  <si>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</si>
  <si>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</si>
  <si>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</si>
  <si>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</si>
  <si>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</si>
  <si>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</si>
  <si>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</si>
  <si>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</si>
  <si>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</si>
  <si>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</si>
  <si>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</si>
  <si>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</si>
  <si>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</si>
  <si>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</si>
  <si>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</si>
  <si>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</si>
  <si>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</si>
  <si>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</si>
  <si>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</si>
  <si>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</si>
  <si>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</si>
  <si>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</si>
  <si>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</si>
  <si>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</si>
  <si>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</si>
  <si>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</si>
  <si>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</si>
  <si>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</si>
  <si>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</si>
  <si>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</si>
  <si>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</si>
  <si>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</si>
  <si>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</si>
  <si>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</si>
  <si>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</si>
  <si>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</si>
  <si>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</si>
  <si>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</si>
  <si>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</si>
  <si>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</si>
  <si>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</si>
  <si>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</si>
  <si>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</si>
  <si>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</si>
  <si>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</si>
  <si>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</si>
  <si>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</si>
  <si>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</si>
  <si>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</si>
  <si>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</si>
  <si>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</si>
  <si>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</si>
  <si>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</si>
  <si>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</si>
  <si>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</si>
  <si>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</si>
  <si>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</si>
  <si>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</si>
  <si>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</si>
  <si>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</si>
  <si>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</si>
  <si>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</si>
  <si>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</si>
  <si>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</si>
  <si>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</si>
  <si>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</si>
  <si>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</si>
  <si>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</si>
  <si>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</si>
  <si>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</si>
  <si>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</si>
  <si>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</si>
  <si>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</si>
  <si>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</si>
  <si>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</si>
  <si>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</si>
  <si>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</si>
  <si>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</si>
  <si>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</si>
  <si>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</si>
  <si>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</si>
  <si>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t>Balances per processes</t>
  </si>
  <si>
    <r>
      <t>Logsat</t>
    </r>
    <r>
      <rPr>
        <vertAlign val="subscript"/>
        <sz val="11"/>
        <rFont val="Calibri"/>
        <family val="2"/>
        <scheme val="minor"/>
      </rPr>
      <t>SPO4,KPO4,PAO</t>
    </r>
  </si>
  <si>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</si>
  <si>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</si>
  <si>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</si>
  <si>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</si>
  <si>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</si>
  <si>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</si>
  <si>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</si>
  <si>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</si>
  <si>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</si>
  <si>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</si>
  <si>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</si>
  <si>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</si>
  <si>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</si>
  <si>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</si>
  <si>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</si>
  <si>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</si>
  <si>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</si>
  <si>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</si>
  <si>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</si>
  <si>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</si>
  <si>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</si>
  <si>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</si>
  <si>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t>Alpha indicator</t>
  </si>
  <si>
    <r>
      <t>S</t>
    </r>
    <r>
      <rPr>
        <b/>
        <vertAlign val="subscript"/>
        <sz val="11"/>
        <rFont val="Calibri"/>
        <family val="2"/>
        <charset val="238"/>
        <scheme val="minor"/>
      </rPr>
      <t>ALPHA</t>
    </r>
  </si>
  <si>
    <r>
      <t>S</t>
    </r>
    <r>
      <rPr>
        <b/>
        <vertAlign val="subscript"/>
        <sz val="12"/>
        <rFont val="Calibri"/>
        <family val="2"/>
        <charset val="238"/>
        <scheme val="minor"/>
      </rPr>
      <t>ALPHA</t>
    </r>
  </si>
  <si>
    <t>Elimination of surfactants</t>
  </si>
  <si>
    <r>
      <rPr>
        <sz val="11"/>
        <rFont val="Calibri"/>
        <family val="2"/>
      </rPr>
      <t>d</t>
    </r>
    <r>
      <rPr>
        <vertAlign val="superscript"/>
        <sz val="11"/>
        <rFont val="Calibri"/>
        <family val="2"/>
      </rPr>
      <t>-1</t>
    </r>
  </si>
  <si>
    <t>Carbon storing organisms (CASTO)</t>
  </si>
  <si>
    <r>
      <t>X</t>
    </r>
    <r>
      <rPr>
        <b/>
        <vertAlign val="subscript"/>
        <sz val="11"/>
        <rFont val="Calibri"/>
        <family val="2"/>
        <charset val="238"/>
        <scheme val="minor"/>
      </rPr>
      <t>CASTO</t>
    </r>
  </si>
  <si>
    <r>
      <t>X</t>
    </r>
    <r>
      <rPr>
        <b/>
        <vertAlign val="subscript"/>
        <sz val="11"/>
        <rFont val="Calibri"/>
        <family val="2"/>
        <scheme val="minor"/>
      </rPr>
      <t>CASTO</t>
    </r>
  </si>
  <si>
    <r>
      <t>X</t>
    </r>
    <r>
      <rPr>
        <vertAlign val="subscript"/>
        <sz val="11"/>
        <rFont val="Calibri"/>
        <family val="2"/>
        <scheme val="minor"/>
      </rPr>
      <t>OHO</t>
    </r>
    <r>
      <rPr>
        <sz val="11"/>
        <rFont val="Calibri"/>
        <family val="2"/>
        <scheme val="minor"/>
      </rPr>
      <t>+X</t>
    </r>
    <r>
      <rPr>
        <vertAlign val="subscript"/>
        <sz val="11"/>
        <rFont val="Calibri"/>
        <family val="2"/>
        <scheme val="minor"/>
      </rPr>
      <t>CASTO</t>
    </r>
    <r>
      <rPr>
        <sz val="11"/>
        <rFont val="Calibri"/>
        <family val="2"/>
        <scheme val="minor"/>
      </rPr>
      <t>+X</t>
    </r>
    <r>
      <rPr>
        <vertAlign val="subscript"/>
        <sz val="11"/>
        <rFont val="Calibri"/>
        <family val="2"/>
        <scheme val="minor"/>
      </rPr>
      <t>MEOLO</t>
    </r>
    <r>
      <rPr>
        <sz val="11"/>
        <rFont val="Calibri"/>
        <family val="2"/>
        <scheme val="minor"/>
      </rPr>
      <t>+X</t>
    </r>
    <r>
      <rPr>
        <vertAlign val="subscript"/>
        <sz val="11"/>
        <rFont val="Calibri"/>
        <family val="2"/>
        <scheme val="minor"/>
      </rPr>
      <t>AOB</t>
    </r>
    <r>
      <rPr>
        <sz val="11"/>
        <rFont val="Calibri"/>
        <family val="2"/>
        <scheme val="minor"/>
      </rPr>
      <t>+X</t>
    </r>
    <r>
      <rPr>
        <vertAlign val="subscript"/>
        <sz val="11"/>
        <rFont val="Calibri"/>
        <family val="2"/>
        <scheme val="minor"/>
      </rPr>
      <t>NOB</t>
    </r>
    <r>
      <rPr>
        <sz val="11"/>
        <rFont val="Calibri"/>
        <family val="2"/>
        <scheme val="minor"/>
      </rPr>
      <t>+X</t>
    </r>
    <r>
      <rPr>
        <vertAlign val="subscript"/>
        <sz val="11"/>
        <rFont val="Calibri"/>
        <family val="2"/>
        <scheme val="minor"/>
      </rPr>
      <t>AMX</t>
    </r>
    <r>
      <rPr>
        <sz val="11"/>
        <rFont val="Calibri"/>
        <family val="2"/>
        <scheme val="minor"/>
      </rPr>
      <t>+X</t>
    </r>
    <r>
      <rPr>
        <vertAlign val="subscript"/>
        <sz val="11"/>
        <rFont val="Calibri"/>
        <family val="2"/>
        <scheme val="minor"/>
      </rPr>
      <t>AMETO</t>
    </r>
    <r>
      <rPr>
        <sz val="11"/>
        <rFont val="Calibri"/>
        <family val="2"/>
        <scheme val="minor"/>
      </rPr>
      <t>+X</t>
    </r>
    <r>
      <rPr>
        <vertAlign val="subscript"/>
        <sz val="11"/>
        <rFont val="Calibri"/>
        <family val="2"/>
        <scheme val="minor"/>
      </rPr>
      <t>HMETO</t>
    </r>
    <r>
      <rPr>
        <sz val="11"/>
        <rFont val="Calibri"/>
        <family val="2"/>
        <scheme val="minor"/>
      </rPr>
      <t/>
    </r>
  </si>
  <si>
    <t>Maximum specific growth rate of CASTOs</t>
  </si>
  <si>
    <r>
      <t>µ</t>
    </r>
    <r>
      <rPr>
        <vertAlign val="subscript"/>
        <sz val="11"/>
        <rFont val="Calibri"/>
        <family val="2"/>
        <scheme val="minor"/>
      </rPr>
      <t>CASTO</t>
    </r>
  </si>
  <si>
    <t>Maximum polyphosphate uptake rate of PAOs</t>
  </si>
  <si>
    <t>Decay rate of CASTOs</t>
  </si>
  <si>
    <r>
      <t>b</t>
    </r>
    <r>
      <rPr>
        <vertAlign val="subscript"/>
        <sz val="11"/>
        <rFont val="Calibri"/>
        <family val="2"/>
        <scheme val="minor"/>
      </rPr>
      <t>CASTO</t>
    </r>
  </si>
  <si>
    <t>previously 0.05 (0.15 for Lopez et al. 2006; Hao et al., 2010)</t>
  </si>
  <si>
    <r>
      <t>b</t>
    </r>
    <r>
      <rPr>
        <vertAlign val="subscript"/>
        <sz val="11"/>
        <rFont val="Calibri"/>
        <family val="2"/>
        <scheme val="minor"/>
      </rPr>
      <t>STC</t>
    </r>
  </si>
  <si>
    <t>Rate of CASTOs maintenance on PHA and GLY</t>
  </si>
  <si>
    <r>
      <t>η</t>
    </r>
    <r>
      <rPr>
        <vertAlign val="subscript"/>
        <sz val="11"/>
        <rFont val="Calibri"/>
        <family val="2"/>
        <scheme val="minor"/>
      </rPr>
      <t>CASTO,anox</t>
    </r>
  </si>
  <si>
    <t>Reduction factor for anoxic growth of CASTOs</t>
  </si>
  <si>
    <t>Reduction factor for anoxic decay of CASTOs</t>
  </si>
  <si>
    <r>
      <t>η</t>
    </r>
    <r>
      <rPr>
        <vertAlign val="subscript"/>
        <sz val="11"/>
        <rFont val="Calibri"/>
        <family val="2"/>
        <scheme val="minor"/>
      </rPr>
      <t>bCASTO,anox</t>
    </r>
  </si>
  <si>
    <t>Reduction factor for anaerobic decay of CASTOs</t>
  </si>
  <si>
    <r>
      <t>η</t>
    </r>
    <r>
      <rPr>
        <vertAlign val="subscript"/>
        <sz val="11"/>
        <rFont val="Calibri"/>
        <family val="2"/>
        <scheme val="minor"/>
      </rPr>
      <t>bCASTO,ana</t>
    </r>
  </si>
  <si>
    <t>Reduction factor for anoxic maintenance of CASTOs on PHA and GLY</t>
  </si>
  <si>
    <r>
      <t>η</t>
    </r>
    <r>
      <rPr>
        <vertAlign val="subscript"/>
        <sz val="11"/>
        <rFont val="Calibri"/>
        <family val="2"/>
        <scheme val="minor"/>
      </rPr>
      <t>bSTC,anox</t>
    </r>
  </si>
  <si>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</si>
  <si>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</si>
  <si>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</si>
  <si>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t>Half-saturation of PHA and GLY for PAOs</t>
  </si>
  <si>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</si>
  <si>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O2,CASTO,AS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</si>
  <si>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</si>
  <si>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</si>
  <si>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NO3,CASTO,AS</t>
    </r>
  </si>
  <si>
    <r>
      <t>K</t>
    </r>
    <r>
      <rPr>
        <vertAlign val="subscript"/>
        <sz val="11"/>
        <rFont val="Calibri"/>
        <family val="2"/>
        <scheme val="minor"/>
      </rPr>
      <t>NO2,CASTO,AS</t>
    </r>
  </si>
  <si>
    <t>Half-saturation of VFA storage for CASTOs (AS)</t>
  </si>
  <si>
    <r>
      <t>K</t>
    </r>
    <r>
      <rPr>
        <vertAlign val="subscript"/>
        <sz val="11"/>
        <rFont val="Calibri"/>
        <family val="2"/>
        <scheme val="minor"/>
      </rPr>
      <t>VFA,CASTO,AS</t>
    </r>
  </si>
  <si>
    <r>
      <t>Logsat</t>
    </r>
    <r>
      <rPr>
        <vertAlign val="subscript"/>
        <sz val="11"/>
        <rFont val="Calibri"/>
        <family val="2"/>
        <scheme val="minor"/>
      </rPr>
      <t>ORP,GAO,Half,15</t>
    </r>
  </si>
  <si>
    <t>Half-value of ORP switch of glycogen storage by GAO at 15°C / 59°F</t>
  </si>
  <si>
    <r>
      <t>Logsat</t>
    </r>
    <r>
      <rPr>
        <vertAlign val="subscript"/>
        <sz val="11"/>
        <rFont val="Calibri"/>
        <family val="2"/>
        <scheme val="minor"/>
      </rPr>
      <t>ORP,GAO,Half,25</t>
    </r>
  </si>
  <si>
    <t>Half-value of ORP switch of glycogen storage by GAO at 25°C / 77°F</t>
  </si>
  <si>
    <r>
      <t>Logsat</t>
    </r>
    <r>
      <rPr>
        <vertAlign val="subscript"/>
        <sz val="11"/>
        <rFont val="Calibri"/>
        <family val="2"/>
        <scheme val="minor"/>
      </rPr>
      <t>ORP,GAO,Slope</t>
    </r>
  </si>
  <si>
    <t>Carbon storing organism kinetics (CASTO)</t>
  </si>
  <si>
    <t>Arrhenius coefficient for CASTO growth</t>
  </si>
  <si>
    <r>
      <t>θ</t>
    </r>
    <r>
      <rPr>
        <vertAlign val="subscript"/>
        <sz val="11"/>
        <color indexed="8"/>
        <rFont val="Calibri"/>
        <family val="2"/>
        <scheme val="minor"/>
      </rPr>
      <t>µ,CASTO</t>
    </r>
  </si>
  <si>
    <t>Arrhenius coefficient for CASTO decay</t>
  </si>
  <si>
    <r>
      <t>θ</t>
    </r>
    <r>
      <rPr>
        <vertAlign val="subscript"/>
        <sz val="11"/>
        <color indexed="8"/>
        <rFont val="Calibri"/>
        <family val="2"/>
        <scheme val="minor"/>
      </rPr>
      <t>b,CASTO</t>
    </r>
  </si>
  <si>
    <t>Arrhenius coefficient for PHA and GLY storage use for maintenance</t>
  </si>
  <si>
    <r>
      <t>θ</t>
    </r>
    <r>
      <rPr>
        <vertAlign val="subscript"/>
        <sz val="11"/>
        <color indexed="8"/>
        <rFont val="Calibri"/>
        <family val="2"/>
        <scheme val="minor"/>
      </rPr>
      <t>b,STC</t>
    </r>
  </si>
  <si>
    <t>Yield of CASTOs on PHA under aerobic conditions</t>
  </si>
  <si>
    <t>Yield of CASTOs on PHA under anoxic conditions</t>
  </si>
  <si>
    <t>Yield of CASTOs on readily biodegradable substrate under anaerobic conditions</t>
  </si>
  <si>
    <t>Yield of H2 production in fermentation with high VFA concentration (CASTO)</t>
  </si>
  <si>
    <t>Yield of H2 production in fermentation with low VFA concentration (CASTO)</t>
  </si>
  <si>
    <t>Yield of CASTOs consumed per PP uptake under aerobic conditions</t>
  </si>
  <si>
    <t>Yield of CASTOs consumed per PP uptake under anoxic conditions</t>
  </si>
  <si>
    <r>
      <t>Y</t>
    </r>
    <r>
      <rPr>
        <vertAlign val="subscript"/>
        <sz val="11"/>
        <rFont val="Calibri"/>
        <family val="2"/>
        <scheme val="minor"/>
      </rPr>
      <t>PP,CASTO,ox</t>
    </r>
  </si>
  <si>
    <r>
      <t>Y</t>
    </r>
    <r>
      <rPr>
        <vertAlign val="subscript"/>
        <sz val="11"/>
        <rFont val="Calibri"/>
        <family val="2"/>
        <scheme val="minor"/>
      </rPr>
      <t>PP,CASTO,anox</t>
    </r>
  </si>
  <si>
    <r>
      <t>Y</t>
    </r>
    <r>
      <rPr>
        <vertAlign val="subscript"/>
        <sz val="11"/>
        <rFont val="Calibri"/>
        <family val="2"/>
        <scheme val="minor"/>
      </rPr>
      <t>CASTO,PHA,ox</t>
    </r>
  </si>
  <si>
    <r>
      <t>Y</t>
    </r>
    <r>
      <rPr>
        <vertAlign val="subscript"/>
        <sz val="11"/>
        <rFont val="Calibri"/>
        <family val="2"/>
        <scheme val="minor"/>
      </rPr>
      <t>CASTO,PHA,anox</t>
    </r>
  </si>
  <si>
    <r>
      <t>Y</t>
    </r>
    <r>
      <rPr>
        <vertAlign val="subscript"/>
        <sz val="11"/>
        <rFont val="Calibri"/>
        <family val="2"/>
        <scheme val="minor"/>
      </rPr>
      <t>CASTO,SB,ana</t>
    </r>
  </si>
  <si>
    <r>
      <t>Y</t>
    </r>
    <r>
      <rPr>
        <vertAlign val="subscript"/>
        <sz val="11"/>
        <rFont val="Calibri"/>
        <family val="2"/>
        <scheme val="minor"/>
      </rPr>
      <t>CASTO,H2,ana,high</t>
    </r>
  </si>
  <si>
    <r>
      <t>Y</t>
    </r>
    <r>
      <rPr>
        <vertAlign val="subscript"/>
        <sz val="11"/>
        <rFont val="Calibri"/>
        <family val="2"/>
        <scheme val="minor"/>
      </rPr>
      <t>CASTO,H2,ana,low</t>
    </r>
  </si>
  <si>
    <t>Yield of CASTOs on glycogen under aerobic conditions</t>
  </si>
  <si>
    <t>Yield of CASTOs on glycogen under anoxic conditions</t>
  </si>
  <si>
    <r>
      <t>Y</t>
    </r>
    <r>
      <rPr>
        <vertAlign val="subscript"/>
        <sz val="11"/>
        <rFont val="Calibri"/>
        <family val="2"/>
        <scheme val="minor"/>
      </rPr>
      <t>CASTO,GLY,ox</t>
    </r>
  </si>
  <si>
    <r>
      <t>Y</t>
    </r>
    <r>
      <rPr>
        <vertAlign val="subscript"/>
        <sz val="11"/>
        <rFont val="Calibri"/>
        <family val="2"/>
        <scheme val="minor"/>
      </rPr>
      <t>CASTO,GLY,anox</t>
    </r>
  </si>
  <si>
    <t>Half-saturation of dissolved hydrogen and methane for anaerobic ORP</t>
  </si>
  <si>
    <r>
      <t>K</t>
    </r>
    <r>
      <rPr>
        <vertAlign val="subscript"/>
        <sz val="11"/>
        <rFont val="Calibri"/>
        <family val="2"/>
        <scheme val="minor"/>
      </rPr>
      <t>ORP,H2,CH4</t>
    </r>
  </si>
  <si>
    <t>CASTO related calculations</t>
  </si>
  <si>
    <r>
      <t>X</t>
    </r>
    <r>
      <rPr>
        <vertAlign val="subscript"/>
        <sz val="11"/>
        <rFont val="Calibri"/>
        <family val="2"/>
        <scheme val="minor"/>
      </rPr>
      <t>STC</t>
    </r>
  </si>
  <si>
    <r>
      <t>X</t>
    </r>
    <r>
      <rPr>
        <vertAlign val="subscript"/>
        <sz val="11"/>
        <rFont val="Calibri"/>
        <family val="2"/>
        <scheme val="minor"/>
      </rPr>
      <t>PHA</t>
    </r>
    <r>
      <rPr>
        <sz val="11"/>
        <rFont val="Calibri"/>
        <family val="2"/>
        <scheme val="minor"/>
      </rPr>
      <t xml:space="preserve"> + X</t>
    </r>
    <r>
      <rPr>
        <vertAlign val="subscript"/>
        <sz val="11"/>
        <rFont val="Calibri"/>
        <family val="2"/>
        <scheme val="minor"/>
      </rPr>
      <t>GLY</t>
    </r>
  </si>
  <si>
    <r>
      <t>act</t>
    </r>
    <r>
      <rPr>
        <vertAlign val="subscript"/>
        <sz val="11"/>
        <rFont val="Calibri"/>
        <family val="2"/>
        <scheme val="minor"/>
      </rPr>
      <t>PAO</t>
    </r>
  </si>
  <si>
    <t>PAO activity of CASTOs</t>
  </si>
  <si>
    <r>
      <t>X</t>
    </r>
    <r>
      <rPr>
        <vertAlign val="subscript"/>
        <sz val="11"/>
        <color rgb="FF000000"/>
        <rFont val="Calibri"/>
        <family val="2"/>
      </rPr>
      <t>PHA</t>
    </r>
    <r>
      <rPr>
        <sz val="11"/>
        <color indexed="8"/>
        <rFont val="Calibri"/>
        <family val="2"/>
      </rPr>
      <t xml:space="preserve"> / X</t>
    </r>
    <r>
      <rPr>
        <vertAlign val="subscript"/>
        <sz val="11"/>
        <color rgb="FF000000"/>
        <rFont val="Calibri"/>
        <family val="2"/>
      </rPr>
      <t>STC</t>
    </r>
  </si>
  <si>
    <r>
      <t>act</t>
    </r>
    <r>
      <rPr>
        <vertAlign val="subscript"/>
        <sz val="11"/>
        <rFont val="Calibri"/>
        <family val="2"/>
        <scheme val="minor"/>
      </rPr>
      <t>GAO</t>
    </r>
  </si>
  <si>
    <t>GAO activity of CASTOs</t>
  </si>
  <si>
    <r>
      <t>X</t>
    </r>
    <r>
      <rPr>
        <vertAlign val="subscript"/>
        <sz val="11"/>
        <color rgb="FF000000"/>
        <rFont val="Calibri"/>
        <family val="2"/>
      </rPr>
      <t>GLY</t>
    </r>
    <r>
      <rPr>
        <sz val="11"/>
        <color indexed="8"/>
        <rFont val="Calibri"/>
        <family val="2"/>
      </rPr>
      <t xml:space="preserve"> / X</t>
    </r>
    <r>
      <rPr>
        <vertAlign val="subscript"/>
        <sz val="11"/>
        <color rgb="FF000000"/>
        <rFont val="Calibri"/>
        <family val="2"/>
      </rPr>
      <t>STC</t>
    </r>
  </si>
  <si>
    <r>
      <t>X</t>
    </r>
    <r>
      <rPr>
        <vertAlign val="subscript"/>
        <sz val="11"/>
        <rFont val="Calibri"/>
        <family val="2"/>
        <scheme val="minor"/>
      </rPr>
      <t>PAO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</si>
  <si>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</si>
  <si>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</si>
  <si>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</si>
  <si>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</si>
  <si>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</si>
  <si>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</si>
  <si>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</si>
  <si>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</si>
  <si>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</si>
  <si>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</si>
  <si>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</si>
  <si>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</si>
  <si>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t>Rate of VFA storage into glycogen for GAOs</t>
  </si>
  <si>
    <t>Rate of VFA storage into PHA for PAOs</t>
  </si>
  <si>
    <r>
      <t>Y</t>
    </r>
    <r>
      <rPr>
        <vertAlign val="subscript"/>
        <sz val="11"/>
        <rFont val="Calibri"/>
        <family val="2"/>
        <scheme val="minor"/>
      </rPr>
      <t>CASTO,STC,ox</t>
    </r>
  </si>
  <si>
    <t>Observed yield of CASTOs on PHA and GLY under aerobic conditions</t>
  </si>
  <si>
    <r>
      <t>(Y</t>
    </r>
    <r>
      <rPr>
        <vertAlign val="subscript"/>
        <sz val="11"/>
        <rFont val="Calibri"/>
        <family val="2"/>
        <scheme val="minor"/>
      </rPr>
      <t>CASTO,PHA,ox</t>
    </r>
    <r>
      <rPr>
        <sz val="11"/>
        <rFont val="Calibri"/>
        <family val="2"/>
        <scheme val="minor"/>
      </rPr>
      <t xml:space="preserve"> * X</t>
    </r>
    <r>
      <rPr>
        <vertAlign val="subscript"/>
        <sz val="11"/>
        <rFont val="Calibri"/>
        <family val="2"/>
        <scheme val="minor"/>
      </rPr>
      <t>PHA</t>
    </r>
    <r>
      <rPr>
        <sz val="11"/>
        <rFont val="Calibri"/>
        <family val="2"/>
        <scheme val="minor"/>
      </rPr>
      <t xml:space="preserve"> + Y</t>
    </r>
    <r>
      <rPr>
        <vertAlign val="subscript"/>
        <sz val="11"/>
        <rFont val="Calibri"/>
        <family val="2"/>
        <scheme val="minor"/>
      </rPr>
      <t>CASTO,GLY,ox</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</si>
  <si>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</si>
  <si>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</si>
  <si>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t>Observed yield of CASTOs on PHA and GLY under anoxic conditions</t>
  </si>
  <si>
    <r>
      <t>(Y</t>
    </r>
    <r>
      <rPr>
        <vertAlign val="subscript"/>
        <sz val="11"/>
        <rFont val="Calibri"/>
        <family val="2"/>
        <scheme val="minor"/>
      </rPr>
      <t>CASTO,PHA,anox</t>
    </r>
    <r>
      <rPr>
        <sz val="11"/>
        <rFont val="Calibri"/>
        <family val="2"/>
        <scheme val="minor"/>
      </rPr>
      <t xml:space="preserve"> * X</t>
    </r>
    <r>
      <rPr>
        <vertAlign val="subscript"/>
        <sz val="11"/>
        <rFont val="Calibri"/>
        <family val="2"/>
        <scheme val="minor"/>
      </rPr>
      <t>PHA</t>
    </r>
    <r>
      <rPr>
        <sz val="11"/>
        <rFont val="Calibri"/>
        <family val="2"/>
        <scheme val="minor"/>
      </rPr>
      <t xml:space="preserve"> + Y</t>
    </r>
    <r>
      <rPr>
        <vertAlign val="subscript"/>
        <sz val="11"/>
        <rFont val="Calibri"/>
        <family val="2"/>
        <scheme val="minor"/>
      </rPr>
      <t>CASTO,GLY,anox</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</si>
  <si>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r>
      <t>i</t>
    </r>
    <r>
      <rPr>
        <vertAlign val="subscript"/>
        <sz val="11"/>
        <rFont val="Calibri"/>
        <family val="2"/>
        <scheme val="minor"/>
      </rPr>
      <t>CIT,STC</t>
    </r>
  </si>
  <si>
    <t>Observed inorganic carbon content of STC</t>
  </si>
  <si>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t>
    </r>
    <r>
      <rPr>
        <sz val="11"/>
        <rFont val="Calibri"/>
        <family val="2"/>
        <scheme val="minor"/>
      </rPr>
      <t xml:space="preserve"> + i</t>
    </r>
    <r>
      <rPr>
        <vertAlign val="subscript"/>
        <sz val="11"/>
        <rFont val="Calibri"/>
        <family val="2"/>
        <scheme val="minor"/>
      </rPr>
      <t>CIT,GLY</t>
    </r>
    <r>
      <rPr>
        <sz val="11"/>
        <rFont val="Calibri"/>
        <family val="2"/>
        <scheme val="minor"/>
      </rPr>
      <t xml:space="preserve"> * X</t>
    </r>
    <r>
      <rPr>
        <vertAlign val="subscript"/>
        <sz val="11"/>
        <rFont val="Calibri"/>
        <family val="2"/>
        <scheme val="minor"/>
      </rPr>
      <t>GLY</t>
    </r>
    <r>
      <rPr>
        <sz val="11"/>
        <rFont val="Calibri"/>
        <family val="2"/>
        <scheme val="minor"/>
      </rPr>
      <t xml:space="preserve"> ) / X</t>
    </r>
    <r>
      <rPr>
        <vertAlign val="subscript"/>
        <sz val="11"/>
        <rFont val="Calibri"/>
        <family val="2"/>
        <scheme val="minor"/>
      </rPr>
      <t>STC</t>
    </r>
  </si>
  <si>
    <t>Oxidation-reduction potential due to dissolved nitrate (anoxic)</t>
  </si>
  <si>
    <r>
      <t>S</t>
    </r>
    <r>
      <rPr>
        <vertAlign val="subscript"/>
        <sz val="11"/>
        <rFont val="Calibri"/>
        <family val="2"/>
      </rPr>
      <t>H2,CH4</t>
    </r>
  </si>
  <si>
    <t>Hydrogen and methane combined concentration in COD</t>
  </si>
  <si>
    <r>
      <t>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</si>
  <si>
    <r>
      <t>ORP</t>
    </r>
    <r>
      <rPr>
        <vertAlign val="subscript"/>
        <sz val="11"/>
        <rFont val="Calibri"/>
        <family val="2"/>
      </rPr>
      <t>H2,CH4</t>
    </r>
  </si>
  <si>
    <t>Oxidation-reduction potential due to dissolved hydrogen and methane (anaerobic)</t>
  </si>
  <si>
    <r>
      <t>ORP</t>
    </r>
    <r>
      <rPr>
        <vertAlign val="subscript"/>
        <sz val="11"/>
        <rFont val="Calibri"/>
        <family val="2"/>
        <scheme val="minor"/>
      </rPr>
      <t xml:space="preserve">base </t>
    </r>
    <r>
      <rPr>
        <sz val="11"/>
        <rFont val="Calibri"/>
        <family val="2"/>
        <scheme val="minor"/>
      </rPr>
      <t>* (S</t>
    </r>
    <r>
      <rPr>
        <vertAlign val="subscript"/>
        <sz val="11"/>
        <rFont val="Calibri"/>
        <family val="2"/>
        <scheme val="minor"/>
      </rPr>
      <t>H2,CH4</t>
    </r>
    <r>
      <rPr>
        <sz val="11"/>
        <rFont val="Calibri"/>
        <family val="2"/>
        <scheme val="minor"/>
      </rPr>
      <t>)/(K</t>
    </r>
    <r>
      <rPr>
        <vertAlign val="subscript"/>
        <sz val="11"/>
        <rFont val="Calibri"/>
        <family val="2"/>
        <scheme val="minor"/>
      </rPr>
      <t xml:space="preserve">ORP,H2,CH4 </t>
    </r>
    <r>
      <rPr>
        <sz val="11"/>
        <rFont val="Calibri"/>
        <family val="2"/>
        <scheme val="minor"/>
      </rPr>
      <t>+ S</t>
    </r>
    <r>
      <rPr>
        <vertAlign val="subscript"/>
        <sz val="11"/>
        <rFont val="Calibri"/>
        <family val="2"/>
        <scheme val="minor"/>
      </rPr>
      <t>H2,CH4</t>
    </r>
    <r>
      <rPr>
        <sz val="11"/>
        <rFont val="Calibri"/>
        <family val="2"/>
        <scheme val="minor"/>
      </rPr>
      <t>)</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</si>
  <si>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H2,CH4</t>
    </r>
    <r>
      <rPr>
        <sz val="11"/>
        <rFont val="Calibri"/>
        <family val="2"/>
        <scheme val="minor"/>
      </rPr>
      <t>)</t>
    </r>
  </si>
  <si>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</si>
  <si>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</si>
  <si>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</si>
  <si>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</si>
  <si>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t>mV.°C-1</t>
  </si>
  <si>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</si>
  <si>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</si>
  <si>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t>Temperature correction of ORP switch of glycogen storage by GAO</t>
  </si>
  <si>
    <r>
      <t>Logsat</t>
    </r>
    <r>
      <rPr>
        <vertAlign val="subscript"/>
        <sz val="11"/>
        <rFont val="Calibri"/>
        <family val="2"/>
      </rPr>
      <t>ORP,GAO,T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</si>
  <si>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</si>
  <si>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</si>
  <si>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r>
      <t>K</t>
    </r>
    <r>
      <rPr>
        <vertAlign val="subscript"/>
        <sz val="11"/>
        <rFont val="Calibri"/>
        <family val="2"/>
        <scheme val="minor"/>
      </rPr>
      <t>O2,CASTO</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</si>
  <si>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</si>
  <si>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rPr>
      <t>NO2,CASTO</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</si>
  <si>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</si>
  <si>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NO3,CASTO</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</si>
  <si>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</si>
  <si>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r>
      <t>K</t>
    </r>
    <r>
      <rPr>
        <vertAlign val="subscript"/>
        <sz val="11"/>
        <rFont val="Calibri"/>
        <family val="2"/>
        <scheme val="minor"/>
      </rPr>
      <t>VFA,CASTO</t>
    </r>
  </si>
  <si>
    <t>Half-saturation of VFA storage for CASTOs</t>
  </si>
  <si>
    <t>Half-saturations for carbon storing organisms (CASTO)</t>
  </si>
  <si>
    <r>
      <t>Minh</t>
    </r>
    <r>
      <rPr>
        <vertAlign val="subscript"/>
        <sz val="11"/>
        <rFont val="Calibri"/>
        <family val="2"/>
        <scheme val="minor"/>
      </rPr>
      <t>SNO2,KNO2,CASTO</t>
    </r>
  </si>
  <si>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</si>
  <si>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</si>
  <si>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Minh</t>
    </r>
    <r>
      <rPr>
        <vertAlign val="subscript"/>
        <sz val="11"/>
        <rFont val="Calibri"/>
        <family val="2"/>
        <scheme val="minor"/>
      </rPr>
      <t>SNO3,KNO3,CASTO</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</si>
  <si>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</si>
  <si>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</si>
  <si>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Minh</t>
    </r>
    <r>
      <rPr>
        <vertAlign val="subscript"/>
        <sz val="11"/>
        <rFont val="Calibri"/>
        <family val="2"/>
        <scheme val="minor"/>
      </rPr>
      <t>SO2,KO2,CASTO</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</si>
  <si>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</si>
  <si>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</si>
  <si>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MRsat</t>
    </r>
    <r>
      <rPr>
        <vertAlign val="subscript"/>
        <sz val="11"/>
        <rFont val="Calibri"/>
        <family val="2"/>
        <scheme val="minor"/>
      </rPr>
      <t>XSTC,XCASTO,KSTC</t>
    </r>
  </si>
  <si>
    <t>Saturation term for PHA and GLY storage (CASTO)</t>
  </si>
  <si>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</si>
  <si>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t>Saturation term for PHA storage in (PAO)</t>
  </si>
  <si>
    <r>
      <t>MRinh</t>
    </r>
    <r>
      <rPr>
        <vertAlign val="subscript"/>
        <sz val="11"/>
        <rFont val="Calibri"/>
        <family val="2"/>
        <scheme val="minor"/>
      </rPr>
      <t>XPHA,XPAO,KPHA,cle</t>
    </r>
  </si>
  <si>
    <t>Inhibition term for PHA storage in (PAO)</t>
  </si>
  <si>
    <r>
      <t>MRinh(X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</si>
  <si>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MRinh</t>
    </r>
    <r>
      <rPr>
        <vertAlign val="subscript"/>
        <sz val="11"/>
        <rFont val="Calibri"/>
        <family val="2"/>
        <scheme val="minor"/>
      </rPr>
      <t>XSTC,XCASTO,KSTC</t>
    </r>
  </si>
  <si>
    <t>Inhibition term for PHA and GLY storage in (CASTO)</t>
  </si>
  <si>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</si>
  <si>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t>Inhibition term for PP storage compound in (PAO)</t>
  </si>
  <si>
    <t>Saturation term for PP storage in (PAO)</t>
  </si>
  <si>
    <r>
      <t>Msat</t>
    </r>
    <r>
      <rPr>
        <vertAlign val="subscript"/>
        <sz val="11"/>
        <rFont val="Calibri"/>
        <family val="2"/>
      </rPr>
      <t>SNO2,KNO2,CASTO</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</si>
  <si>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</si>
  <si>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</si>
  <si>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Msat</t>
    </r>
    <r>
      <rPr>
        <vertAlign val="subscript"/>
        <sz val="11"/>
        <rFont val="Calibri"/>
        <family val="2"/>
      </rPr>
      <t>SNO3,KNO3,CASTO</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</si>
  <si>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</si>
  <si>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</si>
  <si>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Msat</t>
    </r>
    <r>
      <rPr>
        <vertAlign val="subscript"/>
        <sz val="11"/>
        <rFont val="Calibri"/>
        <family val="2"/>
        <scheme val="minor"/>
      </rPr>
      <t>SO2,KO2,CASTO</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</si>
  <si>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</si>
  <si>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</si>
  <si>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</si>
  <si>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scheme val="minor"/>
      </rPr>
      <t>SVFA,KVFA,CASTO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</si>
  <si>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</si>
  <si>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</si>
  <si>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t>Logistic inhibition term for PHA (PAO)</t>
  </si>
  <si>
    <t>Logistic inhibition term for PP (PAO)</t>
  </si>
  <si>
    <t>Logistic inhibition term for glycogen (GAO)</t>
  </si>
  <si>
    <r>
      <t>µ</t>
    </r>
    <r>
      <rPr>
        <vertAlign val="subscript"/>
        <sz val="11"/>
        <color indexed="8"/>
        <rFont val="Calibri"/>
        <family val="2"/>
        <scheme val="minor"/>
      </rPr>
      <t>CASTO,T</t>
    </r>
  </si>
  <si>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</si>
  <si>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</si>
  <si>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</si>
  <si>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t>Observed rate of CASTOs maintenance on PHA and GLY (temperature corrected)</t>
  </si>
  <si>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</si>
  <si>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</si>
  <si>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</si>
  <si>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</si>
  <si>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</si>
  <si>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</si>
  <si>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</si>
  <si>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</si>
  <si>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</si>
  <si>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CASTO growth on PHA and GLY, NO</t>
    </r>
    <r>
      <rPr>
        <vertAlign val="subscript"/>
        <sz val="11"/>
        <color rgb="FF000000"/>
        <rFont val="Calibri"/>
        <family val="2"/>
        <scheme val="minor"/>
      </rPr>
      <t>3</t>
    </r>
  </si>
  <si>
    <r>
      <t>CASTO growth on PHA and GLY, NO</t>
    </r>
    <r>
      <rPr>
        <vertAlign val="subscript"/>
        <sz val="11"/>
        <color rgb="FF000000"/>
        <rFont val="Calibri"/>
        <family val="2"/>
        <scheme val="minor"/>
      </rPr>
      <t>2</t>
    </r>
  </si>
  <si>
    <r>
      <t>CASTO growth on PHA and GLY, O</t>
    </r>
    <r>
      <rPr>
        <vertAlign val="subscript"/>
        <sz val="11"/>
        <color rgb="FF000000"/>
        <rFont val="Calibri"/>
        <family val="2"/>
        <scheme val="minor"/>
      </rPr>
      <t>2</t>
    </r>
  </si>
  <si>
    <r>
      <t>PAO polyphosphate storage, O</t>
    </r>
    <r>
      <rPr>
        <vertAlign val="subscript"/>
        <sz val="11"/>
        <rFont val="Calibri"/>
        <family val="2"/>
      </rPr>
      <t>2</t>
    </r>
  </si>
  <si>
    <r>
      <t>PAO polyphosphate storage, NO</t>
    </r>
    <r>
      <rPr>
        <vertAlign val="subscript"/>
        <sz val="11"/>
        <rFont val="Calibri"/>
        <family val="2"/>
      </rPr>
      <t>2</t>
    </r>
  </si>
  <si>
    <r>
      <t>PAO polyphosphate storage, NO</t>
    </r>
    <r>
      <rPr>
        <vertAlign val="subscript"/>
        <sz val="11"/>
        <rFont val="Calibri"/>
        <family val="2"/>
      </rPr>
      <t>3</t>
    </r>
  </si>
  <si>
    <r>
      <t>PAO's PHA storage from VFAs and PO</t>
    </r>
    <r>
      <rPr>
        <vertAlign val="subscript"/>
        <sz val="11"/>
        <rFont val="Calibri"/>
        <family val="2"/>
        <charset val="238"/>
      </rPr>
      <t>4</t>
    </r>
    <r>
      <rPr>
        <sz val="11"/>
        <rFont val="Calibri"/>
        <family val="2"/>
      </rPr>
      <t xml:space="preserve"> release</t>
    </r>
  </si>
  <si>
    <t>CASTO aerobic maintenance</t>
  </si>
  <si>
    <r>
      <t>CASTO anoxic maintenance, NO</t>
    </r>
    <r>
      <rPr>
        <vertAlign val="subscript"/>
        <sz val="11"/>
        <color rgb="FF000000"/>
        <rFont val="Calibri"/>
        <family val="2"/>
        <scheme val="minor"/>
      </rPr>
      <t>2</t>
    </r>
  </si>
  <si>
    <r>
      <t>CASTO anoxic maintenance, NO</t>
    </r>
    <r>
      <rPr>
        <vertAlign val="subscript"/>
        <sz val="11"/>
        <color rgb="FF000000"/>
        <rFont val="Calibri"/>
        <family val="2"/>
        <scheme val="minor"/>
      </rPr>
      <t>3</t>
    </r>
  </si>
  <si>
    <t>CASTO decay</t>
  </si>
  <si>
    <t>CASTO anaerobic decay</t>
  </si>
  <si>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</si>
  <si>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</si>
  <si>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X</t>
    </r>
    <r>
      <rPr>
        <vertAlign val="subscript"/>
        <sz val="11"/>
        <rFont val="Calibri"/>
        <family val="2"/>
      </rPr>
      <t>STC</t>
    </r>
    <r>
      <rPr>
        <sz val="11"/>
        <rFont val="Calibri"/>
        <family val="2"/>
      </rPr>
      <t>/X</t>
    </r>
    <r>
      <rPr>
        <vertAlign val="subscript"/>
        <sz val="11"/>
        <rFont val="Calibri"/>
        <family val="2"/>
      </rPr>
      <t>CASTO</t>
    </r>
  </si>
  <si>
    <r>
      <t>-1/Y</t>
    </r>
    <r>
      <rPr>
        <vertAlign val="subscript"/>
        <sz val="11"/>
        <rFont val="Calibri"/>
        <family val="2"/>
      </rPr>
      <t>CASTO,SB,ana</t>
    </r>
  </si>
  <si>
    <r>
      <t>-(X</t>
    </r>
    <r>
      <rPr>
        <vertAlign val="subscript"/>
        <sz val="11"/>
        <rFont val="Calibri"/>
        <family val="2"/>
      </rPr>
      <t>PHA</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</si>
  <si>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GLY</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</si>
  <si>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</si>
  <si>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GLY</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</si>
  <si>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-1/Y</t>
    </r>
    <r>
      <rPr>
        <vertAlign val="subscript"/>
        <sz val="11"/>
        <rFont val="Calibri"/>
        <family val="2"/>
      </rPr>
      <t>CASTO,PHA,ox</t>
    </r>
  </si>
  <si>
    <r>
      <t>-1/Y</t>
    </r>
    <r>
      <rPr>
        <vertAlign val="subscript"/>
        <sz val="11"/>
        <rFont val="Calibri"/>
        <family val="2"/>
      </rPr>
      <t>CASTO,PHA,anox</t>
    </r>
  </si>
  <si>
    <r>
      <t>-X</t>
    </r>
    <r>
      <rPr>
        <vertAlign val="subscript"/>
        <sz val="11"/>
        <rFont val="Calibri"/>
        <family val="2"/>
      </rPr>
      <t>PHA</t>
    </r>
    <r>
      <rPr>
        <sz val="11"/>
        <rFont val="Calibri"/>
        <family val="2"/>
      </rPr>
      <t>/X</t>
    </r>
    <r>
      <rPr>
        <vertAlign val="subscript"/>
        <sz val="11"/>
        <rFont val="Calibri"/>
        <family val="2"/>
      </rPr>
      <t>STC</t>
    </r>
  </si>
  <si>
    <r>
      <t>-X</t>
    </r>
    <r>
      <rPr>
        <vertAlign val="subscript"/>
        <sz val="11"/>
        <rFont val="Calibri"/>
        <family val="2"/>
      </rPr>
      <t>GLY</t>
    </r>
    <r>
      <rPr>
        <sz val="11"/>
        <rFont val="Calibri"/>
        <family val="2"/>
      </rPr>
      <t>/X</t>
    </r>
    <r>
      <rPr>
        <vertAlign val="subscript"/>
        <sz val="11"/>
        <rFont val="Calibri"/>
        <family val="2"/>
      </rPr>
      <t>STC</t>
    </r>
  </si>
  <si>
    <r>
      <t>-X</t>
    </r>
    <r>
      <rPr>
        <vertAlign val="subscript"/>
        <sz val="11"/>
        <rFont val="Calibri"/>
        <family val="2"/>
      </rPr>
      <t>PHA</t>
    </r>
    <r>
      <rPr>
        <sz val="11"/>
        <rFont val="Calibri"/>
        <family val="2"/>
      </rPr>
      <t>/X</t>
    </r>
    <r>
      <rPr>
        <vertAlign val="subscript"/>
        <sz val="11"/>
        <rFont val="Calibri"/>
        <family val="2"/>
      </rPr>
      <t>CASTO</t>
    </r>
  </si>
  <si>
    <r>
      <t>-X</t>
    </r>
    <r>
      <rPr>
        <vertAlign val="subscript"/>
        <sz val="11"/>
        <rFont val="Calibri"/>
        <family val="2"/>
      </rPr>
      <t>GLY</t>
    </r>
    <r>
      <rPr>
        <sz val="11"/>
        <rFont val="Calibri"/>
        <family val="2"/>
      </rPr>
      <t>/X</t>
    </r>
    <r>
      <rPr>
        <vertAlign val="subscript"/>
        <sz val="11"/>
        <rFont val="Calibri"/>
        <family val="2"/>
      </rPr>
      <t>CASTO</t>
    </r>
  </si>
  <si>
    <r>
      <t>-Y</t>
    </r>
    <r>
      <rPr>
        <vertAlign val="subscript"/>
        <sz val="11"/>
        <rFont val="Calibri"/>
        <family val="2"/>
      </rPr>
      <t>PP,CASTO,ox</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</si>
  <si>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</si>
  <si>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</si>
  <si>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PP,CASTO,anox</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</si>
  <si>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</si>
  <si>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</si>
  <si>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</si>
  <si>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NO2,NO3</t>
    </r>
  </si>
  <si>
    <r>
      <t>-Y</t>
    </r>
    <r>
      <rPr>
        <vertAlign val="subscript"/>
        <sz val="11"/>
        <rFont val="Calibri"/>
        <family val="2"/>
      </rPr>
      <t>PP,CASTO,anox</t>
    </r>
    <r>
      <rPr>
        <sz val="11"/>
        <rFont val="Calibri"/>
        <family val="2"/>
      </rPr>
      <t>/EEQ</t>
    </r>
    <r>
      <rPr>
        <vertAlign val="subscript"/>
        <sz val="11"/>
        <rFont val="Calibri"/>
        <family val="2"/>
      </rPr>
      <t>NO2,NO3</t>
    </r>
  </si>
  <si>
    <r>
      <t>-(1-Y</t>
    </r>
    <r>
      <rPr>
        <vertAlign val="subscript"/>
        <sz val="11"/>
        <rFont val="Calibri"/>
        <family val="2"/>
      </rPr>
      <t>CASTO,PHA,anox</t>
    </r>
    <r>
      <rPr>
        <sz val="11"/>
        <rFont val="Calibri"/>
        <family val="2"/>
      </rPr>
      <t>)/(EEQ</t>
    </r>
    <r>
      <rPr>
        <vertAlign val="subscript"/>
        <sz val="11"/>
        <rFont val="Calibri"/>
        <family val="2"/>
      </rPr>
      <t>N2,NO2</t>
    </r>
    <r>
      <rPr>
        <sz val="11"/>
        <rFont val="Calibri"/>
        <family val="2"/>
      </rPr>
      <t>*Y</t>
    </r>
    <r>
      <rPr>
        <vertAlign val="subscript"/>
        <sz val="11"/>
        <rFont val="Calibri"/>
        <family val="2"/>
      </rPr>
      <t>CASTO,PHA,anox</t>
    </r>
    <r>
      <rPr>
        <sz val="11"/>
        <rFont val="Calibri"/>
        <family val="2"/>
      </rPr>
      <t>)</t>
    </r>
  </si>
  <si>
    <r>
      <t>(1-Y</t>
    </r>
    <r>
      <rPr>
        <vertAlign val="subscript"/>
        <sz val="11"/>
        <rFont val="Calibri"/>
        <family val="2"/>
      </rPr>
      <t>CASTO,PHA,anox</t>
    </r>
    <r>
      <rPr>
        <sz val="11"/>
        <rFont val="Calibri"/>
        <family val="2"/>
      </rPr>
      <t>)/(EEQ</t>
    </r>
    <r>
      <rPr>
        <vertAlign val="subscript"/>
        <sz val="11"/>
        <rFont val="Calibri"/>
        <family val="2"/>
      </rPr>
      <t>NO2,NO3</t>
    </r>
    <r>
      <rPr>
        <sz val="11"/>
        <rFont val="Calibri"/>
        <family val="2"/>
      </rPr>
      <t>*Y</t>
    </r>
    <r>
      <rPr>
        <vertAlign val="subscript"/>
        <sz val="11"/>
        <rFont val="Calibri"/>
        <family val="2"/>
      </rPr>
      <t>CASTO,PHA,anox</t>
    </r>
    <r>
      <rPr>
        <sz val="11"/>
        <rFont val="Calibri"/>
        <family val="2"/>
      </rPr>
      <t>)</t>
    </r>
  </si>
  <si>
    <r>
      <t>-(1-Y</t>
    </r>
    <r>
      <rPr>
        <vertAlign val="subscript"/>
        <sz val="11"/>
        <rFont val="Calibri"/>
        <family val="2"/>
      </rPr>
      <t>CASTO,PHA,anox</t>
    </r>
    <r>
      <rPr>
        <sz val="11"/>
        <rFont val="Calibri"/>
        <family val="2"/>
      </rPr>
      <t>)/(EEQ</t>
    </r>
    <r>
      <rPr>
        <vertAlign val="subscript"/>
        <sz val="11"/>
        <rFont val="Calibri"/>
        <family val="2"/>
      </rPr>
      <t>NO2,NO3</t>
    </r>
    <r>
      <rPr>
        <sz val="11"/>
        <rFont val="Calibri"/>
        <family val="2"/>
      </rPr>
      <t>*Y</t>
    </r>
    <r>
      <rPr>
        <vertAlign val="subscript"/>
        <sz val="11"/>
        <rFont val="Calibri"/>
        <family val="2"/>
      </rPr>
      <t>CASTO,PHA,anox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</si>
  <si>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</si>
  <si>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</si>
  <si>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(1-Y</t>
    </r>
    <r>
      <rPr>
        <vertAlign val="subscript"/>
        <sz val="11"/>
        <rFont val="Calibri"/>
        <family val="2"/>
      </rPr>
      <t>CASTO,PHA,anox</t>
    </r>
    <r>
      <rPr>
        <sz val="11"/>
        <rFont val="Calibri"/>
        <family val="2"/>
      </rPr>
      <t>)/(EEQ</t>
    </r>
    <r>
      <rPr>
        <vertAlign val="subscript"/>
        <sz val="11"/>
        <rFont val="Calibri"/>
        <family val="2"/>
      </rPr>
      <t>N2,NO2</t>
    </r>
    <r>
      <rPr>
        <sz val="11"/>
        <rFont val="Calibri"/>
        <family val="2"/>
      </rPr>
      <t>*Y</t>
    </r>
    <r>
      <rPr>
        <vertAlign val="subscript"/>
        <sz val="11"/>
        <rFont val="Calibri"/>
        <family val="2"/>
      </rPr>
      <t>CASTO,PHA,anox</t>
    </r>
    <r>
      <rPr>
        <sz val="11"/>
        <rFont val="Calibri"/>
        <family val="2"/>
      </rPr>
      <t>)</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</si>
  <si>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</si>
  <si>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</si>
  <si>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</si>
  <si>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</si>
  <si>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-(1-Y</t>
    </r>
    <r>
      <rPr>
        <vertAlign val="subscript"/>
        <sz val="11"/>
        <rFont val="Calibri"/>
        <family val="2"/>
      </rPr>
      <t>CASTO,STC,ox</t>
    </r>
    <r>
      <rPr>
        <sz val="11"/>
        <rFont val="Calibri"/>
        <family val="2"/>
      </rPr>
      <t>)/Y</t>
    </r>
    <r>
      <rPr>
        <vertAlign val="subscript"/>
        <sz val="11"/>
        <rFont val="Calibri"/>
        <family val="2"/>
      </rPr>
      <t>CASTO,STC,ox</t>
    </r>
  </si>
  <si>
    <r>
      <t>-(1-Y</t>
    </r>
    <r>
      <rPr>
        <vertAlign val="subscript"/>
        <sz val="11"/>
        <rFont val="Calibri"/>
        <family val="2"/>
      </rPr>
      <t>CASTO,PHA,ox</t>
    </r>
    <r>
      <rPr>
        <sz val="11"/>
        <rFont val="Calibri"/>
        <family val="2"/>
      </rPr>
      <t>)/Y</t>
    </r>
    <r>
      <rPr>
        <vertAlign val="subscript"/>
        <sz val="11"/>
        <rFont val="Calibri"/>
        <family val="2"/>
      </rPr>
      <t>CASTO,PHA,ox</t>
    </r>
  </si>
  <si>
    <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</si>
  <si>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</si>
  <si>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</si>
  <si>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</si>
  <si>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</si>
  <si>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</si>
  <si>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CIT,PHA</t>
    </r>
    <r>
      <rPr>
        <sz val="11"/>
        <rFont val="Calibri"/>
        <family val="2"/>
      </rPr>
      <t>/Y</t>
    </r>
    <r>
      <rPr>
        <vertAlign val="subscript"/>
        <sz val="11"/>
        <rFont val="Calibri"/>
        <family val="2"/>
      </rPr>
      <t>CASTO,PHA,ox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</si>
  <si>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/Y</t>
    </r>
    <r>
      <rPr>
        <vertAlign val="subscript"/>
        <sz val="11"/>
        <rFont val="Calibri"/>
        <family val="2"/>
      </rPr>
      <t>CASTO,PHA,anox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</si>
  <si>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</si>
  <si>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CIT,BIO</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</si>
  <si>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CIT,BIO</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</si>
  <si>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(1-f</t>
    </r>
    <r>
      <rPr>
        <vertAlign val="subscript"/>
        <sz val="11"/>
        <rFont val="Calibri"/>
        <family val="2"/>
      </rPr>
      <t>E</t>
    </r>
    <r>
      <rPr>
        <sz val="11"/>
        <rFont val="Calibri"/>
        <family val="2"/>
      </rPr>
      <t>)*(i</t>
    </r>
    <r>
      <rPr>
        <vertAlign val="subscript"/>
        <sz val="11"/>
        <rFont val="Calibri"/>
        <family val="2"/>
      </rPr>
      <t>CIT,BIO</t>
    </r>
    <r>
      <rPr>
        <sz val="11"/>
        <rFont val="Calibri"/>
        <family val="2"/>
      </rPr>
      <t>-i</t>
    </r>
    <r>
      <rPr>
        <vertAlign val="subscript"/>
        <sz val="11"/>
        <rFont val="Calibri"/>
        <family val="2"/>
      </rPr>
      <t>CIT,SB</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</si>
  <si>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-i</t>
    </r>
    <r>
      <rPr>
        <vertAlign val="subscript"/>
        <sz val="11"/>
        <rFont val="Calibri"/>
        <family val="2"/>
      </rPr>
      <t>INORG</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</si>
  <si>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</si>
  <si>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</si>
  <si>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</si>
  <si>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</si>
  <si>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</si>
  <si>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</si>
  <si>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</si>
  <si>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</si>
  <si>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</si>
  <si>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</si>
  <si>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</si>
  <si>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</si>
  <si>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</si>
  <si>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</si>
  <si>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</si>
  <si>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</si>
  <si>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q</t>
    </r>
    <r>
      <rPr>
        <vertAlign val="subscript"/>
        <sz val="11"/>
        <rFont val="Calibri"/>
        <family val="2"/>
      </rPr>
      <t>GAO,GLY,T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XGLY,XGAO,max</t>
    </r>
    <r>
      <rPr>
        <sz val="11"/>
        <rFont val="Calibri"/>
        <family val="2"/>
      </rPr>
      <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</si>
  <si>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</si>
  <si>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</si>
  <si>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bGLY,ana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XGLY,XGAO,KGLY</t>
    </r>
    <r>
      <rPr>
        <sz val="11"/>
        <rFont val="Calibri"/>
        <family val="2"/>
        <charset val="238"/>
      </rPr>
      <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</si>
  <si>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</si>
  <si>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charset val="238"/>
      </rPr>
      <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</si>
  <si>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XGLY,XGAO,KGLY</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</si>
  <si>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</si>
  <si>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</si>
  <si>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</si>
  <si>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</si>
  <si>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</si>
  <si>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t>r34</t>
  </si>
  <si>
    <t>r35</t>
  </si>
  <si>
    <t>r36</t>
  </si>
  <si>
    <t>r38</t>
  </si>
  <si>
    <t>r39</t>
  </si>
  <si>
    <t>r40</t>
  </si>
  <si>
    <t>r42</t>
  </si>
  <si>
    <t>r43</t>
  </si>
  <si>
    <r>
      <t>T</t>
    </r>
    <r>
      <rPr>
        <vertAlign val="subscript"/>
        <sz val="11"/>
        <rFont val="Calibri"/>
        <family val="2"/>
        <charset val="238"/>
      </rPr>
      <t>IN</t>
    </r>
  </si>
  <si>
    <t>Total inorganic nitrogen</t>
  </si>
  <si>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</si>
  <si>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</si>
  <si>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rPr>
      <t>NO2</t>
    </r>
    <r>
      <rPr>
        <sz val="11"/>
        <rFont val="Calibri"/>
        <family val="2"/>
      </rPr>
      <t xml:space="preserve"> + S</t>
    </r>
    <r>
      <rPr>
        <vertAlign val="subscript"/>
        <sz val="11"/>
        <rFont val="Calibri"/>
        <family val="2"/>
      </rPr>
      <t>NO3</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</si>
  <si>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</si>
  <si>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</si>
  <si>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</si>
  <si>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q</t>
    </r>
    <r>
      <rPr>
        <vertAlign val="subscript"/>
        <sz val="11"/>
        <rFont val="Calibri"/>
        <family val="2"/>
        <charset val="238"/>
        <scheme val="minor"/>
      </rPr>
      <t>PAO,PHA</t>
    </r>
  </si>
  <si>
    <r>
      <t>q</t>
    </r>
    <r>
      <rPr>
        <vertAlign val="subscript"/>
        <sz val="11"/>
        <rFont val="Calibri"/>
        <family val="2"/>
        <charset val="238"/>
        <scheme val="minor"/>
      </rPr>
      <t>GAO,GLY</t>
    </r>
  </si>
  <si>
    <t>Enhanced biological phosphorus removal</t>
  </si>
  <si>
    <r>
      <t>y</t>
    </r>
    <r>
      <rPr>
        <vertAlign val="subscript"/>
        <sz val="11"/>
        <rFont val="Calibri"/>
        <family val="2"/>
        <charset val="238"/>
        <scheme val="minor"/>
      </rPr>
      <t>ORP,GAO,Half,T</t>
    </r>
  </si>
  <si>
    <t>Intercept of logistic half-saturation of ORP switching of GAOs temperature correction</t>
  </si>
  <si>
    <r>
      <t>sl</t>
    </r>
    <r>
      <rPr>
        <vertAlign val="subscript"/>
        <sz val="11"/>
        <rFont val="Calibri"/>
        <family val="2"/>
      </rPr>
      <t>ORP,GAO,Half,T</t>
    </r>
    <r>
      <rPr>
        <sz val="11"/>
        <rFont val="Calibri"/>
        <family val="2"/>
      </rPr>
      <t xml:space="preserve"> * T + y</t>
    </r>
    <r>
      <rPr>
        <vertAlign val="subscript"/>
        <sz val="11"/>
        <rFont val="Calibri"/>
        <family val="2"/>
      </rPr>
      <t>ORP,GAO,Half,T</t>
    </r>
  </si>
  <si>
    <r>
      <t>S</t>
    </r>
    <r>
      <rPr>
        <vertAlign val="subscript"/>
        <sz val="11"/>
        <rFont val="Calibri"/>
        <family val="2"/>
      </rPr>
      <t>B</t>
    </r>
    <r>
      <rPr>
        <sz val="11"/>
        <rFont val="Calibri"/>
        <family val="2"/>
      </rPr>
      <t xml:space="preserve"> + S</t>
    </r>
    <r>
      <rPr>
        <vertAlign val="subscript"/>
        <sz val="11"/>
        <rFont val="Calibri"/>
        <family val="2"/>
      </rPr>
      <t>VFA</t>
    </r>
    <r>
      <rPr>
        <sz val="11"/>
        <rFont val="Calibri"/>
        <family val="2"/>
        <charset val="238"/>
      </rPr>
      <t xml:space="preserve"> </t>
    </r>
    <r>
      <rPr>
        <sz val="11"/>
        <rFont val="Calibri"/>
        <family val="2"/>
      </rPr>
      <t>+ S</t>
    </r>
    <r>
      <rPr>
        <vertAlign val="subscript"/>
        <sz val="11"/>
        <rFont val="Calibri"/>
        <family val="2"/>
      </rPr>
      <t>MEOL</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</si>
  <si>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charset val="238"/>
        <scheme val="minor"/>
      </rPr>
      <t>+</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</si>
  <si>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r>
      <t>PUR</t>
    </r>
    <r>
      <rPr>
        <vertAlign val="subscript"/>
        <sz val="11"/>
        <rFont val="Calibri"/>
        <family val="2"/>
        <scheme val="minor"/>
      </rPr>
      <t>BIO</t>
    </r>
    <r>
      <rPr>
        <sz val="11"/>
        <rFont val="Calibri"/>
        <family val="2"/>
        <scheme val="minor"/>
      </rPr>
      <t xml:space="preserve"> + PUR</t>
    </r>
    <r>
      <rPr>
        <vertAlign val="subscript"/>
        <sz val="11"/>
        <rFont val="Calibri"/>
        <family val="2"/>
        <scheme val="minor"/>
      </rPr>
      <t>CHEM</t>
    </r>
  </si>
  <si>
    <t>Use "Sumo2" for activated sludge modeling, iron addition for P removal and for plants that have digesters but no iron addition</t>
  </si>
  <si>
    <t>Phosphorus uptake rate of PAO (PURBIOP)</t>
  </si>
  <si>
    <r>
      <t>PUR</t>
    </r>
    <r>
      <rPr>
        <vertAlign val="subscript"/>
        <sz val="11"/>
        <rFont val="Calibri"/>
        <family val="2"/>
        <scheme val="minor"/>
      </rPr>
      <t>BIOP</t>
    </r>
  </si>
  <si>
    <r>
      <rPr>
        <sz val="11"/>
        <rFont val="Calibri"/>
        <family val="2"/>
        <scheme val="minor"/>
      </rPr>
      <t>-(v19_S</t>
    </r>
    <r>
      <rPr>
        <vertAlign val="subscript"/>
        <sz val="11"/>
        <rFont val="Calibri"/>
        <family val="2"/>
        <scheme val="minor"/>
      </rPr>
      <t>PO4</t>
    </r>
    <r>
      <rPr>
        <sz val="11"/>
        <rFont val="Calibri"/>
        <family val="2"/>
        <scheme val="minor"/>
      </rPr>
      <t xml:space="preserve"> * r19 + v20_S</t>
    </r>
    <r>
      <rPr>
        <vertAlign val="subscript"/>
        <sz val="11"/>
        <rFont val="Calibri"/>
        <family val="2"/>
        <scheme val="minor"/>
      </rPr>
      <t>PO4</t>
    </r>
    <r>
      <rPr>
        <sz val="11"/>
        <rFont val="Calibri"/>
        <family val="2"/>
        <scheme val="minor"/>
      </rPr>
      <t xml:space="preserve"> * r20 + v21_S</t>
    </r>
    <r>
      <rPr>
        <vertAlign val="subscript"/>
        <sz val="11"/>
        <rFont val="Calibri"/>
        <family val="2"/>
        <scheme val="minor"/>
      </rPr>
      <t>PO4</t>
    </r>
    <r>
      <rPr>
        <sz val="11"/>
        <rFont val="Calibri"/>
        <family val="2"/>
        <scheme val="minor"/>
      </rPr>
      <t xml:space="preserve"> * r21)</t>
    </r>
  </si>
  <si>
    <r>
      <t>-(v1_S</t>
    </r>
    <r>
      <rPr>
        <vertAlign val="subscript"/>
        <sz val="11"/>
        <rFont val="Calibri"/>
        <family val="2"/>
        <scheme val="minor"/>
      </rPr>
      <t>O2</t>
    </r>
    <r>
      <rPr>
        <sz val="11"/>
        <rFont val="Calibri"/>
        <family val="2"/>
        <scheme val="minor"/>
      </rPr>
      <t xml:space="preserve"> * r1 + v4_S</t>
    </r>
    <r>
      <rPr>
        <vertAlign val="subscript"/>
        <sz val="11"/>
        <rFont val="Calibri"/>
        <family val="2"/>
        <scheme val="minor"/>
      </rPr>
      <t>O2</t>
    </r>
    <r>
      <rPr>
        <sz val="11"/>
        <rFont val="Calibri"/>
        <family val="2"/>
        <scheme val="minor"/>
      </rPr>
      <t xml:space="preserve"> * r4 + v9_S</t>
    </r>
    <r>
      <rPr>
        <vertAlign val="subscript"/>
        <sz val="11"/>
        <rFont val="Calibri"/>
        <family val="2"/>
        <scheme val="minor"/>
      </rPr>
      <t>O2</t>
    </r>
    <r>
      <rPr>
        <sz val="11"/>
        <rFont val="Calibri"/>
        <family val="2"/>
        <scheme val="minor"/>
      </rPr>
      <t xml:space="preserve"> * r9 + v16_S</t>
    </r>
    <r>
      <rPr>
        <vertAlign val="subscript"/>
        <sz val="11"/>
        <rFont val="Calibri"/>
        <family val="2"/>
        <scheme val="minor"/>
      </rPr>
      <t>O2</t>
    </r>
    <r>
      <rPr>
        <sz val="11"/>
        <rFont val="Calibri"/>
        <family val="2"/>
        <scheme val="minor"/>
      </rPr>
      <t xml:space="preserve"> * r16 + v19_S</t>
    </r>
    <r>
      <rPr>
        <vertAlign val="subscript"/>
        <sz val="11"/>
        <rFont val="Calibri"/>
        <family val="2"/>
        <scheme val="minor"/>
      </rPr>
      <t>O2</t>
    </r>
    <r>
      <rPr>
        <sz val="11"/>
        <rFont val="Calibri"/>
        <family val="2"/>
        <scheme val="minor"/>
      </rPr>
      <t xml:space="preserve"> * r19 + v22_S</t>
    </r>
    <r>
      <rPr>
        <vertAlign val="subscript"/>
        <sz val="11"/>
        <rFont val="Calibri"/>
        <family val="2"/>
        <scheme val="minor"/>
      </rPr>
      <t>O2</t>
    </r>
    <r>
      <rPr>
        <sz val="11"/>
        <rFont val="Calibri"/>
        <family val="2"/>
        <scheme val="minor"/>
      </rPr>
      <t xml:space="preserve"> * r22 + v27_S</t>
    </r>
    <r>
      <rPr>
        <vertAlign val="subscript"/>
        <sz val="11"/>
        <rFont val="Calibri"/>
        <family val="2"/>
        <scheme val="minor"/>
      </rPr>
      <t>O2</t>
    </r>
    <r>
      <rPr>
        <sz val="11"/>
        <rFont val="Calibri"/>
        <family val="2"/>
        <scheme val="minor"/>
      </rPr>
      <t xml:space="preserve"> * r27)</t>
    </r>
  </si>
  <si>
    <t>Total organic Kjeldahl nitrogen</t>
  </si>
  <si>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</si>
  <si>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T</t>
    </r>
    <r>
      <rPr>
        <vertAlign val="subscript"/>
        <sz val="11"/>
        <rFont val="Calibri"/>
        <family val="2"/>
        <charset val="238"/>
        <scheme val="minor"/>
      </rPr>
      <t>KN,B</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</si>
  <si>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</si>
  <si>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</si>
  <si>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</si>
  <si>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</si>
  <si>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t>Two-step whole-plant model</t>
  </si>
  <si>
    <t>PHA and GLY stored in CASTO</t>
  </si>
  <si>
    <r>
      <t>Logsat</t>
    </r>
    <r>
      <rPr>
        <vertAlign val="subscript"/>
        <sz val="11"/>
        <rFont val="Calibri"/>
        <family val="2"/>
        <scheme val="minor"/>
      </rPr>
      <t>XPP,KPO4,PAO</t>
    </r>
  </si>
  <si>
    <t>Logistic saturation term for PP in PP cleavage (PAO)</t>
  </si>
  <si>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charset val="238"/>
      </rPr>
      <t>bPP,anox</t>
    </r>
    <r>
      <rPr>
        <sz val="11"/>
        <rFont val="Calibri"/>
        <family val="2"/>
      </rPr>
      <t xml:space="preserve"> * Minh</t>
    </r>
    <r>
      <rPr>
        <vertAlign val="subscript"/>
        <sz val="11"/>
        <rFont val="Calibri"/>
        <family val="2"/>
        <charset val="238"/>
      </rPr>
      <t>SO2,KO2,CASTO</t>
    </r>
    <r>
      <rPr>
        <sz val="11"/>
        <rFont val="Calibri"/>
        <family val="2"/>
      </rPr>
      <t xml:space="preserve"> * Msat</t>
    </r>
    <r>
      <rPr>
        <vertAlign val="subscript"/>
        <sz val="11"/>
        <rFont val="Calibri"/>
        <family val="2"/>
        <charset val="238"/>
      </rPr>
      <t>SNO3,KNO3,CASTO</t>
    </r>
    <r>
      <rPr>
        <sz val="11"/>
        <rFont val="Calibri"/>
        <family val="2"/>
      </rPr>
      <t xml:space="preserve"> * Minh</t>
    </r>
    <r>
      <rPr>
        <vertAlign val="subscript"/>
        <sz val="11"/>
        <rFont val="Calibri"/>
        <family val="2"/>
        <charset val="238"/>
      </rPr>
      <t>SNO2,KNO2,CASTO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t>
    </r>
  </si>
  <si>
    <r>
      <t>X</t>
    </r>
    <r>
      <rPr>
        <vertAlign val="subscript"/>
        <sz val="11"/>
        <rFont val="Calibri"/>
        <family val="2"/>
        <charset val="238"/>
        <scheme val="minor"/>
      </rPr>
      <t>PP,PAO,min</t>
    </r>
  </si>
  <si>
    <t>PAO PP uptake booster denominator limiting term</t>
  </si>
  <si>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</si>
  <si>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</si>
  <si>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SNO3,KNO3,CASTO </t>
    </r>
    <r>
      <rPr>
        <sz val="11"/>
        <rFont val="Calibri"/>
        <family val="2"/>
      </rPr>
      <t>* Minh</t>
    </r>
    <r>
      <rPr>
        <vertAlign val="subscript"/>
        <sz val="11"/>
        <rFont val="Calibri"/>
        <family val="2"/>
      </rPr>
      <t>SO2,KO2,CASTO</t>
    </r>
    <r>
      <rPr>
        <sz val="11"/>
        <rFont val="Calibri"/>
        <family val="2"/>
        <charset val="238"/>
      </rPr>
      <t xml:space="preserve"> * Minh</t>
    </r>
    <r>
      <rPr>
        <vertAlign val="subscript"/>
        <sz val="11"/>
        <rFont val="Calibri"/>
        <family val="2"/>
      </rPr>
      <t xml:space="preserve">SNO2,KNO2,CASTO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</si>
  <si>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t>PAO (Phosphate accumulating organisms) fraction of CASTO</t>
  </si>
  <si>
    <t>GAO (Glycogen accumulating organisms) fraction of CASTO</t>
  </si>
  <si>
    <t>SV group</t>
  </si>
  <si>
    <t>Biomass</t>
  </si>
  <si>
    <t>O2</t>
  </si>
  <si>
    <t>TIC</t>
  </si>
  <si>
    <t>TSS</t>
  </si>
  <si>
    <t>MJ</t>
  </si>
  <si>
    <t>ALPHA</t>
  </si>
  <si>
    <t>h</t>
  </si>
  <si>
    <t>IS input</t>
  </si>
  <si>
    <t>Non-pHSet; IS</t>
  </si>
  <si>
    <t>IS calculation</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</si>
  <si>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</si>
  <si>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</si>
  <si>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</si>
  <si>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</si>
  <si>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</si>
  <si>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</si>
  <si>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</si>
  <si>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</si>
  <si>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</si>
  <si>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</si>
  <si>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</si>
  <si>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t>Ionic strength input for digesters</t>
  </si>
  <si>
    <r>
      <t>IS</t>
    </r>
    <r>
      <rPr>
        <vertAlign val="subscript"/>
        <sz val="11"/>
        <color theme="1"/>
        <rFont val="Calibri"/>
        <family val="2"/>
        <scheme val="minor"/>
      </rPr>
      <t>input,sidestream</t>
    </r>
  </si>
  <si>
    <t>Ionic strength input for sidestream</t>
  </si>
  <si>
    <t>Ionic strength input for activated sludge</t>
  </si>
  <si>
    <t>Half-saturation of readily biodegradable substrate in fermentation by OHOs in digester</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</si>
  <si>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</si>
  <si>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</si>
  <si>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</si>
  <si>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</si>
  <si>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</si>
  <si>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</si>
  <si>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</si>
  <si>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</si>
  <si>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</si>
  <si>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</si>
  <si>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</si>
  <si>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</si>
  <si>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</si>
  <si>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</si>
  <si>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</si>
  <si>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</si>
  <si>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</si>
  <si>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</si>
  <si>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</si>
  <si>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</si>
  <si>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</si>
  <si>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</si>
  <si>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</si>
  <si>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</si>
  <si>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</si>
  <si>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</si>
  <si>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GLY,GAO,inh</t>
    </r>
  </si>
  <si>
    <t>Effective range of logistic switch for GLY/GAO inhibition term</t>
  </si>
  <si>
    <r>
      <t>Logrange</t>
    </r>
    <r>
      <rPr>
        <vertAlign val="subscript"/>
        <sz val="11"/>
        <rFont val="Calibri"/>
        <family val="2"/>
        <charset val="238"/>
        <scheme val="minor"/>
      </rPr>
      <t>CO2,AOB,AS</t>
    </r>
  </si>
  <si>
    <r>
      <t>Logrange</t>
    </r>
    <r>
      <rPr>
        <vertAlign val="subscript"/>
        <sz val="11"/>
        <rFont val="Calibri"/>
        <family val="2"/>
        <charset val="238"/>
        <scheme val="minor"/>
      </rPr>
      <t>CO2,AOB,sidestream</t>
    </r>
  </si>
  <si>
    <r>
      <t>Effective range of CO</t>
    </r>
    <r>
      <rPr>
        <vertAlign val="subscript"/>
        <sz val="11"/>
        <rFont val="Calibri"/>
        <family val="2"/>
        <charset val="238"/>
        <scheme val="minor"/>
      </rPr>
      <t>2</t>
    </r>
    <r>
      <rPr>
        <sz val="11"/>
        <rFont val="Calibri"/>
        <family val="2"/>
        <scheme val="minor"/>
      </rPr>
      <t xml:space="preserve"> logistic switch for AOBs (AS)</t>
    </r>
  </si>
  <si>
    <r>
      <t>Effective range of CO</t>
    </r>
    <r>
      <rPr>
        <vertAlign val="subscript"/>
        <sz val="11"/>
        <rFont val="Calibri"/>
        <family val="2"/>
        <charset val="238"/>
        <scheme val="minor"/>
      </rPr>
      <t>2</t>
    </r>
    <r>
      <rPr>
        <sz val="11"/>
        <rFont val="Calibri"/>
        <family val="2"/>
        <scheme val="minor"/>
      </rPr>
      <t xml:space="preserve"> logistic switch for AOBs (Sidestream)</t>
    </r>
  </si>
  <si>
    <r>
      <t>Logrange</t>
    </r>
    <r>
      <rPr>
        <vertAlign val="subscript"/>
        <sz val="11"/>
        <rFont val="Calibri"/>
        <family val="2"/>
        <charset val="238"/>
        <scheme val="minor"/>
      </rPr>
      <t>CO2,AOB,pH,AS</t>
    </r>
  </si>
  <si>
    <r>
      <t>Logrange</t>
    </r>
    <r>
      <rPr>
        <vertAlign val="subscript"/>
        <sz val="11"/>
        <rFont val="Calibri"/>
        <family val="2"/>
        <charset val="238"/>
        <scheme val="minor"/>
      </rPr>
      <t>CO2,AOB,pH,sidestream</t>
    </r>
  </si>
  <si>
    <t>Effective range of bicarbonate logistic switch for AOBs (Sidestream)</t>
  </si>
  <si>
    <t>Effective range of bicarbonate logistic switch for AOBs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</si>
  <si>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</si>
  <si>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</si>
  <si>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</si>
  <si>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</si>
  <si>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t>Slope calculations for logistic saturation/inhibition functions</t>
  </si>
  <si>
    <r>
      <t>Logistic slope of CO</t>
    </r>
    <r>
      <rPr>
        <vertAlign val="subscript"/>
        <sz val="11"/>
        <color rgb="FF000000"/>
        <rFont val="Calibri"/>
        <family val="2"/>
        <scheme val="minor"/>
      </rPr>
      <t>2</t>
    </r>
    <r>
      <rPr>
        <sz val="11"/>
        <color rgb="FF000000"/>
        <rFont val="Calibri"/>
        <family val="2"/>
        <charset val="238"/>
        <scheme val="minor"/>
      </rPr>
      <t xml:space="preserve"> for AOBs in AS</t>
    </r>
  </si>
  <si>
    <r>
      <t>Logistic slope of CO</t>
    </r>
    <r>
      <rPr>
        <vertAlign val="subscript"/>
        <sz val="11"/>
        <color rgb="FF000000"/>
        <rFont val="Calibri"/>
        <family val="2"/>
        <scheme val="minor"/>
      </rPr>
      <t>2</t>
    </r>
    <r>
      <rPr>
        <sz val="11"/>
        <color rgb="FF000000"/>
        <rFont val="Calibri"/>
        <family val="2"/>
        <charset val="238"/>
        <scheme val="minor"/>
      </rPr>
      <t xml:space="preserve"> for AOBs in sidestream</t>
    </r>
  </si>
  <si>
    <r>
      <t>Logistic slope of bicarbonate</t>
    </r>
    <r>
      <rPr>
        <sz val="11"/>
        <color rgb="FF000000"/>
        <rFont val="Calibri"/>
        <family val="2"/>
        <charset val="238"/>
        <scheme val="minor"/>
      </rPr>
      <t xml:space="preserve"> for AOBs in AS</t>
    </r>
  </si>
  <si>
    <r>
      <t>Logistic slope of bicarbonate</t>
    </r>
    <r>
      <rPr>
        <sz val="11"/>
        <color rgb="FF000000"/>
        <rFont val="Calibri"/>
        <family val="2"/>
        <charset val="238"/>
        <scheme val="minor"/>
      </rPr>
      <t xml:space="preserve"> for AOBs in sidestream</t>
    </r>
  </si>
  <si>
    <r>
      <t>Logslope</t>
    </r>
    <r>
      <rPr>
        <vertAlign val="subscript"/>
        <sz val="11"/>
        <rFont val="Calibri"/>
        <family val="2"/>
        <scheme val="minor"/>
      </rPr>
      <t>CO2,AOB</t>
    </r>
  </si>
  <si>
    <r>
      <t>Logslope</t>
    </r>
    <r>
      <rPr>
        <vertAlign val="subscript"/>
        <sz val="11"/>
        <rFont val="Calibri"/>
        <family val="2"/>
        <scheme val="minor"/>
      </rPr>
      <t>CO2,AOB,pH</t>
    </r>
  </si>
  <si>
    <r>
      <t>Logslope</t>
    </r>
    <r>
      <rPr>
        <vertAlign val="subscript"/>
        <sz val="11"/>
        <rFont val="Calibri"/>
        <family val="2"/>
        <charset val="238"/>
        <scheme val="minor"/>
      </rPr>
      <t>VFA,FERM</t>
    </r>
  </si>
  <si>
    <t>Logistic slope of VFA fermentation switch for OHOs in AS</t>
  </si>
  <si>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</si>
  <si>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</si>
  <si>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</si>
  <si>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</si>
  <si>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</si>
  <si>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</si>
  <si>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</si>
  <si>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</si>
  <si>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</si>
  <si>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</si>
  <si>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</si>
  <si>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GLY,GAO,inh</t>
    </r>
  </si>
  <si>
    <t>Logistic slope of inhibition term for GLY/GAO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</si>
  <si>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</si>
  <si>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</si>
  <si>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</si>
  <si>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</si>
  <si>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</si>
  <si>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CO2,AOB</t>
    </r>
    <r>
      <rPr>
        <sz val="11"/>
        <rFont val="Calibri"/>
        <family val="2"/>
        <scheme val="minor"/>
      </rPr>
      <t>; Logslope</t>
    </r>
    <r>
      <rPr>
        <vertAlign val="subscript"/>
        <sz val="11"/>
        <rFont val="Calibri"/>
        <family val="2"/>
        <charset val="238"/>
        <scheme val="minor"/>
      </rPr>
      <t>CO2,AOB</t>
    </r>
    <r>
      <rPr>
        <sz val="11"/>
        <rFont val="Calibri"/>
        <family val="2"/>
        <scheme val="minor"/>
      </rPr>
      <t>)</t>
    </r>
  </si>
  <si>
    <t>var / (var + halfval * Exp((halfval - var) * slope))</t>
  </si>
  <si>
    <t>1 - var / (var + halfval * Exp((halfval - var) * slope))</t>
  </si>
  <si>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</si>
  <si>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</si>
  <si>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</si>
  <si>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</si>
  <si>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PHA</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</si>
  <si>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</si>
  <si>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Loginh(X</t>
    </r>
    <r>
      <rPr>
        <vertAlign val="subscript"/>
        <sz val="11"/>
        <rFont val="Calibri"/>
        <family val="2"/>
        <charset val="238"/>
        <scheme val="minor"/>
      </rPr>
      <t>GLY</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GLY,GAO,max</t>
    </r>
    <r>
      <rPr>
        <sz val="11"/>
        <rFont val="Calibri"/>
        <family val="2"/>
        <scheme val="minor"/>
      </rPr>
      <t>; Logslope</t>
    </r>
    <r>
      <rPr>
        <vertAlign val="subscript"/>
        <sz val="11"/>
        <rFont val="Calibri"/>
        <family val="2"/>
        <charset val="238"/>
        <scheme val="minor"/>
      </rPr>
      <t>GLY,GAO,inh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</si>
  <si>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</si>
  <si>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</si>
  <si>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r>
      <t>g COD.g P</t>
    </r>
    <r>
      <rPr>
        <vertAlign val="superscript"/>
        <sz val="11"/>
        <rFont val="Calibri"/>
        <family val="2"/>
        <scheme val="minor"/>
      </rPr>
      <t>-1</t>
    </r>
  </si>
  <si>
    <r>
      <t>m</t>
    </r>
    <r>
      <rPr>
        <vertAlign val="superscript"/>
        <sz val="11"/>
        <rFont val="Calibri"/>
        <family val="2"/>
        <charset val="238"/>
        <scheme val="minor"/>
      </rPr>
      <t>3</t>
    </r>
    <r>
      <rPr>
        <sz val="11"/>
        <rFont val="Calibri"/>
        <family val="2"/>
        <scheme val="minor"/>
      </rPr>
      <t>.g TIC</t>
    </r>
    <r>
      <rPr>
        <vertAlign val="superscript"/>
        <sz val="11"/>
        <rFont val="Calibri"/>
        <family val="2"/>
        <scheme val="minor"/>
      </rPr>
      <t>-1</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</si>
  <si>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</si>
  <si>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</si>
  <si>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</si>
  <si>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Logslope</t>
    </r>
    <r>
      <rPr>
        <vertAlign val="subscript"/>
        <sz val="11"/>
        <rFont val="Calibri"/>
        <family val="2"/>
        <scheme val="minor"/>
      </rPr>
      <t>CO2,AMX</t>
    </r>
  </si>
  <si>
    <r>
      <t>Logistic slope of CO</t>
    </r>
    <r>
      <rPr>
        <vertAlign val="subscript"/>
        <sz val="11"/>
        <color rgb="FF000000"/>
        <rFont val="Calibri"/>
        <family val="2"/>
        <scheme val="minor"/>
      </rPr>
      <t>2</t>
    </r>
    <r>
      <rPr>
        <sz val="11"/>
        <color rgb="FF000000"/>
        <rFont val="Calibri"/>
        <family val="2"/>
        <charset val="238"/>
        <scheme val="minor"/>
      </rPr>
      <t xml:space="preserve"> for AMX in AS</t>
    </r>
  </si>
  <si>
    <r>
      <t>m</t>
    </r>
    <r>
      <rPr>
        <vertAlign val="superscript"/>
        <sz val="11"/>
        <rFont val="Calibri"/>
        <family val="2"/>
        <charset val="238"/>
        <scheme val="minor"/>
      </rPr>
      <t>3</t>
    </r>
    <r>
      <rPr>
        <sz val="11"/>
        <rFont val="Calibri"/>
        <family val="2"/>
        <scheme val="minor"/>
      </rPr>
      <t>.g CO</t>
    </r>
    <r>
      <rPr>
        <vertAlign val="subscript"/>
        <sz val="11"/>
        <rFont val="Calibri"/>
        <family val="2"/>
        <scheme val="minor"/>
      </rPr>
      <t>2</t>
    </r>
    <r>
      <rPr>
        <vertAlign val="superscript"/>
        <sz val="11"/>
        <rFont val="Calibri"/>
        <family val="2"/>
        <scheme val="minor"/>
      </rPr>
      <t>-1</t>
    </r>
  </si>
  <si>
    <r>
      <t>Logrange</t>
    </r>
    <r>
      <rPr>
        <vertAlign val="subscript"/>
        <sz val="11"/>
        <color indexed="8"/>
        <rFont val="Calibri"/>
        <family val="2"/>
        <charset val="238"/>
        <scheme val="minor"/>
      </rPr>
      <t>CO2,AMX,AS</t>
    </r>
  </si>
  <si>
    <r>
      <t>Effective range of CO</t>
    </r>
    <r>
      <rPr>
        <vertAlign val="subscript"/>
        <sz val="11"/>
        <color indexed="8"/>
        <rFont val="Calibri"/>
        <family val="2"/>
        <charset val="238"/>
        <scheme val="minor"/>
      </rPr>
      <t>2</t>
    </r>
    <r>
      <rPr>
        <sz val="11"/>
        <color indexed="8"/>
        <rFont val="Calibri"/>
        <family val="2"/>
        <scheme val="minor"/>
      </rPr>
      <t xml:space="preserve"> logistic switch for AMX (AS)</t>
    </r>
  </si>
  <si>
    <r>
      <t>Logrange</t>
    </r>
    <r>
      <rPr>
        <vertAlign val="subscript"/>
        <sz val="11"/>
        <rFont val="Calibri"/>
        <family val="2"/>
        <charset val="238"/>
        <scheme val="minor"/>
      </rPr>
      <t>CO2,AMX,pH,AS</t>
    </r>
  </si>
  <si>
    <t>Effective range of bicarbonate logistic switch for AMX (AS)</t>
  </si>
  <si>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</si>
  <si>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CO2,AMX</t>
    </r>
    <r>
      <rPr>
        <sz val="11"/>
        <rFont val="Calibri"/>
        <family val="2"/>
        <scheme val="minor"/>
      </rPr>
      <t>; Logslope</t>
    </r>
    <r>
      <rPr>
        <vertAlign val="subscript"/>
        <sz val="11"/>
        <rFont val="Calibri"/>
        <family val="2"/>
        <charset val="238"/>
        <scheme val="minor"/>
      </rPr>
      <t>CO2,AMX</t>
    </r>
    <r>
      <rPr>
        <sz val="11"/>
        <rFont val="Calibri"/>
        <family val="2"/>
        <scheme val="minor"/>
      </rPr>
      <t>)</t>
    </r>
  </si>
  <si>
    <r>
      <t>Logslope</t>
    </r>
    <r>
      <rPr>
        <vertAlign val="subscript"/>
        <sz val="11"/>
        <rFont val="Calibri"/>
        <family val="2"/>
        <scheme val="minor"/>
      </rPr>
      <t>CO2,AMX,pH</t>
    </r>
  </si>
  <si>
    <r>
      <t>Logrange</t>
    </r>
    <r>
      <rPr>
        <vertAlign val="subscript"/>
        <sz val="11"/>
        <color indexed="8"/>
        <rFont val="Calibri"/>
        <family val="2"/>
        <charset val="238"/>
        <scheme val="minor"/>
      </rPr>
      <t>CO2,NOB,AS</t>
    </r>
  </si>
  <si>
    <r>
      <t>Effective range of CO</t>
    </r>
    <r>
      <rPr>
        <vertAlign val="subscript"/>
        <sz val="11"/>
        <color indexed="8"/>
        <rFont val="Calibri"/>
        <family val="2"/>
        <charset val="238"/>
        <scheme val="minor"/>
      </rPr>
      <t>2</t>
    </r>
    <r>
      <rPr>
        <sz val="11"/>
        <color indexed="8"/>
        <rFont val="Calibri"/>
        <family val="2"/>
        <scheme val="minor"/>
      </rPr>
      <t xml:space="preserve"> logistic switch for NOBs (AS)</t>
    </r>
  </si>
  <si>
    <r>
      <t>Logrange</t>
    </r>
    <r>
      <rPr>
        <vertAlign val="subscript"/>
        <sz val="11"/>
        <color indexed="8"/>
        <rFont val="Calibri"/>
        <family val="2"/>
        <charset val="238"/>
        <scheme val="minor"/>
      </rPr>
      <t>CO2,NOB,pH,AS</t>
    </r>
  </si>
  <si>
    <t>Effective range of bicarbonate logistic switch for NOBs (AS)</t>
  </si>
  <si>
    <r>
      <t>Logslope</t>
    </r>
    <r>
      <rPr>
        <vertAlign val="subscript"/>
        <sz val="11"/>
        <rFont val="Calibri"/>
        <family val="2"/>
        <charset val="238"/>
        <scheme val="minor"/>
      </rPr>
      <t>CO2,NOB</t>
    </r>
  </si>
  <si>
    <r>
      <t>Logslope</t>
    </r>
    <r>
      <rPr>
        <vertAlign val="subscript"/>
        <sz val="11"/>
        <rFont val="Calibri"/>
        <family val="2"/>
        <charset val="238"/>
        <scheme val="minor"/>
      </rPr>
      <t>CO2,NOB,pH</t>
    </r>
  </si>
  <si>
    <r>
      <t>Logistic slope of bicarbonate</t>
    </r>
    <r>
      <rPr>
        <sz val="11"/>
        <color rgb="FF000000"/>
        <rFont val="Calibri"/>
        <family val="2"/>
        <charset val="238"/>
        <scheme val="minor"/>
      </rPr>
      <t xml:space="preserve"> for AMX in AS</t>
    </r>
  </si>
  <si>
    <t>Logistic slope of bicarbonate for NOBs in AS</t>
  </si>
  <si>
    <r>
      <t>Logistic slope of CO</t>
    </r>
    <r>
      <rPr>
        <vertAlign val="subscript"/>
        <sz val="11"/>
        <rFont val="Calibri"/>
        <family val="2"/>
        <charset val="238"/>
      </rPr>
      <t>2</t>
    </r>
    <r>
      <rPr>
        <sz val="11"/>
        <rFont val="Calibri"/>
        <family val="2"/>
      </rPr>
      <t xml:space="preserve"> for NOBs in AS</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</si>
  <si>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</si>
  <si>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Logsat(S</t>
    </r>
    <r>
      <rPr>
        <vertAlign val="subscript"/>
        <sz val="11"/>
        <rFont val="Calibri"/>
        <family val="2"/>
        <scheme val="minor"/>
      </rPr>
      <t>CO2</t>
    </r>
    <r>
      <rPr>
        <sz val="11"/>
        <rFont val="Calibri"/>
        <family val="2"/>
        <scheme val="minor"/>
      </rPr>
      <t>; K</t>
    </r>
    <r>
      <rPr>
        <vertAlign val="subscript"/>
        <sz val="11"/>
        <rFont val="Calibri"/>
        <family val="2"/>
        <scheme val="minor"/>
      </rPr>
      <t>CO2,NOB</t>
    </r>
    <r>
      <rPr>
        <sz val="11"/>
        <rFont val="Calibri"/>
        <family val="2"/>
        <scheme val="minor"/>
      </rPr>
      <t>; Logslope</t>
    </r>
    <r>
      <rPr>
        <vertAlign val="subscript"/>
        <sz val="11"/>
        <rFont val="Calibri"/>
        <family val="2"/>
        <charset val="238"/>
        <scheme val="minor"/>
      </rPr>
      <t>CO2,NOB</t>
    </r>
    <r>
      <rPr>
        <sz val="11"/>
        <rFont val="Calibri"/>
        <family val="2"/>
        <scheme val="minor"/>
      </rPr>
      <t>)</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</si>
  <si>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</si>
  <si>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t>Non-Sidestream; Non-pH</t>
  </si>
  <si>
    <t>Non-Sidestream; pH</t>
  </si>
  <si>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</si>
  <si>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</si>
  <si>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</si>
  <si>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</si>
  <si>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</si>
  <si>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 / f</t>
    </r>
    <r>
      <rPr>
        <vertAlign val="subscript"/>
        <sz val="11"/>
        <rFont val="Calibri"/>
        <family val="2"/>
        <scheme val="minor"/>
      </rPr>
      <t>KS</t>
    </r>
  </si>
  <si>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</si>
  <si>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</si>
  <si>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GLY,GAO,max</t>
    </r>
    <r>
      <rPr>
        <sz val="11"/>
        <rFont val="Calibri"/>
        <family val="2"/>
        <scheme val="minor"/>
      </rPr>
      <t>; Logrange</t>
    </r>
    <r>
      <rPr>
        <vertAlign val="subscript"/>
        <sz val="11"/>
        <rFont val="Calibri"/>
        <family val="2"/>
        <charset val="238"/>
        <scheme val="minor"/>
      </rPr>
      <t>GLY,GAO,inh</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</si>
  <si>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</si>
  <si>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</si>
  <si>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</si>
  <si>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</si>
  <si>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</si>
  <si>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</si>
  <si>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CO2,AMX,AS</t>
    </r>
    <r>
      <rPr>
        <sz val="11"/>
        <rFont val="Calibri"/>
        <family val="2"/>
        <scheme val="minor"/>
      </rPr>
      <t>; Logrange</t>
    </r>
    <r>
      <rPr>
        <vertAlign val="subscript"/>
        <sz val="11"/>
        <rFont val="Calibri"/>
        <family val="2"/>
        <charset val="238"/>
        <scheme val="minor"/>
      </rPr>
      <t>CO2,AMX,AS</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</si>
  <si>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</si>
  <si>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r>
      <t>Logisticslope(K</t>
    </r>
    <r>
      <rPr>
        <vertAlign val="subscript"/>
        <sz val="11"/>
        <rFont val="Calibri"/>
        <family val="2"/>
        <charset val="238"/>
        <scheme val="minor"/>
      </rPr>
      <t>CO2,NOB,AS</t>
    </r>
    <r>
      <rPr>
        <sz val="11"/>
        <rFont val="Calibri"/>
        <family val="2"/>
        <scheme val="minor"/>
      </rPr>
      <t>; Logrange</t>
    </r>
    <r>
      <rPr>
        <vertAlign val="subscript"/>
        <sz val="11"/>
        <rFont val="Calibri"/>
        <family val="2"/>
        <charset val="238"/>
        <scheme val="minor"/>
      </rPr>
      <t>CO2,NOB,AS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</si>
  <si>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</si>
  <si>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</si>
  <si>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r>
      <t>Logisticslope(K</t>
    </r>
    <r>
      <rPr>
        <vertAlign val="subscript"/>
        <sz val="11"/>
        <rFont val="Calibri"/>
        <family val="2"/>
        <charset val="238"/>
        <scheme val="minor"/>
      </rPr>
      <t>CO2,AOB,sidestream</t>
    </r>
    <r>
      <rPr>
        <sz val="11"/>
        <rFont val="Calibri"/>
        <family val="2"/>
        <scheme val="minor"/>
      </rPr>
      <t>; Logrange</t>
    </r>
    <r>
      <rPr>
        <vertAlign val="subscript"/>
        <sz val="11"/>
        <rFont val="Calibri"/>
        <family val="2"/>
        <charset val="238"/>
        <scheme val="minor"/>
      </rPr>
      <t>CO2,AOB,sidestream</t>
    </r>
    <r>
      <rPr>
        <sz val="11"/>
        <rFont val="Calibri"/>
        <family val="2"/>
        <scheme val="minor"/>
      </rPr>
      <t>)</t>
    </r>
  </si>
  <si>
    <r>
      <t>Logisticslope(K</t>
    </r>
    <r>
      <rPr>
        <vertAlign val="subscript"/>
        <sz val="11"/>
        <rFont val="Calibri"/>
        <family val="2"/>
        <charset val="238"/>
        <scheme val="minor"/>
      </rPr>
      <t>CO2,AOB,AS</t>
    </r>
    <r>
      <rPr>
        <sz val="11"/>
        <rFont val="Calibri"/>
        <family val="2"/>
        <scheme val="minor"/>
      </rPr>
      <t>; Logrange</t>
    </r>
    <r>
      <rPr>
        <vertAlign val="subscript"/>
        <sz val="11"/>
        <rFont val="Calibri"/>
        <family val="2"/>
        <charset val="238"/>
        <scheme val="minor"/>
      </rPr>
      <t>CO2,AOB,AS</t>
    </r>
    <r>
      <rPr>
        <sz val="11"/>
        <rFont val="Calibri"/>
        <family val="2"/>
        <scheme val="minor"/>
      </rPr>
      <t>)</t>
    </r>
  </si>
  <si>
    <t>based on the 95% percentile of the saturation function</t>
  </si>
  <si>
    <t>A_MP/M_MBSH</t>
  </si>
  <si>
    <t>Fe(OH)3 -&gt; Fe2O3 + 3H2O</t>
  </si>
  <si>
    <r>
      <t>Ki</t>
    </r>
    <r>
      <rPr>
        <vertAlign val="subscript"/>
        <sz val="11"/>
        <rFont val="Calibri"/>
        <family val="2"/>
        <scheme val="minor"/>
      </rPr>
      <t>NHx,AMETO,AS</t>
    </r>
  </si>
  <si>
    <r>
      <t>Half-inhibition of SNHx</t>
    </r>
    <r>
      <rPr>
        <sz val="11"/>
        <color rgb="FF000000"/>
        <rFont val="Calibri"/>
        <family val="2"/>
        <charset val="238"/>
        <scheme val="minor"/>
      </rPr>
      <t xml:space="preserve"> for AMETOs (AS)</t>
    </r>
  </si>
  <si>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</si>
  <si>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</si>
  <si>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</si>
  <si>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</si>
  <si>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r>
      <t>Ki</t>
    </r>
    <r>
      <rPr>
        <vertAlign val="subscript"/>
        <sz val="11"/>
        <rFont val="Calibri"/>
        <family val="2"/>
        <scheme val="minor"/>
      </rPr>
      <t>NHx,AMETO</t>
    </r>
  </si>
  <si>
    <r>
      <t>Ki</t>
    </r>
    <r>
      <rPr>
        <vertAlign val="subscript"/>
        <sz val="11"/>
        <rFont val="Calibri"/>
        <family val="2"/>
        <scheme val="minor"/>
      </rPr>
      <t>NHx,AMETO,AS</t>
    </r>
    <r>
      <rPr>
        <sz val="11"/>
        <rFont val="Calibri"/>
        <family val="2"/>
        <scheme val="minor"/>
      </rPr>
      <t>*f</t>
    </r>
    <r>
      <rPr>
        <vertAlign val="subscript"/>
        <sz val="11"/>
        <rFont val="Calibri"/>
        <family val="2"/>
        <scheme val="minor"/>
      </rPr>
      <t>KS</t>
    </r>
  </si>
  <si>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</si>
  <si>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</si>
  <si>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Logslope</t>
    </r>
    <r>
      <rPr>
        <vertAlign val="subscript"/>
        <sz val="11"/>
        <rFont val="Calibri"/>
        <family val="2"/>
        <scheme val="minor"/>
      </rPr>
      <t>NHx,AMETO</t>
    </r>
  </si>
  <si>
    <r>
      <t>Logistic slope of NHx</t>
    </r>
    <r>
      <rPr>
        <sz val="11"/>
        <color rgb="FF000000"/>
        <rFont val="Calibri"/>
        <family val="2"/>
        <charset val="238"/>
        <scheme val="minor"/>
      </rPr>
      <t xml:space="preserve"> for AMETOs</t>
    </r>
  </si>
  <si>
    <r>
      <t>Logisticslope(Ki</t>
    </r>
    <r>
      <rPr>
        <vertAlign val="subscript"/>
        <sz val="11"/>
        <rFont val="Calibri"/>
        <family val="2"/>
        <charset val="238"/>
        <scheme val="minor"/>
      </rPr>
      <t>NHx,AMETO;</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</si>
  <si>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Logslope</t>
    </r>
    <r>
      <rPr>
        <vertAlign val="subscript"/>
        <sz val="11"/>
        <rFont val="Calibri"/>
        <family val="2"/>
        <scheme val="minor"/>
      </rPr>
      <t>NH3,AMETO,pH</t>
    </r>
  </si>
  <si>
    <r>
      <t>Logistic slope of NH3</t>
    </r>
    <r>
      <rPr>
        <sz val="11"/>
        <color rgb="FF000000"/>
        <rFont val="Calibri"/>
        <family val="2"/>
        <charset val="238"/>
        <scheme val="minor"/>
      </rPr>
      <t xml:space="preserve"> for AMETOs</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</si>
  <si>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</si>
  <si>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LoginhpH</t>
    </r>
    <r>
      <rPr>
        <vertAlign val="subscript"/>
        <sz val="11"/>
        <rFont val="Calibri"/>
        <family val="2"/>
        <scheme val="minor"/>
      </rPr>
      <t>NH3,AMETO</t>
    </r>
  </si>
  <si>
    <r>
      <t>Logistic inhibition term for NHx</t>
    </r>
    <r>
      <rPr>
        <sz val="11"/>
        <color rgb="FF000000"/>
        <rFont val="Calibri"/>
        <family val="2"/>
        <charset val="238"/>
        <scheme val="minor"/>
      </rPr>
      <t>/NH3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</si>
  <si>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</si>
  <si>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Loginh(SNHx; Ki</t>
    </r>
    <r>
      <rPr>
        <vertAlign val="subscript"/>
        <sz val="11"/>
        <rFont val="Calibri"/>
        <family val="2"/>
        <scheme val="minor"/>
      </rPr>
      <t>NHx,AMETO</t>
    </r>
    <r>
      <rPr>
        <sz val="11"/>
        <rFont val="Calibri"/>
        <family val="2"/>
        <scheme val="minor"/>
      </rPr>
      <t>; Logslope</t>
    </r>
    <r>
      <rPr>
        <vertAlign val="subscript"/>
        <sz val="11"/>
        <rFont val="Calibri"/>
        <family val="2"/>
        <charset val="238"/>
        <scheme val="minor"/>
      </rPr>
      <t>NHx,AMETO</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</si>
  <si>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</si>
  <si>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</si>
  <si>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m</t>
    </r>
    <r>
      <rPr>
        <vertAlign val="superscript"/>
        <sz val="11"/>
        <rFont val="Calibri"/>
        <family val="2"/>
        <charset val="238"/>
        <scheme val="minor"/>
      </rPr>
      <t>3</t>
    </r>
    <r>
      <rPr>
        <sz val="11"/>
        <rFont val="Calibri"/>
        <family val="2"/>
        <scheme val="minor"/>
      </rPr>
      <t>.g N</t>
    </r>
    <r>
      <rPr>
        <vertAlign val="superscript"/>
        <sz val="11"/>
        <rFont val="Calibri"/>
        <family val="2"/>
        <scheme val="minor"/>
      </rPr>
      <t>-1</t>
    </r>
  </si>
  <si>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</si>
  <si>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</si>
  <si>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</si>
  <si>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</si>
  <si>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r>
      <t>D</t>
    </r>
    <r>
      <rPr>
        <vertAlign val="subscript"/>
        <sz val="11"/>
        <rFont val="Calibri"/>
        <family val="2"/>
        <charset val="238"/>
        <scheme val="minor"/>
      </rPr>
      <t>SNOx</t>
    </r>
  </si>
  <si>
    <t>Input</t>
  </si>
  <si>
    <t>SOTECorr_cdisc</t>
  </si>
  <si>
    <t>SOTECorr_mdisc</t>
  </si>
  <si>
    <t>SOTECorr_pdisc</t>
  </si>
  <si>
    <t>SOTECorr_cdome</t>
  </si>
  <si>
    <t>SOTECorr_mtube</t>
  </si>
  <si>
    <t>SOTEFixed_fine</t>
  </si>
  <si>
    <t>PondWaterColumn</t>
  </si>
  <si>
    <t>PondSediments</t>
  </si>
  <si>
    <r>
      <t>(X</t>
    </r>
    <r>
      <rPr>
        <vertAlign val="subscript"/>
        <sz val="11"/>
        <rFont val="Calibri"/>
        <family val="2"/>
        <scheme val="minor"/>
      </rPr>
      <t>VSS,BIO</t>
    </r>
    <r>
      <rPr>
        <sz val="11"/>
        <rFont val="Calibri"/>
        <family val="2"/>
        <scheme val="minor"/>
      </rPr>
      <t>*(i</t>
    </r>
    <r>
      <rPr>
        <vertAlign val="subscript"/>
        <sz val="11"/>
        <rFont val="Calibri"/>
        <family val="2"/>
        <scheme val="minor"/>
      </rPr>
      <t>vw,BIO</t>
    </r>
    <r>
      <rPr>
        <sz val="11"/>
        <rFont val="Calibri"/>
        <family val="2"/>
        <scheme val="minor"/>
      </rPr>
      <t>+i</t>
    </r>
    <r>
      <rPr>
        <vertAlign val="subscript"/>
        <sz val="11"/>
        <rFont val="Calibri"/>
        <family val="2"/>
        <scheme val="minor"/>
      </rPr>
      <t>iw,BIO</t>
    </r>
    <r>
      <rPr>
        <sz val="11"/>
        <rFont val="Calibri"/>
        <family val="2"/>
        <scheme val="minor"/>
      </rPr>
      <t>+i</t>
    </r>
    <r>
      <rPr>
        <vertAlign val="subscript"/>
        <sz val="11"/>
        <rFont val="Calibri"/>
        <family val="2"/>
        <scheme val="minor"/>
      </rPr>
      <t>wh,BIO</t>
    </r>
    <r>
      <rPr>
        <sz val="11"/>
        <rFont val="Calibri"/>
        <family val="2"/>
        <scheme val="minor"/>
      </rPr>
      <t>)</t>
    </r>
    <r>
      <rPr>
        <vertAlign val="subscript"/>
        <sz val="11"/>
        <rFont val="Calibri"/>
        <family val="2"/>
        <scheme val="minor"/>
      </rPr>
      <t xml:space="preserve"> </t>
    </r>
    <r>
      <rPr>
        <b/>
        <sz val="11"/>
        <color rgb="FFC00000"/>
        <rFont val="Calibri"/>
        <family val="2"/>
        <scheme val="minor"/>
      </rPr>
      <t>+ X</t>
    </r>
    <r>
      <rPr>
        <b/>
        <vertAlign val="subscript"/>
        <sz val="11"/>
        <color rgb="FFC00000"/>
        <rFont val="Calibri"/>
        <family val="2"/>
        <scheme val="minor"/>
      </rPr>
      <t>VSS,BIO</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(i</t>
    </r>
    <r>
      <rPr>
        <vertAlign val="subscript"/>
        <sz val="11"/>
        <rFont val="Calibri"/>
        <family val="2"/>
        <scheme val="minor"/>
      </rPr>
      <t>vw,XE</t>
    </r>
    <r>
      <rPr>
        <sz val="11"/>
        <rFont val="Calibri"/>
        <family val="2"/>
        <scheme val="minor"/>
      </rPr>
      <t>+i</t>
    </r>
    <r>
      <rPr>
        <vertAlign val="subscript"/>
        <sz val="11"/>
        <rFont val="Calibri"/>
        <family val="2"/>
        <scheme val="minor"/>
      </rPr>
      <t>wh,XE</t>
    </r>
    <r>
      <rPr>
        <sz val="11"/>
        <rFont val="Calibri"/>
        <family val="2"/>
        <scheme val="minor"/>
      </rPr>
      <t>)</t>
    </r>
    <r>
      <rPr>
        <b/>
        <sz val="11"/>
        <color rgb="FFC00000"/>
        <rFont val="Calibri"/>
        <family val="2"/>
        <scheme val="minor"/>
      </rPr>
      <t xml:space="preserve"> + X</t>
    </r>
    <r>
      <rPr>
        <b/>
        <vertAlign val="subscript"/>
        <sz val="11"/>
        <color rgb="FFC00000"/>
        <rFont val="Calibri"/>
        <family val="2"/>
        <scheme val="minor"/>
      </rPr>
      <t>E</t>
    </r>
    <r>
      <rPr>
        <b/>
        <sz val="11"/>
        <color rgb="FFC00000"/>
        <rFont val="Calibri"/>
        <family val="2"/>
        <scheme val="minor"/>
      </rPr>
      <t>/i</t>
    </r>
    <r>
      <rPr>
        <b/>
        <vertAlign val="subscript"/>
        <sz val="11"/>
        <color rgb="FFC00000"/>
        <rFont val="Calibri"/>
        <family val="2"/>
        <scheme val="minor"/>
      </rPr>
      <t>CV,XE</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 xml:space="preserve"> *(i</t>
    </r>
    <r>
      <rPr>
        <vertAlign val="subscript"/>
        <sz val="11"/>
        <rFont val="Calibri"/>
        <family val="2"/>
        <scheme val="minor"/>
      </rPr>
      <t>vw,XB</t>
    </r>
    <r>
      <rPr>
        <sz val="11"/>
        <rFont val="Calibri"/>
        <family val="2"/>
        <scheme val="minor"/>
      </rPr>
      <t>+i</t>
    </r>
    <r>
      <rPr>
        <vertAlign val="subscript"/>
        <sz val="11"/>
        <rFont val="Calibri"/>
        <family val="2"/>
        <scheme val="minor"/>
      </rPr>
      <t>wh,XB</t>
    </r>
    <r>
      <rPr>
        <sz val="11"/>
        <rFont val="Calibri"/>
        <family val="2"/>
        <scheme val="minor"/>
      </rPr>
      <t>) +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*(i</t>
    </r>
    <r>
      <rPr>
        <vertAlign val="subscript"/>
        <sz val="11"/>
        <rFont val="Calibri"/>
        <family val="2"/>
        <scheme val="minor"/>
      </rPr>
      <t>vw,XU</t>
    </r>
    <r>
      <rPr>
        <sz val="11"/>
        <rFont val="Calibri"/>
        <family val="2"/>
        <scheme val="minor"/>
      </rPr>
      <t>+i</t>
    </r>
    <r>
      <rPr>
        <vertAlign val="subscript"/>
        <sz val="11"/>
        <rFont val="Calibri"/>
        <family val="2"/>
        <scheme val="minor"/>
      </rPr>
      <t>wh,XU</t>
    </r>
    <r>
      <rPr>
        <sz val="11"/>
        <rFont val="Calibri"/>
        <family val="2"/>
        <scheme val="minor"/>
      </rPr>
      <t>) + X</t>
    </r>
    <r>
      <rPr>
        <vertAlign val="subscript"/>
        <sz val="11"/>
        <rFont val="Calibri"/>
        <family val="2"/>
        <scheme val="minor"/>
      </rPr>
      <t>PHA</t>
    </r>
    <r>
      <rPr>
        <sz val="11"/>
        <rFont val="Calibri"/>
        <family val="2"/>
        <scheme val="minor"/>
      </rPr>
      <t>/i</t>
    </r>
    <r>
      <rPr>
        <vertAlign val="subscript"/>
        <sz val="11"/>
        <rFont val="Calibri"/>
        <family val="2"/>
        <scheme val="minor"/>
      </rPr>
      <t xml:space="preserve">CV,PHA </t>
    </r>
    <r>
      <rPr>
        <sz val="11"/>
        <rFont val="Calibri"/>
        <family val="2"/>
        <scheme val="minor"/>
      </rPr>
      <t>* (i</t>
    </r>
    <r>
      <rPr>
        <vertAlign val="subscript"/>
        <sz val="11"/>
        <rFont val="Calibri"/>
        <family val="2"/>
        <scheme val="minor"/>
      </rPr>
      <t>vw,PHA</t>
    </r>
    <r>
      <rPr>
        <sz val="11"/>
        <rFont val="Calibri"/>
        <family val="2"/>
        <scheme val="minor"/>
      </rPr>
      <t>+i</t>
    </r>
    <r>
      <rPr>
        <vertAlign val="subscript"/>
        <sz val="11"/>
        <rFont val="Calibri"/>
        <family val="2"/>
        <scheme val="minor"/>
      </rPr>
      <t>wh,PHA</t>
    </r>
    <r>
      <rPr>
        <sz val="11"/>
        <rFont val="Calibri"/>
        <family val="2"/>
        <scheme val="minor"/>
      </rPr>
      <t>) + X</t>
    </r>
    <r>
      <rPr>
        <vertAlign val="subscript"/>
        <sz val="11"/>
        <rFont val="Calibri"/>
        <family val="2"/>
        <scheme val="minor"/>
      </rPr>
      <t>GLY</t>
    </r>
    <r>
      <rPr>
        <sz val="11"/>
        <rFont val="Calibri"/>
        <family val="2"/>
        <scheme val="minor"/>
      </rPr>
      <t>/i</t>
    </r>
    <r>
      <rPr>
        <vertAlign val="subscript"/>
        <sz val="11"/>
        <rFont val="Calibri"/>
        <family val="2"/>
        <scheme val="minor"/>
      </rPr>
      <t xml:space="preserve">CV,GLY </t>
    </r>
    <r>
      <rPr>
        <sz val="11"/>
        <rFont val="Calibri"/>
        <family val="2"/>
        <scheme val="minor"/>
      </rPr>
      <t>* (i</t>
    </r>
    <r>
      <rPr>
        <vertAlign val="subscript"/>
        <sz val="11"/>
        <rFont val="Calibri"/>
        <family val="2"/>
        <scheme val="minor"/>
      </rPr>
      <t>vw,GLY</t>
    </r>
    <r>
      <rPr>
        <sz val="11"/>
        <rFont val="Calibri"/>
        <family val="2"/>
        <scheme val="minor"/>
      </rPr>
      <t>+i</t>
    </r>
    <r>
      <rPr>
        <vertAlign val="subscript"/>
        <sz val="11"/>
        <rFont val="Calibri"/>
        <family val="2"/>
        <scheme val="minor"/>
      </rPr>
      <t>wh,GLY</t>
    </r>
    <r>
      <rPr>
        <sz val="11"/>
        <rFont val="Calibri"/>
        <family val="2"/>
        <scheme val="minor"/>
      </rPr>
      <t>)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*i</t>
    </r>
    <r>
      <rPr>
        <vertAlign val="subscript"/>
        <sz val="11"/>
        <rFont val="Calibri"/>
        <family val="2"/>
        <scheme val="minor"/>
      </rPr>
      <t>vw,CB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*i</t>
    </r>
    <r>
      <rPr>
        <vertAlign val="subscript"/>
        <sz val="11"/>
        <rFont val="Calibri"/>
        <family val="2"/>
        <scheme val="minor"/>
      </rPr>
      <t>vw,CU</t>
    </r>
    <r>
      <rPr>
        <sz val="11"/>
        <rFont val="Calibri"/>
        <family val="2"/>
        <scheme val="minor"/>
      </rPr>
      <t>)/X</t>
    </r>
    <r>
      <rPr>
        <vertAlign val="subscript"/>
        <sz val="11"/>
        <rFont val="Calibri"/>
        <family val="2"/>
        <scheme val="minor"/>
      </rPr>
      <t>VSS</t>
    </r>
  </si>
  <si>
    <t>Alpha improvement rate</t>
  </si>
  <si>
    <t>Maximum alpha indicator</t>
  </si>
  <si>
    <r>
      <t>K</t>
    </r>
    <r>
      <rPr>
        <vertAlign val="subscript"/>
        <sz val="11"/>
        <rFont val="Calibri"/>
        <family val="2"/>
        <charset val="238"/>
        <scheme val="minor"/>
      </rPr>
      <t>O2,ALPHA</t>
    </r>
  </si>
  <si>
    <t>Half-saturation of dissolved oxygen for alpha rate</t>
  </si>
  <si>
    <r>
      <t>f</t>
    </r>
    <r>
      <rPr>
        <vertAlign val="subscript"/>
        <sz val="11"/>
        <rFont val="Calibri"/>
        <family val="2"/>
        <charset val="238"/>
        <scheme val="minor"/>
      </rPr>
      <t>O2,max,ALPHA</t>
    </r>
  </si>
  <si>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</si>
  <si>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</si>
  <si>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</si>
  <si>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</si>
  <si>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</si>
  <si>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</si>
  <si>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</si>
  <si>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</si>
  <si>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</si>
  <si>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</si>
  <si>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</si>
  <si>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</si>
  <si>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</si>
  <si>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</si>
  <si>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r>
      <t>q</t>
    </r>
    <r>
      <rPr>
        <vertAlign val="subscript"/>
        <sz val="11"/>
        <rFont val="Calibri"/>
        <family val="2"/>
        <charset val="238"/>
        <scheme val="minor"/>
      </rPr>
      <t>ALPHA,O2</t>
    </r>
  </si>
  <si>
    <t>Alpha improvement rate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</si>
  <si>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</si>
  <si>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</si>
  <si>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</si>
  <si>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</si>
  <si>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</si>
  <si>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</si>
  <si>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</si>
  <si>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</si>
  <si>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</si>
  <si>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</si>
  <si>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</si>
  <si>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</si>
  <si>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</si>
  <si>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</si>
  <si>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r>
      <t>k</t>
    </r>
    <r>
      <rPr>
        <vertAlign val="subscript"/>
        <sz val="11"/>
        <rFont val="Calibri"/>
        <family val="2"/>
        <charset val="238"/>
        <scheme val="minor"/>
      </rPr>
      <t>ORPswitch</t>
    </r>
  </si>
  <si>
    <t>kinetic rate of ORP lag for CASTO activity switches</t>
  </si>
  <si>
    <t>sets inertia for the speed of CASTO activity switches' response to ORP changes</t>
  </si>
  <si>
    <r>
      <t>offset</t>
    </r>
    <r>
      <rPr>
        <vertAlign val="subscript"/>
        <sz val="11"/>
        <rFont val="Calibri"/>
        <family val="2"/>
        <charset val="238"/>
        <scheme val="minor"/>
      </rPr>
      <t>ORPswitch</t>
    </r>
  </si>
  <si>
    <t>offset of ORP lag for CASTO activity switches</t>
  </si>
  <si>
    <t>used for keeping auxiliary ORP state variable in positive range - not recommended to alter</t>
  </si>
  <si>
    <r>
      <t>S</t>
    </r>
    <r>
      <rPr>
        <b/>
        <vertAlign val="subscript"/>
        <sz val="11"/>
        <rFont val="Calibri"/>
        <family val="2"/>
        <charset val="238"/>
        <scheme val="minor"/>
      </rPr>
      <t>ORPswitch</t>
    </r>
  </si>
  <si>
    <t>ORP driver for CASTO activity switches</t>
  </si>
  <si>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</si>
  <si>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</si>
  <si>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S</t>
    </r>
    <r>
      <rPr>
        <b/>
        <vertAlign val="subscript"/>
        <sz val="12"/>
        <rFont val="Calibri"/>
        <family val="2"/>
        <charset val="238"/>
        <scheme val="minor"/>
      </rPr>
      <t>ORPswitch</t>
    </r>
  </si>
  <si>
    <t>ORP lag for CASTO activity switches</t>
  </si>
  <si>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</si>
  <si>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mV.d</t>
    </r>
    <r>
      <rPr>
        <vertAlign val="superscript"/>
        <sz val="11"/>
        <color indexed="8"/>
        <rFont val="Calibri"/>
        <family val="2"/>
        <charset val="238"/>
      </rPr>
      <t>-1</t>
    </r>
  </si>
  <si>
    <t>r97</t>
  </si>
  <si>
    <r>
      <t>COUR + NOUR - (v72_S</t>
    </r>
    <r>
      <rPr>
        <vertAlign val="subscript"/>
        <sz val="11"/>
        <rFont val="Calibri"/>
        <family val="2"/>
        <charset val="238"/>
        <scheme val="minor"/>
      </rPr>
      <t>O2</t>
    </r>
    <r>
      <rPr>
        <sz val="11"/>
        <rFont val="Calibri"/>
        <family val="2"/>
        <scheme val="minor"/>
      </rPr>
      <t xml:space="preserve"> * r72)</t>
    </r>
  </si>
  <si>
    <r>
      <t>-(v37_S</t>
    </r>
    <r>
      <rPr>
        <vertAlign val="subscript"/>
        <sz val="11"/>
        <rFont val="Calibri"/>
        <family val="2"/>
        <scheme val="minor"/>
      </rPr>
      <t>O2</t>
    </r>
    <r>
      <rPr>
        <sz val="11"/>
        <rFont val="Calibri"/>
        <family val="2"/>
        <scheme val="minor"/>
      </rPr>
      <t xml:space="preserve"> * r37 + v40_S</t>
    </r>
    <r>
      <rPr>
        <vertAlign val="subscript"/>
        <sz val="11"/>
        <rFont val="Calibri"/>
        <family val="2"/>
        <scheme val="minor"/>
      </rPr>
      <t>O2</t>
    </r>
    <r>
      <rPr>
        <sz val="11"/>
        <rFont val="Calibri"/>
        <family val="2"/>
        <scheme val="minor"/>
      </rPr>
      <t xml:space="preserve"> * r40)</t>
    </r>
  </si>
  <si>
    <r>
      <t>-(v3_S</t>
    </r>
    <r>
      <rPr>
        <vertAlign val="subscript"/>
        <sz val="11"/>
        <rFont val="Calibri"/>
        <family val="2"/>
        <scheme val="minor"/>
      </rPr>
      <t>NO3</t>
    </r>
    <r>
      <rPr>
        <sz val="11"/>
        <rFont val="Calibri"/>
        <family val="2"/>
        <scheme val="minor"/>
      </rPr>
      <t xml:space="preserve"> * r3 + v6_S</t>
    </r>
    <r>
      <rPr>
        <vertAlign val="subscript"/>
        <sz val="11"/>
        <rFont val="Calibri"/>
        <family val="2"/>
        <scheme val="minor"/>
      </rPr>
      <t>NO3</t>
    </r>
    <r>
      <rPr>
        <sz val="11"/>
        <rFont val="Calibri"/>
        <family val="2"/>
        <scheme val="minor"/>
      </rPr>
      <t xml:space="preserve"> * r6 + v13_S</t>
    </r>
    <r>
      <rPr>
        <vertAlign val="subscript"/>
        <sz val="11"/>
        <rFont val="Calibri"/>
        <family val="2"/>
        <scheme val="minor"/>
      </rPr>
      <t>NO3</t>
    </r>
    <r>
      <rPr>
        <sz val="11"/>
        <rFont val="Calibri"/>
        <family val="2"/>
        <scheme val="minor"/>
      </rPr>
      <t xml:space="preserve"> * r13 + v18_S</t>
    </r>
    <r>
      <rPr>
        <vertAlign val="subscript"/>
        <sz val="11"/>
        <rFont val="Calibri"/>
        <family val="2"/>
        <scheme val="minor"/>
      </rPr>
      <t>NO3</t>
    </r>
    <r>
      <rPr>
        <sz val="11"/>
        <rFont val="Calibri"/>
        <family val="2"/>
        <scheme val="minor"/>
      </rPr>
      <t xml:space="preserve"> * r18 + v21_S</t>
    </r>
    <r>
      <rPr>
        <vertAlign val="subscript"/>
        <sz val="11"/>
        <rFont val="Calibri"/>
        <family val="2"/>
        <scheme val="minor"/>
      </rPr>
      <t>NO3</t>
    </r>
    <r>
      <rPr>
        <sz val="11"/>
        <rFont val="Calibri"/>
        <family val="2"/>
        <scheme val="minor"/>
      </rPr>
      <t xml:space="preserve"> * r21 + v24_S</t>
    </r>
    <r>
      <rPr>
        <vertAlign val="subscript"/>
        <sz val="11"/>
        <rFont val="Calibri"/>
        <family val="2"/>
        <scheme val="minor"/>
      </rPr>
      <t>NO3</t>
    </r>
    <r>
      <rPr>
        <sz val="11"/>
        <rFont val="Calibri"/>
        <family val="2"/>
        <scheme val="minor"/>
      </rPr>
      <t xml:space="preserve"> * r24 + v29_S</t>
    </r>
    <r>
      <rPr>
        <vertAlign val="subscript"/>
        <sz val="11"/>
        <rFont val="Calibri"/>
        <family val="2"/>
        <scheme val="minor"/>
      </rPr>
      <t>NO3</t>
    </r>
    <r>
      <rPr>
        <sz val="11"/>
        <rFont val="Calibri"/>
        <family val="2"/>
        <scheme val="minor"/>
      </rPr>
      <t xml:space="preserve"> * r29 + v63_S</t>
    </r>
    <r>
      <rPr>
        <vertAlign val="subscript"/>
        <sz val="11"/>
        <rFont val="Calibri"/>
        <family val="2"/>
        <scheme val="minor"/>
      </rPr>
      <t>NO3</t>
    </r>
    <r>
      <rPr>
        <sz val="11"/>
        <rFont val="Calibri"/>
        <family val="2"/>
        <scheme val="minor"/>
      </rPr>
      <t xml:space="preserve"> * r63)</t>
    </r>
  </si>
  <si>
    <r>
      <t>-(v2_S</t>
    </r>
    <r>
      <rPr>
        <vertAlign val="subscript"/>
        <sz val="11"/>
        <rFont val="Calibri"/>
        <family val="2"/>
        <scheme val="minor"/>
      </rPr>
      <t>NO2</t>
    </r>
    <r>
      <rPr>
        <sz val="11"/>
        <rFont val="Calibri"/>
        <family val="2"/>
        <scheme val="minor"/>
      </rPr>
      <t xml:space="preserve"> * r2 + v5_S</t>
    </r>
    <r>
      <rPr>
        <vertAlign val="subscript"/>
        <sz val="11"/>
        <rFont val="Calibri"/>
        <family val="2"/>
        <scheme val="minor"/>
      </rPr>
      <t>NO2</t>
    </r>
    <r>
      <rPr>
        <sz val="11"/>
        <rFont val="Calibri"/>
        <family val="2"/>
        <scheme val="minor"/>
      </rPr>
      <t xml:space="preserve"> * r5 + v12_S</t>
    </r>
    <r>
      <rPr>
        <vertAlign val="subscript"/>
        <sz val="11"/>
        <rFont val="Calibri"/>
        <family val="2"/>
        <scheme val="minor"/>
      </rPr>
      <t>NO2</t>
    </r>
    <r>
      <rPr>
        <sz val="11"/>
        <rFont val="Calibri"/>
        <family val="2"/>
        <scheme val="minor"/>
      </rPr>
      <t xml:space="preserve"> * r12 + v17_S</t>
    </r>
    <r>
      <rPr>
        <vertAlign val="subscript"/>
        <sz val="11"/>
        <rFont val="Calibri"/>
        <family val="2"/>
        <scheme val="minor"/>
      </rPr>
      <t>NO2</t>
    </r>
    <r>
      <rPr>
        <sz val="11"/>
        <rFont val="Calibri"/>
        <family val="2"/>
        <scheme val="minor"/>
      </rPr>
      <t xml:space="preserve"> * r17 + v20_S</t>
    </r>
    <r>
      <rPr>
        <vertAlign val="subscript"/>
        <sz val="11"/>
        <rFont val="Calibri"/>
        <family val="2"/>
        <scheme val="minor"/>
      </rPr>
      <t>NO2</t>
    </r>
    <r>
      <rPr>
        <sz val="11"/>
        <rFont val="Calibri"/>
        <family val="2"/>
        <scheme val="minor"/>
      </rPr>
      <t xml:space="preserve"> * r20 + v23_S</t>
    </r>
    <r>
      <rPr>
        <vertAlign val="subscript"/>
        <sz val="11"/>
        <rFont val="Calibri"/>
        <family val="2"/>
        <scheme val="minor"/>
      </rPr>
      <t>NO2</t>
    </r>
    <r>
      <rPr>
        <sz val="11"/>
        <rFont val="Calibri"/>
        <family val="2"/>
        <scheme val="minor"/>
      </rPr>
      <t xml:space="preserve"> * r23 + v28_S</t>
    </r>
    <r>
      <rPr>
        <vertAlign val="subscript"/>
        <sz val="11"/>
        <rFont val="Calibri"/>
        <family val="2"/>
        <scheme val="minor"/>
      </rPr>
      <t>NO2</t>
    </r>
    <r>
      <rPr>
        <sz val="11"/>
        <rFont val="Calibri"/>
        <family val="2"/>
        <scheme val="minor"/>
      </rPr>
      <t xml:space="preserve"> * r28 + v40_S</t>
    </r>
    <r>
      <rPr>
        <vertAlign val="subscript"/>
        <sz val="11"/>
        <rFont val="Calibri"/>
        <family val="2"/>
        <scheme val="minor"/>
      </rPr>
      <t>NO2</t>
    </r>
    <r>
      <rPr>
        <sz val="11"/>
        <rFont val="Calibri"/>
        <family val="2"/>
        <scheme val="minor"/>
      </rPr>
      <t xml:space="preserve"> * r40 + v43_S</t>
    </r>
    <r>
      <rPr>
        <vertAlign val="subscript"/>
        <sz val="11"/>
        <rFont val="Calibri"/>
        <family val="2"/>
        <scheme val="minor"/>
      </rPr>
      <t>NO2</t>
    </r>
    <r>
      <rPr>
        <sz val="11"/>
        <rFont val="Calibri"/>
        <family val="2"/>
        <scheme val="minor"/>
      </rPr>
      <t xml:space="preserve"> * r43 + v62_S</t>
    </r>
    <r>
      <rPr>
        <vertAlign val="subscript"/>
        <sz val="11"/>
        <rFont val="Calibri"/>
        <family val="2"/>
        <scheme val="minor"/>
      </rPr>
      <t>NO2</t>
    </r>
    <r>
      <rPr>
        <sz val="11"/>
        <rFont val="Calibri"/>
        <family val="2"/>
        <scheme val="minor"/>
      </rPr>
      <t xml:space="preserve"> * r62)</t>
    </r>
  </si>
  <si>
    <r>
      <t>i</t>
    </r>
    <r>
      <rPr>
        <vertAlign val="subscript"/>
        <sz val="11"/>
        <rFont val="Calibri"/>
        <family val="2"/>
        <scheme val="minor"/>
      </rPr>
      <t>N,BIO</t>
    </r>
    <r>
      <rPr>
        <sz val="11"/>
        <rFont val="Calibri"/>
        <family val="2"/>
        <scheme val="minor"/>
      </rPr>
      <t xml:space="preserve"> * (r1 + r2 + r3 + r4 + r5 + r6 + r7 + r8 + r9 + r12 + r13 + r16 + r17 + r18 + r22 + r23 + r24 + r32 + r33 + r40 + r46 + r49) - (v37_S</t>
    </r>
    <r>
      <rPr>
        <vertAlign val="subscript"/>
        <sz val="11"/>
        <rFont val="Calibri"/>
        <family val="2"/>
        <scheme val="minor"/>
      </rPr>
      <t>NHx</t>
    </r>
    <r>
      <rPr>
        <sz val="11"/>
        <rFont val="Calibri"/>
        <family val="2"/>
        <scheme val="minor"/>
      </rPr>
      <t xml:space="preserve"> * r37 + v43_S</t>
    </r>
    <r>
      <rPr>
        <vertAlign val="subscript"/>
        <sz val="11"/>
        <rFont val="Calibri"/>
        <family val="2"/>
        <scheme val="minor"/>
      </rPr>
      <t>NHx</t>
    </r>
    <r>
      <rPr>
        <sz val="11"/>
        <rFont val="Calibri"/>
        <family val="2"/>
        <scheme val="minor"/>
      </rPr>
      <t xml:space="preserve"> * r43 + v83_S</t>
    </r>
    <r>
      <rPr>
        <vertAlign val="subscript"/>
        <sz val="11"/>
        <rFont val="Calibri"/>
        <family val="2"/>
        <scheme val="minor"/>
      </rPr>
      <t>NHx</t>
    </r>
    <r>
      <rPr>
        <sz val="11"/>
        <rFont val="Calibri"/>
        <family val="2"/>
        <scheme val="minor"/>
      </rPr>
      <t xml:space="preserve"> * r83)</t>
    </r>
  </si>
  <si>
    <r>
      <t>i</t>
    </r>
    <r>
      <rPr>
        <vertAlign val="subscript"/>
        <sz val="11"/>
        <rFont val="Calibri"/>
        <family val="2"/>
        <scheme val="minor"/>
      </rPr>
      <t>P,BIO</t>
    </r>
    <r>
      <rPr>
        <sz val="11"/>
        <rFont val="Calibri"/>
        <family val="2"/>
        <scheme val="minor"/>
      </rPr>
      <t xml:space="preserve"> * (r1 + r2 + r3 + r4 + r5 + r6 + r7 + r8 + r9 + r12 + r13 + r16 + r17 + r18 + r32 + r33 + r37 + r38 + r43 + r46 + r49) + PUR</t>
    </r>
    <r>
      <rPr>
        <vertAlign val="subscript"/>
        <sz val="11"/>
        <rFont val="Calibri"/>
        <family val="2"/>
        <charset val="238"/>
        <scheme val="minor"/>
      </rPr>
      <t>BIOP</t>
    </r>
  </si>
  <si>
    <r>
      <t>-(v66_S</t>
    </r>
    <r>
      <rPr>
        <vertAlign val="subscript"/>
        <sz val="11"/>
        <rFont val="Calibri"/>
        <family val="2"/>
        <scheme val="minor"/>
      </rPr>
      <t>PO4</t>
    </r>
    <r>
      <rPr>
        <sz val="11"/>
        <rFont val="Calibri"/>
        <family val="2"/>
        <scheme val="minor"/>
      </rPr>
      <t xml:space="preserve"> * r66 + v67_S</t>
    </r>
    <r>
      <rPr>
        <vertAlign val="subscript"/>
        <sz val="11"/>
        <rFont val="Calibri"/>
        <family val="2"/>
        <scheme val="minor"/>
      </rPr>
      <t>PO4</t>
    </r>
    <r>
      <rPr>
        <sz val="11"/>
        <rFont val="Calibri"/>
        <family val="2"/>
        <scheme val="minor"/>
      </rPr>
      <t xml:space="preserve"> * r67 + v75_S</t>
    </r>
    <r>
      <rPr>
        <vertAlign val="subscript"/>
        <sz val="11"/>
        <rFont val="Calibri"/>
        <family val="2"/>
        <scheme val="minor"/>
      </rPr>
      <t>PO4</t>
    </r>
    <r>
      <rPr>
        <sz val="11"/>
        <rFont val="Calibri"/>
        <family val="2"/>
        <scheme val="minor"/>
      </rPr>
      <t xml:space="preserve"> * r75 + v76_S</t>
    </r>
    <r>
      <rPr>
        <vertAlign val="subscript"/>
        <sz val="11"/>
        <rFont val="Calibri"/>
        <family val="2"/>
        <scheme val="minor"/>
      </rPr>
      <t>PO4</t>
    </r>
    <r>
      <rPr>
        <sz val="11"/>
        <rFont val="Calibri"/>
        <family val="2"/>
        <scheme val="minor"/>
      </rPr>
      <t xml:space="preserve"> * r76 + v81_S</t>
    </r>
    <r>
      <rPr>
        <vertAlign val="subscript"/>
        <sz val="11"/>
        <rFont val="Calibri"/>
        <family val="2"/>
        <scheme val="minor"/>
      </rPr>
      <t>PO4</t>
    </r>
    <r>
      <rPr>
        <sz val="11"/>
        <rFont val="Calibri"/>
        <family val="2"/>
        <scheme val="minor"/>
      </rPr>
      <t xml:space="preserve"> * r81 + v82_S</t>
    </r>
    <r>
      <rPr>
        <vertAlign val="subscript"/>
        <sz val="11"/>
        <rFont val="Calibri"/>
        <family val="2"/>
        <scheme val="minor"/>
      </rPr>
      <t>PO4</t>
    </r>
    <r>
      <rPr>
        <sz val="11"/>
        <rFont val="Calibri"/>
        <family val="2"/>
        <scheme val="minor"/>
      </rPr>
      <t xml:space="preserve"> * r82 + v83_S</t>
    </r>
    <r>
      <rPr>
        <vertAlign val="subscript"/>
        <sz val="11"/>
        <rFont val="Calibri"/>
        <family val="2"/>
        <scheme val="minor"/>
      </rPr>
      <t>PO4</t>
    </r>
    <r>
      <rPr>
        <sz val="11"/>
        <rFont val="Calibri"/>
        <family val="2"/>
        <scheme val="minor"/>
      </rPr>
      <t xml:space="preserve"> * r83 + v84_S</t>
    </r>
    <r>
      <rPr>
        <vertAlign val="subscript"/>
        <sz val="11"/>
        <rFont val="Calibri"/>
        <family val="2"/>
        <scheme val="minor"/>
      </rPr>
      <t>PO4</t>
    </r>
    <r>
      <rPr>
        <sz val="11"/>
        <rFont val="Calibri"/>
        <family val="2"/>
        <scheme val="minor"/>
      </rPr>
      <t xml:space="preserve"> * r84)</t>
    </r>
  </si>
  <si>
    <r>
      <t>v25_S</t>
    </r>
    <r>
      <rPr>
        <vertAlign val="subscript"/>
        <sz val="11"/>
        <rFont val="Calibri"/>
        <family val="2"/>
        <scheme val="minor"/>
      </rPr>
      <t>PO4</t>
    </r>
    <r>
      <rPr>
        <sz val="11"/>
        <rFont val="Calibri"/>
        <family val="2"/>
        <scheme val="minor"/>
      </rPr>
      <t xml:space="preserve"> * r25 + v31_S</t>
    </r>
    <r>
      <rPr>
        <vertAlign val="subscript"/>
        <sz val="11"/>
        <rFont val="Calibri"/>
        <family val="2"/>
        <charset val="238"/>
        <scheme val="minor"/>
      </rPr>
      <t>PO4</t>
    </r>
    <r>
      <rPr>
        <sz val="11"/>
        <rFont val="Calibri"/>
        <family val="2"/>
        <scheme val="minor"/>
      </rPr>
      <t xml:space="preserve"> * r31 + v34_S</t>
    </r>
    <r>
      <rPr>
        <vertAlign val="subscript"/>
        <sz val="11"/>
        <rFont val="Calibri"/>
        <family val="2"/>
        <scheme val="minor"/>
      </rPr>
      <t>PO4</t>
    </r>
    <r>
      <rPr>
        <sz val="11"/>
        <rFont val="Calibri"/>
        <family val="2"/>
        <scheme val="minor"/>
      </rPr>
      <t xml:space="preserve"> * r34 + v35_S</t>
    </r>
    <r>
      <rPr>
        <vertAlign val="subscript"/>
        <sz val="11"/>
        <rFont val="Calibri"/>
        <family val="2"/>
        <scheme val="minor"/>
      </rPr>
      <t>PO4</t>
    </r>
    <r>
      <rPr>
        <sz val="11"/>
        <rFont val="Calibri"/>
        <family val="2"/>
        <scheme val="minor"/>
      </rPr>
      <t xml:space="preserve"> * r35 + v58_S</t>
    </r>
    <r>
      <rPr>
        <vertAlign val="subscript"/>
        <sz val="11"/>
        <rFont val="Calibri"/>
        <family val="2"/>
        <scheme val="minor"/>
      </rPr>
      <t>PO4</t>
    </r>
    <r>
      <rPr>
        <sz val="11"/>
        <rFont val="Calibri"/>
        <family val="2"/>
        <scheme val="minor"/>
      </rPr>
      <t xml:space="preserve"> * r58 + v62_S</t>
    </r>
    <r>
      <rPr>
        <vertAlign val="subscript"/>
        <sz val="11"/>
        <rFont val="Calibri"/>
        <family val="2"/>
        <scheme val="minor"/>
      </rPr>
      <t>PO4</t>
    </r>
    <r>
      <rPr>
        <sz val="11"/>
        <rFont val="Calibri"/>
        <family val="2"/>
        <scheme val="minor"/>
      </rPr>
      <t xml:space="preserve"> * r62 + v63_S</t>
    </r>
    <r>
      <rPr>
        <vertAlign val="subscript"/>
        <sz val="11"/>
        <rFont val="Calibri"/>
        <family val="2"/>
        <scheme val="minor"/>
      </rPr>
      <t>PO4</t>
    </r>
    <r>
      <rPr>
        <sz val="11"/>
        <rFont val="Calibri"/>
        <family val="2"/>
        <scheme val="minor"/>
      </rPr>
      <t xml:space="preserve"> * r63 + v68_S</t>
    </r>
    <r>
      <rPr>
        <vertAlign val="subscript"/>
        <sz val="11"/>
        <rFont val="Calibri"/>
        <family val="2"/>
        <scheme val="minor"/>
      </rPr>
      <t>PO4</t>
    </r>
    <r>
      <rPr>
        <sz val="11"/>
        <rFont val="Calibri"/>
        <family val="2"/>
        <scheme val="minor"/>
      </rPr>
      <t xml:space="preserve"> * r68 + v69_S</t>
    </r>
    <r>
      <rPr>
        <vertAlign val="subscript"/>
        <sz val="11"/>
        <rFont val="Calibri"/>
        <family val="2"/>
        <scheme val="minor"/>
      </rPr>
      <t>PO4</t>
    </r>
    <r>
      <rPr>
        <sz val="11"/>
        <rFont val="Calibri"/>
        <family val="2"/>
        <scheme val="minor"/>
      </rPr>
      <t xml:space="preserve"> * r69 + v70_S</t>
    </r>
    <r>
      <rPr>
        <vertAlign val="subscript"/>
        <sz val="11"/>
        <rFont val="Calibri"/>
        <family val="2"/>
        <scheme val="minor"/>
      </rPr>
      <t>PO4</t>
    </r>
    <r>
      <rPr>
        <sz val="11"/>
        <rFont val="Calibri"/>
        <family val="2"/>
        <scheme val="minor"/>
      </rPr>
      <t xml:space="preserve"> * r70 + v71_S</t>
    </r>
    <r>
      <rPr>
        <vertAlign val="subscript"/>
        <sz val="11"/>
        <rFont val="Calibri"/>
        <family val="2"/>
        <scheme val="minor"/>
      </rPr>
      <t>PO4</t>
    </r>
    <r>
      <rPr>
        <sz val="11"/>
        <rFont val="Calibri"/>
        <family val="2"/>
        <scheme val="minor"/>
      </rPr>
      <t xml:space="preserve"> * r71 + v77_S</t>
    </r>
    <r>
      <rPr>
        <vertAlign val="subscript"/>
        <sz val="11"/>
        <rFont val="Calibri"/>
        <family val="2"/>
        <scheme val="minor"/>
      </rPr>
      <t>PO4</t>
    </r>
    <r>
      <rPr>
        <sz val="11"/>
        <rFont val="Calibri"/>
        <family val="2"/>
        <scheme val="minor"/>
      </rPr>
      <t xml:space="preserve"> * r77 + v78_S</t>
    </r>
    <r>
      <rPr>
        <vertAlign val="subscript"/>
        <sz val="11"/>
        <rFont val="Calibri"/>
        <family val="2"/>
        <scheme val="minor"/>
      </rPr>
      <t>PO4</t>
    </r>
    <r>
      <rPr>
        <sz val="11"/>
        <rFont val="Calibri"/>
        <family val="2"/>
        <scheme val="minor"/>
      </rPr>
      <t xml:space="preserve"> * r78 + v79_S</t>
    </r>
    <r>
      <rPr>
        <vertAlign val="subscript"/>
        <sz val="11"/>
        <rFont val="Calibri"/>
        <family val="2"/>
        <scheme val="minor"/>
      </rPr>
      <t>PO4</t>
    </r>
    <r>
      <rPr>
        <sz val="11"/>
        <rFont val="Calibri"/>
        <family val="2"/>
        <scheme val="minor"/>
      </rPr>
      <t xml:space="preserve"> * r79</t>
    </r>
  </si>
  <si>
    <t>loss at 105°C</t>
  </si>
  <si>
    <r>
      <t>X</t>
    </r>
    <r>
      <rPr>
        <vertAlign val="subscript"/>
        <sz val="11"/>
        <rFont val="Calibri"/>
        <family val="2"/>
        <scheme val="minor"/>
      </rPr>
      <t>VSS,BIO</t>
    </r>
    <r>
      <rPr>
        <sz val="11"/>
        <rFont val="Calibri"/>
        <family val="2"/>
        <scheme val="minor"/>
      </rPr>
      <t>+X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+X</t>
    </r>
    <r>
      <rPr>
        <vertAlign val="subscript"/>
        <sz val="11"/>
        <rFont val="Calibri"/>
        <family val="2"/>
        <scheme val="minor"/>
      </rPr>
      <t>PHA</t>
    </r>
    <r>
      <rPr>
        <sz val="11"/>
        <rFont val="Calibri"/>
        <family val="2"/>
        <scheme val="minor"/>
      </rPr>
      <t>/i</t>
    </r>
    <r>
      <rPr>
        <vertAlign val="subscript"/>
        <sz val="11"/>
        <rFont val="Calibri"/>
        <family val="2"/>
        <scheme val="minor"/>
      </rPr>
      <t>CV,PHA</t>
    </r>
    <r>
      <rPr>
        <sz val="11"/>
        <rFont val="Calibri"/>
        <family val="2"/>
        <scheme val="minor"/>
      </rPr>
      <t>+X</t>
    </r>
    <r>
      <rPr>
        <vertAlign val="subscript"/>
        <sz val="11"/>
        <rFont val="Calibri"/>
        <family val="2"/>
        <scheme val="minor"/>
      </rPr>
      <t>GLY</t>
    </r>
    <r>
      <rPr>
        <sz val="11"/>
        <rFont val="Calibri"/>
        <family val="2"/>
        <scheme val="minor"/>
      </rPr>
      <t>/i</t>
    </r>
    <r>
      <rPr>
        <vertAlign val="subscript"/>
        <sz val="11"/>
        <rFont val="Calibri"/>
        <family val="2"/>
        <scheme val="minor"/>
      </rPr>
      <t>CV,GLY</t>
    </r>
    <r>
      <rPr>
        <sz val="11"/>
        <rFont val="Calibri"/>
        <family val="2"/>
        <scheme val="minor"/>
      </rPr>
      <t>+X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</si>
  <si>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X</t>
    </r>
    <r>
      <rPr>
        <vertAlign val="subscript"/>
        <sz val="11"/>
        <rFont val="Calibri"/>
        <family val="2"/>
        <scheme val="minor"/>
      </rPr>
      <t>HFO,ISS</t>
    </r>
  </si>
  <si>
    <t>Total HFOs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</si>
  <si>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</si>
  <si>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HAO,ISS</t>
    </r>
  </si>
  <si>
    <t>Total HAOs in ISS unit</t>
  </si>
  <si>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</si>
  <si>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Me,ISS</t>
    </r>
  </si>
  <si>
    <t>Metal precipitates in ISS unit</t>
  </si>
  <si>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</si>
  <si>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</si>
  <si>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</si>
  <si>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Me,ISS</t>
    </r>
    <r>
      <rPr>
        <sz val="11"/>
        <rFont val="Calibri"/>
        <family val="2"/>
        <scheme val="minor"/>
      </rPr>
      <t>+X</t>
    </r>
    <r>
      <rPr>
        <vertAlign val="subscript"/>
        <sz val="11"/>
        <rFont val="Calibri"/>
        <family val="2"/>
        <scheme val="minor"/>
      </rPr>
      <t>precip</t>
    </r>
    <r>
      <rPr>
        <sz val="11"/>
        <rFont val="Calibri"/>
        <family val="2"/>
        <scheme val="minor"/>
      </rPr>
      <t>+X</t>
    </r>
    <r>
      <rPr>
        <vertAlign val="subscript"/>
        <sz val="11"/>
        <rFont val="Calibri"/>
        <family val="2"/>
        <scheme val="minor"/>
      </rPr>
      <t>INORG</t>
    </r>
    <r>
      <rPr>
        <sz val="11"/>
        <rFont val="Calibri"/>
        <family val="2"/>
        <scheme val="minor"/>
      </rPr>
      <t>+i</t>
    </r>
    <r>
      <rPr>
        <vertAlign val="subscript"/>
        <sz val="11"/>
        <rFont val="Calibri"/>
        <family val="2"/>
        <scheme val="minor"/>
      </rPr>
      <t>TSS,PP</t>
    </r>
    <r>
      <rPr>
        <sz val="11"/>
        <rFont val="Calibri"/>
        <family val="2"/>
        <scheme val="minor"/>
      </rPr>
      <t>*X</t>
    </r>
    <r>
      <rPr>
        <vertAlign val="subscript"/>
        <sz val="11"/>
        <rFont val="Calibri"/>
        <family val="2"/>
        <scheme val="minor"/>
      </rPr>
      <t>PP</t>
    </r>
  </si>
  <si>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</si>
  <si>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X</t>
    </r>
    <r>
      <rPr>
        <vertAlign val="subscript"/>
        <sz val="11"/>
        <rFont val="Calibri"/>
        <family val="2"/>
        <scheme val="minor"/>
      </rPr>
      <t>Me,H2O,TSS</t>
    </r>
  </si>
  <si>
    <t>Water associated with metals measured in TSS Test</t>
  </si>
  <si>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</si>
  <si>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</si>
  <si>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Non-Digester; Non-Sidestream</t>
  </si>
  <si>
    <t>Non-pH; Sidestream</t>
  </si>
  <si>
    <r>
      <t>g COD.g COD</t>
    </r>
    <r>
      <rPr>
        <vertAlign val="superscript"/>
        <sz val="11"/>
        <rFont val="Calibri"/>
        <family val="2"/>
        <charset val="238"/>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</si>
  <si>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</si>
  <si>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</si>
  <si>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</si>
  <si>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r>
      <t>g COD.g N</t>
    </r>
    <r>
      <rPr>
        <vertAlign val="superscript"/>
        <sz val="11"/>
        <rFont val="Calibri"/>
        <family val="2"/>
        <scheme val="minor"/>
      </rPr>
      <t>-1</t>
    </r>
  </si>
  <si>
    <r>
      <t>mol NO</t>
    </r>
    <r>
      <rPr>
        <vertAlign val="subscript"/>
        <sz val="11"/>
        <rFont val="Calibri"/>
        <family val="2"/>
        <scheme val="minor"/>
      </rPr>
      <t>2</t>
    </r>
    <r>
      <rPr>
        <sz val="11"/>
        <rFont val="Calibri"/>
        <family val="2"/>
        <scheme val="minor"/>
      </rPr>
      <t>.mol NH</t>
    </r>
    <r>
      <rPr>
        <vertAlign val="subscript"/>
        <sz val="11"/>
        <rFont val="Calibri"/>
        <family val="2"/>
        <scheme val="minor"/>
      </rPr>
      <t>4</t>
    </r>
    <r>
      <rPr>
        <vertAlign val="superscript"/>
        <sz val="11"/>
        <rFont val="Calibri"/>
        <family val="2"/>
        <scheme val="minor"/>
      </rPr>
      <t>-1</t>
    </r>
  </si>
  <si>
    <r>
      <t>mol NO</t>
    </r>
    <r>
      <rPr>
        <vertAlign val="subscript"/>
        <sz val="11"/>
        <rFont val="Calibri"/>
        <family val="2"/>
        <scheme val="minor"/>
      </rPr>
      <t>3</t>
    </r>
    <r>
      <rPr>
        <sz val="11"/>
        <rFont val="Calibri"/>
        <family val="2"/>
        <scheme val="minor"/>
      </rPr>
      <t>.mol NH</t>
    </r>
    <r>
      <rPr>
        <vertAlign val="subscript"/>
        <sz val="11"/>
        <rFont val="Calibri"/>
        <family val="2"/>
        <scheme val="minor"/>
      </rPr>
      <t>4</t>
    </r>
    <r>
      <rPr>
        <vertAlign val="superscript"/>
        <sz val="11"/>
        <rFont val="Calibri"/>
        <family val="2"/>
        <scheme val="minor"/>
      </rPr>
      <t>-1</t>
    </r>
  </si>
  <si>
    <t>NURAMX</t>
  </si>
  <si>
    <t>Ammonia and nitrite uptake rate by Anammox (NURAMX)</t>
  </si>
  <si>
    <r>
      <t>- (v43_S</t>
    </r>
    <r>
      <rPr>
        <vertAlign val="subscript"/>
        <sz val="11"/>
        <rFont val="Calibri"/>
        <family val="2"/>
        <scheme val="minor"/>
      </rPr>
      <t>NHx</t>
    </r>
    <r>
      <rPr>
        <sz val="11"/>
        <rFont val="Calibri"/>
        <family val="2"/>
        <scheme val="minor"/>
      </rPr>
      <t xml:space="preserve"> * r43 + v43_S</t>
    </r>
    <r>
      <rPr>
        <vertAlign val="subscript"/>
        <sz val="11"/>
        <rFont val="Calibri"/>
        <family val="2"/>
        <scheme val="minor"/>
      </rPr>
      <t>NO2</t>
    </r>
    <r>
      <rPr>
        <sz val="11"/>
        <rFont val="Calibri"/>
        <family val="2"/>
        <scheme val="minor"/>
      </rPr>
      <t xml:space="preserve"> * r43)</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</si>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</sst>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 &quot;€&quot;;[Red]\-#,##0.00\ &quot;€&quot;"/>
    <numFmt numFmtId="165" formatCode="0.0"/>
    <numFmt numFmtId="166" formatCode="0.0000"/>
    <numFmt numFmtId="167" formatCode="0.000"/>
    <numFmt numFmtId="168" formatCode="0.000E+00"/>
    <numFmt numFmtId="169" formatCode="0.00000"/>
  </numFmts>
  <fonts count="107" x14ac:knownFonts="1">
    <font>
      <sz val="11"/>
      <color indexed="8"/>
      <name val="Calibri"/>
      <family val="2"/>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bscript"/>
      <sz val="12.65"/>
      <name val="Calibri"/>
      <family val="2"/>
    </font>
    <font>
      <vertAlign val="superscript"/>
      <sz val="11"/>
      <name val="Calibri"/>
      <family val="2"/>
      <charset val="238"/>
      <scheme val="minor"/>
    </font>
    <font>
      <vertAlign val="superscript"/>
      <sz val="11"/>
      <name val="Calibri"/>
      <family val="2"/>
      <charset val="238"/>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b/>
      <sz val="11"/>
      <color rgb="FFC00000"/>
      <name val="Calibri"/>
      <family val="2"/>
      <scheme val="minor"/>
    </font>
    <font>
      <b/>
      <vertAlign val="subscript"/>
      <sz val="11"/>
      <color rgb="FFC00000"/>
      <name val="Calibri"/>
      <family val="2"/>
      <scheme val="minor"/>
    </font>
    <font>
      <sz val="11"/>
      <color rgb="FFC00000"/>
      <name val="Calibri"/>
      <family val="2"/>
      <scheme val="minor"/>
    </font>
    <font>
      <vertAlign val="superscript"/>
      <sz val="11"/>
      <color theme="1"/>
      <name val="Calibri"/>
      <family val="2"/>
      <charset val="238"/>
      <scheme val="minor"/>
    </font>
    <font>
      <vertAlign val="subscript"/>
      <sz val="11"/>
      <color rgb="FF000000"/>
      <name val="Calibri"/>
      <family val="2"/>
      <charset val="238"/>
      <scheme val="minor"/>
    </font>
    <font>
      <vertAlign val="subscript"/>
      <sz val="11"/>
      <color rgb="FF000000"/>
      <name val="Calibri"/>
      <family val="2"/>
      <charset val="238"/>
    </font>
    <font>
      <sz val="11"/>
      <color rgb="FF000000"/>
      <name val="Calibri"/>
      <family val="2"/>
      <charset val="238"/>
    </font>
    <font>
      <sz val="11"/>
      <name val="Calibri"/>
      <family val="2"/>
      <charset val="238"/>
    </font>
    <font>
      <vertAlign val="subscript"/>
      <sz val="9.35"/>
      <name val="Calibri"/>
      <family val="2"/>
      <charset val="238"/>
    </font>
    <font>
      <b/>
      <vertAlign val="subscript"/>
      <sz val="12"/>
      <name val="Calibri"/>
      <family val="2"/>
      <charset val="238"/>
      <scheme val="minor"/>
    </font>
    <font>
      <vertAlign val="subscript"/>
      <sz val="11"/>
      <color rgb="FF000000"/>
      <name val="Calibri"/>
      <family val="2"/>
    </font>
    <font>
      <vertAlign val="subscript"/>
      <sz val="11"/>
      <color indexed="8"/>
      <name val="Calibri"/>
      <family val="2"/>
      <charset val="238"/>
      <scheme val="minor"/>
    </font>
    <font>
      <sz val="11"/>
      <color indexed="8"/>
      <name val="Calibri"/>
      <family val="2"/>
      <charset val="238"/>
      <scheme val="minor"/>
    </font>
    <font>
      <vertAlign val="superscript"/>
      <sz val="11"/>
      <color indexed="8"/>
      <name val="Calibri"/>
      <family val="2"/>
      <charset val="238"/>
      <scheme val="minor"/>
    </font>
    <font>
      <vertAlign val="superscript"/>
      <sz val="11"/>
      <color indexed="8"/>
      <name val="Calibri"/>
      <family val="2"/>
      <charset val="238"/>
    </font>
  </fonts>
  <fills count="42">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indexed="9"/>
        <bgColor indexed="64"/>
      </patternFill>
    </fill>
    <fill>
      <patternFill patternType="solid">
        <fgColor theme="5" tint="0.59999389629810485"/>
        <bgColor indexed="64"/>
      </patternFill>
    </fill>
    <fill>
      <patternFill patternType="solid">
        <fgColor rgb="FFC0C0C0"/>
        <bgColor indexed="64"/>
      </patternFill>
    </fill>
    <fill>
      <patternFill patternType="solid">
        <fgColor indexed="11"/>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B7DEE8"/>
        <bgColor indexed="64"/>
      </patternFill>
    </fill>
    <fill>
      <patternFill patternType="solid">
        <fgColor theme="0" tint="-0.249977111117893"/>
        <bgColor indexed="64"/>
      </patternFill>
    </fill>
  </fills>
  <borders count="236">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indexed="64"/>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23"/>
      </left>
      <right style="thin">
        <color indexed="23"/>
      </right>
      <top/>
      <bottom style="thin">
        <color indexed="23"/>
      </bottom>
      <diagonal/>
    </border>
    <border>
      <left style="thin">
        <color auto="1"/>
      </left>
      <right style="thin">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right style="thin">
        <color indexed="64"/>
      </right>
      <top style="thin">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medium">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medium">
        <color indexed="64"/>
      </right>
      <top style="medium">
        <color auto="1"/>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thin">
        <color indexed="64"/>
      </left>
      <right style="thin">
        <color indexed="64"/>
      </right>
      <top style="thin">
        <color indexed="64"/>
      </top>
      <bottom style="thin">
        <color indexed="64"/>
      </bottom>
      <diagonal/>
    </border>
    <border>
      <left style="medium">
        <color indexed="9"/>
      </left>
      <right style="medium">
        <color indexed="9"/>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medium">
        <color auto="1"/>
      </top>
      <bottom style="medium">
        <color auto="1"/>
      </bottom>
      <diagonal/>
    </border>
    <border>
      <left style="medium">
        <color auto="1"/>
      </left>
      <right style="thin">
        <color indexed="64"/>
      </right>
      <top style="medium">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medium">
        <color auto="1"/>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s>
  <cellStyleXfs count="51">
    <xf numFmtId="0" fontId="0" fillId="0" borderId="0"/>
    <xf numFmtId="0" fontId="28" fillId="0" borderId="0"/>
    <xf numFmtId="0" fontId="45" fillId="0" borderId="0"/>
    <xf numFmtId="0" fontId="27" fillId="0" borderId="0"/>
    <xf numFmtId="0" fontId="52" fillId="0" borderId="0" applyNumberFormat="0" applyFill="0" applyBorder="0" applyAlignment="0" applyProtection="0">
      <alignment vertical="top"/>
      <protection locked="0"/>
    </xf>
    <xf numFmtId="0" fontId="26" fillId="0" borderId="0"/>
    <xf numFmtId="0" fontId="43" fillId="0" borderId="0"/>
    <xf numFmtId="0" fontId="25" fillId="0" borderId="0"/>
    <xf numFmtId="0" fontId="25" fillId="0" borderId="0"/>
    <xf numFmtId="0" fontId="25" fillId="0" borderId="0"/>
    <xf numFmtId="0" fontId="24" fillId="0" borderId="0"/>
    <xf numFmtId="0" fontId="23" fillId="0" borderId="0"/>
    <xf numFmtId="0" fontId="22" fillId="0" borderId="0"/>
    <xf numFmtId="0" fontId="22" fillId="0" borderId="0"/>
    <xf numFmtId="0" fontId="22" fillId="0" borderId="0"/>
    <xf numFmtId="0" fontId="21" fillId="0" borderId="0"/>
    <xf numFmtId="0" fontId="20" fillId="0" borderId="0"/>
    <xf numFmtId="0" fontId="20" fillId="0" borderId="0"/>
    <xf numFmtId="0" fontId="20" fillId="0" borderId="0"/>
    <xf numFmtId="0" fontId="19" fillId="0" borderId="0"/>
    <xf numFmtId="0" fontId="19" fillId="0" borderId="0"/>
    <xf numFmtId="0" fontId="19" fillId="0" borderId="0"/>
    <xf numFmtId="0" fontId="43" fillId="0" borderId="0"/>
    <xf numFmtId="0" fontId="18" fillId="0" borderId="0"/>
    <xf numFmtId="0" fontId="18" fillId="0" borderId="0"/>
    <xf numFmtId="0" fontId="18" fillId="0" borderId="0"/>
    <xf numFmtId="0" fontId="18" fillId="0" borderId="0"/>
    <xf numFmtId="0" fontId="17" fillId="0" borderId="0"/>
    <xf numFmtId="0" fontId="17" fillId="0" borderId="0"/>
    <xf numFmtId="0" fontId="15" fillId="0" borderId="0"/>
    <xf numFmtId="0" fontId="15" fillId="0" borderId="0"/>
    <xf numFmtId="0" fontId="15" fillId="0" borderId="0"/>
    <xf numFmtId="0" fontId="15" fillId="0" borderId="0"/>
    <xf numFmtId="0" fontId="15" fillId="0" borderId="0"/>
    <xf numFmtId="0" fontId="4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7" fillId="0" borderId="0"/>
    <xf numFmtId="0" fontId="7" fillId="0" borderId="0"/>
    <xf numFmtId="0" fontId="4" fillId="0" borderId="0"/>
    <xf numFmtId="0" fontId="4" fillId="0" borderId="0"/>
    <xf numFmtId="0" fontId="3" fillId="0" borderId="0"/>
    <xf numFmtId="0" fontId="3" fillId="0" borderId="0"/>
  </cellStyleXfs>
  <cellXfs count="2559">
    <xf numFmtId="0" fontId="0" fillId="0" borderId="0" xfId="0"/>
    <xf numFmtId="0" fontId="29" fillId="0" borderId="0" xfId="0" applyFont="1"/>
    <xf numFmtId="0" fontId="29"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3" fillId="0" borderId="0" xfId="0" applyFont="1" applyAlignment="1">
      <alignment horizontal="center" vertical="center"/>
    </xf>
    <xf numFmtId="0" fontId="0" fillId="0" borderId="6" xfId="0" applyBorder="1"/>
    <xf numFmtId="0" fontId="0" fillId="0" borderId="0" xfId="0" applyAlignment="1">
      <alignment horizontal="center" vertical="center" wrapText="1"/>
    </xf>
    <xf numFmtId="0" fontId="37" fillId="0" borderId="0" xfId="0" applyFont="1"/>
    <xf numFmtId="0" fontId="0" fillId="0" borderId="0" xfId="0" applyAlignment="1">
      <alignment vertical="top"/>
    </xf>
    <xf numFmtId="0" fontId="0" fillId="2" borderId="0" xfId="0" applyFill="1"/>
    <xf numFmtId="0" fontId="34" fillId="3" borderId="17" xfId="0" applyFont="1" applyFill="1" applyBorder="1"/>
    <xf numFmtId="0" fontId="34" fillId="3" borderId="18" xfId="0" applyFont="1" applyFill="1" applyBorder="1"/>
    <xf numFmtId="0" fontId="34" fillId="3" borderId="19" xfId="0" applyFont="1" applyFill="1" applyBorder="1"/>
    <xf numFmtId="0" fontId="35" fillId="0" borderId="0" xfId="0" applyFont="1" applyAlignment="1">
      <alignment horizontal="left" vertical="center"/>
    </xf>
    <xf numFmtId="0" fontId="35" fillId="0" borderId="31" xfId="0" applyFont="1" applyBorder="1" applyAlignment="1">
      <alignment horizontal="left" vertical="center"/>
    </xf>
    <xf numFmtId="0" fontId="35" fillId="0" borderId="4" xfId="0" applyFont="1" applyBorder="1" applyAlignment="1">
      <alignment horizontal="left" vertical="center"/>
    </xf>
    <xf numFmtId="0" fontId="35" fillId="0" borderId="18" xfId="0" applyFont="1" applyBorder="1" applyAlignment="1">
      <alignment horizontal="left" vertical="center"/>
    </xf>
    <xf numFmtId="0" fontId="35" fillId="0" borderId="29" xfId="0" applyFont="1" applyBorder="1" applyAlignment="1">
      <alignment horizontal="left" vertical="center"/>
    </xf>
    <xf numFmtId="0" fontId="35" fillId="0" borderId="28" xfId="0" applyFont="1" applyBorder="1" applyAlignment="1">
      <alignment horizontal="left" vertical="center"/>
    </xf>
    <xf numFmtId="0" fontId="35" fillId="0" borderId="0" xfId="1" applyFont="1"/>
    <xf numFmtId="0" fontId="28" fillId="0" borderId="0" xfId="1"/>
    <xf numFmtId="0" fontId="44" fillId="4" borderId="2" xfId="1" applyFont="1" applyFill="1" applyBorder="1"/>
    <xf numFmtId="0" fontId="35" fillId="4" borderId="12" xfId="1" applyFont="1" applyFill="1" applyBorder="1" applyAlignment="1">
      <alignment horizontal="center" vertical="center"/>
    </xf>
    <xf numFmtId="0" fontId="35" fillId="4" borderId="3" xfId="1" applyFont="1" applyFill="1" applyBorder="1" applyAlignment="1">
      <alignment horizontal="center" vertical="center"/>
    </xf>
    <xf numFmtId="0" fontId="35" fillId="4" borderId="2" xfId="1" applyFont="1" applyFill="1" applyBorder="1"/>
    <xf numFmtId="0" fontId="28" fillId="4" borderId="12" xfId="1" applyFill="1" applyBorder="1" applyAlignment="1">
      <alignment horizontal="center" vertical="center"/>
    </xf>
    <xf numFmtId="0" fontId="28" fillId="4" borderId="3" xfId="1" applyFill="1" applyBorder="1" applyAlignment="1">
      <alignment horizontal="center" vertical="center"/>
    </xf>
    <xf numFmtId="0" fontId="28" fillId="0" borderId="0" xfId="1" applyAlignment="1">
      <alignment horizontal="center" vertical="center"/>
    </xf>
    <xf numFmtId="0" fontId="35" fillId="4" borderId="32" xfId="1" applyFont="1" applyFill="1" applyBorder="1"/>
    <xf numFmtId="0" fontId="28" fillId="4" borderId="0" xfId="1" applyFill="1" applyAlignment="1">
      <alignment horizontal="center" vertical="center"/>
    </xf>
    <xf numFmtId="0" fontId="28" fillId="4" borderId="21" xfId="1" applyFill="1" applyBorder="1" applyAlignment="1">
      <alignment horizontal="center" vertical="center"/>
    </xf>
    <xf numFmtId="0" fontId="35" fillId="4" borderId="33" xfId="1" applyFont="1" applyFill="1" applyBorder="1"/>
    <xf numFmtId="0" fontId="28" fillId="4" borderId="23" xfId="1" applyFill="1" applyBorder="1" applyAlignment="1">
      <alignment horizontal="center" vertical="center"/>
    </xf>
    <xf numFmtId="0" fontId="28" fillId="4" borderId="24" xfId="1" applyFill="1" applyBorder="1" applyAlignment="1">
      <alignment horizontal="center" vertical="center"/>
    </xf>
    <xf numFmtId="0" fontId="28" fillId="4" borderId="4" xfId="1" applyFill="1" applyBorder="1" applyAlignment="1">
      <alignment horizontal="center" vertical="center"/>
    </xf>
    <xf numFmtId="0" fontId="28" fillId="4" borderId="33" xfId="1" applyFill="1" applyBorder="1" applyAlignment="1">
      <alignment horizontal="center" vertical="center"/>
    </xf>
    <xf numFmtId="0" fontId="35" fillId="4" borderId="4" xfId="1" applyFont="1" applyFill="1" applyBorder="1"/>
    <xf numFmtId="0" fontId="28" fillId="4" borderId="28" xfId="1" applyFill="1" applyBorder="1" applyAlignment="1">
      <alignment horizontal="center" vertical="center"/>
    </xf>
    <xf numFmtId="11" fontId="28" fillId="4" borderId="23" xfId="1" applyNumberFormat="1" applyFill="1" applyBorder="1" applyAlignment="1">
      <alignment horizontal="center" vertical="center"/>
    </xf>
    <xf numFmtId="0" fontId="28" fillId="4" borderId="35" xfId="1" applyFill="1" applyBorder="1" applyAlignment="1">
      <alignment horizontal="center" vertical="center"/>
    </xf>
    <xf numFmtId="0" fontId="47" fillId="0" borderId="15" xfId="2" applyFont="1" applyBorder="1" applyAlignment="1">
      <alignment horizontal="left" vertical="center" wrapText="1"/>
    </xf>
    <xf numFmtId="0" fontId="47" fillId="0" borderId="15" xfId="2" applyFont="1" applyBorder="1" applyAlignment="1">
      <alignment horizontal="center" vertical="center" wrapText="1"/>
    </xf>
    <xf numFmtId="0" fontId="0" fillId="0" borderId="15" xfId="0" applyBorder="1" applyAlignment="1">
      <alignment horizontal="center" vertical="center" wrapText="1"/>
    </xf>
    <xf numFmtId="0" fontId="43" fillId="0" borderId="15" xfId="0" applyFont="1" applyBorder="1" applyAlignment="1">
      <alignment horizontal="center" vertical="center"/>
    </xf>
    <xf numFmtId="0" fontId="49" fillId="0" borderId="0" xfId="0" applyFont="1" applyAlignment="1">
      <alignment vertical="center"/>
    </xf>
    <xf numFmtId="0" fontId="49" fillId="0" borderId="0" xfId="0" applyFont="1"/>
    <xf numFmtId="0" fontId="0" fillId="6" borderId="0" xfId="0" applyFill="1"/>
    <xf numFmtId="0" fontId="33" fillId="6" borderId="0" xfId="0" applyFont="1" applyFill="1" applyAlignment="1">
      <alignment horizontal="center" vertical="center" wrapText="1"/>
    </xf>
    <xf numFmtId="0" fontId="39" fillId="6" borderId="0" xfId="0" applyFont="1" applyFill="1" applyAlignment="1">
      <alignment horizontal="center" vertical="center" wrapText="1"/>
    </xf>
    <xf numFmtId="0" fontId="33" fillId="6" borderId="0" xfId="0" applyFont="1" applyFill="1" applyAlignment="1">
      <alignment horizontal="center" vertical="center"/>
    </xf>
    <xf numFmtId="0" fontId="32" fillId="6" borderId="0" xfId="0" applyFont="1" applyFill="1" applyAlignment="1">
      <alignment horizontal="center" vertical="center"/>
    </xf>
    <xf numFmtId="0" fontId="40" fillId="7" borderId="0" xfId="0" applyFont="1" applyFill="1"/>
    <xf numFmtId="0" fontId="0" fillId="7" borderId="0" xfId="0" applyFill="1"/>
    <xf numFmtId="0" fontId="29" fillId="7" borderId="4" xfId="0" applyFont="1" applyFill="1" applyBorder="1" applyAlignment="1">
      <alignment horizontal="center" vertical="center"/>
    </xf>
    <xf numFmtId="0" fontId="29" fillId="7" borderId="34" xfId="0" applyFont="1" applyFill="1" applyBorder="1" applyAlignment="1">
      <alignment horizontal="center" vertical="center" wrapText="1"/>
    </xf>
    <xf numFmtId="0" fontId="35" fillId="7" borderId="31" xfId="0" applyFont="1" applyFill="1" applyBorder="1" applyAlignment="1">
      <alignment horizontal="left" vertical="center"/>
    </xf>
    <xf numFmtId="0" fontId="35" fillId="7" borderId="4" xfId="0" applyFont="1" applyFill="1" applyBorder="1" applyAlignment="1">
      <alignment horizontal="left" vertical="center"/>
    </xf>
    <xf numFmtId="0" fontId="35" fillId="7" borderId="18" xfId="0" applyFont="1" applyFill="1" applyBorder="1" applyAlignment="1">
      <alignment horizontal="left" vertical="center"/>
    </xf>
    <xf numFmtId="0" fontId="35" fillId="7" borderId="29" xfId="0" applyFont="1" applyFill="1" applyBorder="1" applyAlignment="1">
      <alignment horizontal="left" vertical="center"/>
    </xf>
    <xf numFmtId="0" fontId="35" fillId="7" borderId="28" xfId="0" applyFont="1" applyFill="1" applyBorder="1" applyAlignment="1">
      <alignment horizontal="left" vertical="center"/>
    </xf>
    <xf numFmtId="0" fontId="35" fillId="7" borderId="25" xfId="0" applyFont="1" applyFill="1" applyBorder="1" applyAlignment="1">
      <alignment horizontal="left" vertical="center" wrapText="1"/>
    </xf>
    <xf numFmtId="0" fontId="35" fillId="7" borderId="0" xfId="0" applyFont="1" applyFill="1" applyAlignment="1">
      <alignment horizontal="left" vertical="center"/>
    </xf>
    <xf numFmtId="0" fontId="29" fillId="7" borderId="5" xfId="0" applyFont="1" applyFill="1" applyBorder="1" applyAlignment="1">
      <alignment vertical="top" wrapText="1"/>
    </xf>
    <xf numFmtId="0" fontId="35" fillId="7" borderId="26" xfId="0" applyFont="1" applyFill="1" applyBorder="1" applyAlignment="1">
      <alignment horizontal="left" vertical="center"/>
    </xf>
    <xf numFmtId="0" fontId="35" fillId="7" borderId="2" xfId="0" applyFont="1" applyFill="1" applyBorder="1" applyAlignment="1">
      <alignment horizontal="left" vertical="center"/>
    </xf>
    <xf numFmtId="0" fontId="35" fillId="7" borderId="3" xfId="0" applyFont="1" applyFill="1" applyBorder="1" applyAlignment="1">
      <alignment horizontal="left" vertical="center"/>
    </xf>
    <xf numFmtId="0" fontId="35" fillId="7" borderId="12" xfId="0" applyFont="1" applyFill="1" applyBorder="1" applyAlignment="1">
      <alignment horizontal="left" vertical="center"/>
    </xf>
    <xf numFmtId="0" fontId="35" fillId="7" borderId="16" xfId="0" applyFont="1" applyFill="1" applyBorder="1" applyAlignment="1">
      <alignment horizontal="left" vertical="center"/>
    </xf>
    <xf numFmtId="0" fontId="0" fillId="0" borderId="0" xfId="0" applyAlignment="1">
      <alignment horizontal="left"/>
    </xf>
    <xf numFmtId="0" fontId="29" fillId="7" borderId="28" xfId="0" applyFont="1" applyFill="1" applyBorder="1" applyAlignment="1">
      <alignment horizontal="center" vertical="center" wrapText="1"/>
    </xf>
    <xf numFmtId="0" fontId="29" fillId="0" borderId="0" xfId="0" applyFont="1" applyAlignment="1">
      <alignment horizontal="center" vertical="center"/>
    </xf>
    <xf numFmtId="0" fontId="0" fillId="6" borderId="0" xfId="0" applyFill="1" applyAlignment="1">
      <alignment horizontal="left"/>
    </xf>
    <xf numFmtId="0" fontId="49" fillId="0" borderId="6" xfId="0" applyFont="1" applyBorder="1"/>
    <xf numFmtId="0" fontId="49" fillId="0" borderId="6" xfId="0" applyFont="1" applyBorder="1" applyAlignment="1">
      <alignment wrapText="1"/>
    </xf>
    <xf numFmtId="0" fontId="50" fillId="6" borderId="0" xfId="0" applyFont="1" applyFill="1"/>
    <xf numFmtId="0" fontId="29" fillId="7" borderId="27" xfId="0" applyFont="1" applyFill="1" applyBorder="1" applyAlignment="1">
      <alignment horizontal="center" vertical="center" wrapText="1"/>
    </xf>
    <xf numFmtId="0" fontId="49" fillId="0" borderId="6" xfId="0" applyFont="1" applyBorder="1" applyAlignment="1">
      <alignment vertical="center"/>
    </xf>
    <xf numFmtId="0" fontId="35" fillId="0" borderId="0" xfId="3" applyFont="1" applyAlignment="1">
      <alignment horizontal="center" vertical="center" wrapText="1"/>
    </xf>
    <xf numFmtId="0" fontId="46" fillId="6" borderId="0" xfId="0" applyFont="1" applyFill="1"/>
    <xf numFmtId="0" fontId="46" fillId="0" borderId="0" xfId="0" applyFont="1"/>
    <xf numFmtId="0" fontId="49" fillId="0" borderId="6" xfId="0" applyFont="1" applyBorder="1" applyAlignment="1">
      <alignment horizontal="left" vertical="center"/>
    </xf>
    <xf numFmtId="11" fontId="49" fillId="0" borderId="15" xfId="0" applyNumberFormat="1" applyFont="1" applyBorder="1" applyAlignment="1">
      <alignment horizontal="center" vertical="center"/>
    </xf>
    <xf numFmtId="0" fontId="46" fillId="0" borderId="6" xfId="0" applyFont="1" applyBorder="1"/>
    <xf numFmtId="0" fontId="46" fillId="0" borderId="8" xfId="0" applyFont="1" applyBorder="1"/>
    <xf numFmtId="0" fontId="46" fillId="0" borderId="11" xfId="0" applyFont="1" applyBorder="1"/>
    <xf numFmtId="0" fontId="49" fillId="0" borderId="15" xfId="0" applyFont="1" applyBorder="1" applyAlignment="1">
      <alignment horizontal="center" vertical="center"/>
    </xf>
    <xf numFmtId="0" fontId="46" fillId="0" borderId="38" xfId="0" applyFont="1" applyBorder="1"/>
    <xf numFmtId="0" fontId="49" fillId="0" borderId="15" xfId="0" applyFont="1" applyBorder="1" applyAlignment="1">
      <alignment horizontal="left" vertical="center"/>
    </xf>
    <xf numFmtId="0" fontId="49" fillId="0" borderId="38" xfId="0" applyFont="1" applyBorder="1" applyAlignment="1">
      <alignment horizontal="center" vertical="center"/>
    </xf>
    <xf numFmtId="0" fontId="48" fillId="0" borderId="7" xfId="0" applyFont="1" applyBorder="1" applyAlignment="1">
      <alignment horizontal="center" vertical="center"/>
    </xf>
    <xf numFmtId="0" fontId="49" fillId="0" borderId="6" xfId="0" applyFont="1" applyBorder="1" applyAlignment="1">
      <alignment horizontal="center" vertical="center"/>
    </xf>
    <xf numFmtId="0" fontId="49" fillId="0" borderId="8" xfId="0" applyFont="1" applyBorder="1" applyAlignment="1">
      <alignment horizontal="center" vertical="center"/>
    </xf>
    <xf numFmtId="0" fontId="48" fillId="0" borderId="7" xfId="0" applyFont="1" applyBorder="1" applyAlignment="1">
      <alignment horizontal="center" vertical="center" wrapText="1"/>
    </xf>
    <xf numFmtId="0" fontId="48" fillId="0" borderId="9" xfId="0" applyFont="1" applyBorder="1" applyAlignment="1">
      <alignment horizontal="center" vertical="center" wrapText="1"/>
    </xf>
    <xf numFmtId="0" fontId="46" fillId="0" borderId="10" xfId="0" applyFont="1" applyBorder="1"/>
    <xf numFmtId="0" fontId="49" fillId="0" borderId="10" xfId="0" applyFont="1" applyBorder="1" applyAlignment="1">
      <alignment horizontal="center" vertical="center"/>
    </xf>
    <xf numFmtId="0" fontId="46" fillId="0" borderId="6" xfId="0" applyFont="1" applyBorder="1" applyAlignment="1">
      <alignment horizontal="center"/>
    </xf>
    <xf numFmtId="0" fontId="46" fillId="0" borderId="10" xfId="0" applyFont="1" applyBorder="1" applyAlignment="1">
      <alignment horizontal="center"/>
    </xf>
    <xf numFmtId="0" fontId="46" fillId="0" borderId="15" xfId="0" applyFont="1" applyBorder="1"/>
    <xf numFmtId="0" fontId="29" fillId="6" borderId="0" xfId="0" applyFont="1" applyFill="1" applyAlignment="1">
      <alignment horizontal="center" vertical="center" wrapText="1"/>
    </xf>
    <xf numFmtId="0" fontId="56" fillId="6" borderId="0" xfId="0" applyFont="1" applyFill="1" applyAlignment="1">
      <alignment horizontal="center" vertical="center" wrapText="1"/>
    </xf>
    <xf numFmtId="0" fontId="53" fillId="6" borderId="0" xfId="0" applyFont="1" applyFill="1" applyAlignment="1">
      <alignment horizontal="center" vertical="center"/>
    </xf>
    <xf numFmtId="0" fontId="56" fillId="0" borderId="0" xfId="0" applyFont="1" applyAlignment="1">
      <alignment horizontal="center" vertical="center"/>
    </xf>
    <xf numFmtId="0" fontId="53" fillId="0" borderId="0" xfId="0" applyFont="1" applyAlignment="1">
      <alignment horizontal="center" vertical="center"/>
    </xf>
    <xf numFmtId="0" fontId="53" fillId="12" borderId="6" xfId="0" applyFont="1" applyFill="1" applyBorder="1" applyAlignment="1">
      <alignment horizontal="left" vertical="center"/>
    </xf>
    <xf numFmtId="0" fontId="53" fillId="9" borderId="6" xfId="0" applyFont="1" applyFill="1" applyBorder="1" applyAlignment="1">
      <alignment horizontal="center" vertical="center" wrapText="1"/>
    </xf>
    <xf numFmtId="0" fontId="53" fillId="9" borderId="6" xfId="0" applyFont="1" applyFill="1" applyBorder="1" applyAlignment="1">
      <alignment horizontal="left" vertical="center" wrapText="1"/>
    </xf>
    <xf numFmtId="165" fontId="53" fillId="9" borderId="6" xfId="0" applyNumberFormat="1" applyFont="1" applyFill="1" applyBorder="1" applyAlignment="1">
      <alignment horizontal="center" vertical="center" wrapText="1"/>
    </xf>
    <xf numFmtId="167" fontId="53" fillId="9" borderId="6" xfId="0" applyNumberFormat="1" applyFont="1" applyFill="1" applyBorder="1" applyAlignment="1">
      <alignment horizontal="center" vertical="center" wrapText="1"/>
    </xf>
    <xf numFmtId="2" fontId="53" fillId="9" borderId="6" xfId="0" applyNumberFormat="1" applyFont="1" applyFill="1" applyBorder="1" applyAlignment="1">
      <alignment horizontal="center" vertical="center" wrapText="1"/>
    </xf>
    <xf numFmtId="0" fontId="53" fillId="9" borderId="6" xfId="0" quotePrefix="1" applyFont="1" applyFill="1" applyBorder="1" applyAlignment="1">
      <alignment horizontal="center" vertical="center" wrapText="1"/>
    </xf>
    <xf numFmtId="166" fontId="53" fillId="9" borderId="6" xfId="0" applyNumberFormat="1" applyFont="1" applyFill="1" applyBorder="1" applyAlignment="1">
      <alignment horizontal="center" vertical="center" wrapText="1"/>
    </xf>
    <xf numFmtId="0" fontId="53" fillId="0" borderId="0" xfId="0" applyFont="1" applyAlignment="1">
      <alignment horizontal="left" vertical="center"/>
    </xf>
    <xf numFmtId="0" fontId="49" fillId="0" borderId="11" xfId="0" applyFont="1" applyBorder="1" applyAlignment="1">
      <alignment horizontal="center" vertical="center" wrapText="1"/>
    </xf>
    <xf numFmtId="0" fontId="56" fillId="7" borderId="44" xfId="0" applyFont="1" applyFill="1" applyBorder="1" applyAlignment="1">
      <alignment horizontal="center" vertical="center" wrapText="1"/>
    </xf>
    <xf numFmtId="0" fontId="46" fillId="0" borderId="0" xfId="0" applyFont="1" applyAlignment="1">
      <alignment horizontal="center" vertical="center"/>
    </xf>
    <xf numFmtId="0" fontId="53" fillId="0" borderId="0" xfId="0" applyFont="1"/>
    <xf numFmtId="0" fontId="56" fillId="7" borderId="41" xfId="0" applyFont="1" applyFill="1" applyBorder="1" applyAlignment="1">
      <alignment horizontal="center" vertical="center" wrapText="1"/>
    </xf>
    <xf numFmtId="0" fontId="0" fillId="6" borderId="0" xfId="0" applyFill="1" applyAlignment="1">
      <alignment horizontal="left" vertical="center"/>
    </xf>
    <xf numFmtId="0" fontId="40" fillId="0" borderId="0" xfId="0" applyFont="1"/>
    <xf numFmtId="0" fontId="0" fillId="0" borderId="0" xfId="0" quotePrefix="1" applyAlignment="1">
      <alignment horizontal="right"/>
    </xf>
    <xf numFmtId="0" fontId="41" fillId="0" borderId="0" xfId="0" quotePrefix="1" applyFont="1"/>
    <xf numFmtId="0" fontId="30" fillId="0" borderId="0" xfId="0" applyFont="1"/>
    <xf numFmtId="0" fontId="0" fillId="0" borderId="14" xfId="0" applyBorder="1"/>
    <xf numFmtId="0" fontId="0" fillId="0" borderId="15" xfId="0" applyBorder="1"/>
    <xf numFmtId="0" fontId="34" fillId="0" borderId="0" xfId="0" applyFont="1"/>
    <xf numFmtId="0" fontId="38" fillId="0" borderId="0" xfId="0" applyFont="1"/>
    <xf numFmtId="0" fontId="57" fillId="7" borderId="51" xfId="0" applyFont="1" applyFill="1" applyBorder="1" applyAlignment="1">
      <alignment horizontal="center" vertical="center" wrapText="1"/>
    </xf>
    <xf numFmtId="0" fontId="57" fillId="7" borderId="47" xfId="0" applyFont="1" applyFill="1" applyBorder="1" applyAlignment="1">
      <alignment horizontal="center" vertical="center" wrapText="1"/>
    </xf>
    <xf numFmtId="0" fontId="29" fillId="0" borderId="0" xfId="0" applyFont="1" applyAlignment="1">
      <alignment vertical="top" wrapText="1"/>
    </xf>
    <xf numFmtId="0" fontId="57" fillId="7" borderId="47" xfId="0" applyFont="1" applyFill="1" applyBorder="1" applyAlignment="1">
      <alignment horizontal="center" vertical="center"/>
    </xf>
    <xf numFmtId="0" fontId="43" fillId="0" borderId="0" xfId="22"/>
    <xf numFmtId="0" fontId="46" fillId="0" borderId="0" xfId="0" applyFont="1" applyAlignment="1">
      <alignment horizontal="center" vertical="center" wrapText="1"/>
    </xf>
    <xf numFmtId="0" fontId="48" fillId="7" borderId="31" xfId="0" applyFont="1" applyFill="1" applyBorder="1" applyAlignment="1">
      <alignment horizontal="center" vertical="center" wrapText="1"/>
    </xf>
    <xf numFmtId="0" fontId="49" fillId="0" borderId="37" xfId="0" applyFont="1" applyBorder="1" applyAlignment="1">
      <alignment horizontal="left" vertical="center"/>
    </xf>
    <xf numFmtId="0" fontId="49" fillId="11" borderId="6" xfId="0" applyFont="1" applyFill="1" applyBorder="1" applyAlignment="1">
      <alignment horizontal="center" vertical="center" wrapText="1"/>
    </xf>
    <xf numFmtId="0" fontId="53" fillId="0" borderId="0" xfId="0" applyFont="1" applyAlignment="1">
      <alignment horizontal="left"/>
    </xf>
    <xf numFmtId="0" fontId="49" fillId="0" borderId="0" xfId="0" applyFont="1" applyAlignment="1">
      <alignment horizontal="left" vertical="center"/>
    </xf>
    <xf numFmtId="165" fontId="49" fillId="0" borderId="0" xfId="0" applyNumberFormat="1" applyFont="1" applyAlignment="1">
      <alignment horizontal="center" vertical="center" wrapText="1"/>
    </xf>
    <xf numFmtId="0" fontId="49" fillId="0" borderId="0" xfId="0" applyFont="1" applyAlignment="1">
      <alignment horizontal="center" vertical="center" wrapText="1"/>
    </xf>
    <xf numFmtId="0" fontId="53" fillId="6" borderId="0" xfId="0" applyFont="1" applyFill="1" applyAlignment="1">
      <alignment horizontal="left" vertical="center"/>
    </xf>
    <xf numFmtId="0" fontId="56" fillId="7" borderId="34" xfId="0" applyFont="1" applyFill="1" applyBorder="1" applyAlignment="1">
      <alignment horizontal="left" vertical="center" wrapText="1"/>
    </xf>
    <xf numFmtId="0" fontId="49" fillId="0" borderId="0" xfId="0" applyFont="1" applyAlignment="1">
      <alignment horizontal="left" vertical="center" wrapText="1"/>
    </xf>
    <xf numFmtId="0" fontId="56" fillId="7" borderId="44" xfId="0" applyFont="1" applyFill="1" applyBorder="1" applyAlignment="1">
      <alignment horizontal="left" vertical="center" wrapText="1"/>
    </xf>
    <xf numFmtId="0" fontId="57" fillId="7" borderId="47" xfId="0" applyFont="1" applyFill="1" applyBorder="1" applyAlignment="1">
      <alignment horizontal="left" vertical="center" wrapText="1"/>
    </xf>
    <xf numFmtId="0" fontId="57" fillId="7" borderId="51" xfId="0" applyFont="1" applyFill="1" applyBorder="1" applyAlignment="1">
      <alignment horizontal="left" vertical="center" wrapText="1"/>
    </xf>
    <xf numFmtId="0" fontId="56" fillId="7" borderId="40" xfId="0" applyFont="1" applyFill="1" applyBorder="1" applyAlignment="1">
      <alignment horizontal="left" vertical="center" wrapText="1"/>
    </xf>
    <xf numFmtId="0" fontId="56" fillId="7" borderId="42" xfId="0" applyFont="1" applyFill="1" applyBorder="1" applyAlignment="1">
      <alignment horizontal="left" vertical="center" wrapText="1"/>
    </xf>
    <xf numFmtId="0" fontId="53" fillId="8" borderId="7" xfId="0" applyFont="1" applyFill="1" applyBorder="1" applyAlignment="1">
      <alignment horizontal="left" vertical="center"/>
    </xf>
    <xf numFmtId="0" fontId="53" fillId="12" borderId="7" xfId="0" applyFont="1" applyFill="1" applyBorder="1" applyAlignment="1">
      <alignment horizontal="left" vertical="center"/>
    </xf>
    <xf numFmtId="0" fontId="49" fillId="11" borderId="7" xfId="0" applyFont="1" applyFill="1" applyBorder="1" applyAlignment="1">
      <alignment horizontal="left" vertical="center"/>
    </xf>
    <xf numFmtId="0" fontId="0" fillId="6" borderId="0" xfId="0" applyFill="1" applyAlignment="1">
      <alignment horizontal="center"/>
    </xf>
    <xf numFmtId="0" fontId="53" fillId="0" borderId="0" xfId="0" applyFont="1" applyAlignment="1">
      <alignment horizontal="center"/>
    </xf>
    <xf numFmtId="0" fontId="0" fillId="0" borderId="0" xfId="0" applyAlignment="1">
      <alignment horizontal="center"/>
    </xf>
    <xf numFmtId="0" fontId="48" fillId="0" borderId="37" xfId="0" applyFont="1" applyBorder="1" applyAlignment="1">
      <alignment horizontal="center" vertical="center"/>
    </xf>
    <xf numFmtId="0" fontId="22" fillId="0" borderId="0" xfId="12"/>
    <xf numFmtId="0" fontId="57" fillId="13" borderId="41" xfId="12" applyFont="1" applyFill="1" applyBorder="1"/>
    <xf numFmtId="0" fontId="57" fillId="13" borderId="46" xfId="12" applyFont="1" applyFill="1" applyBorder="1" applyAlignment="1">
      <alignment horizontal="center"/>
    </xf>
    <xf numFmtId="0" fontId="57" fillId="13" borderId="47" xfId="12" applyFont="1" applyFill="1" applyBorder="1" applyAlignment="1">
      <alignment horizontal="center" vertical="top" wrapText="1"/>
    </xf>
    <xf numFmtId="0" fontId="57" fillId="13" borderId="47" xfId="12" applyFont="1" applyFill="1" applyBorder="1" applyAlignment="1">
      <alignment horizontal="center" vertical="center" wrapText="1"/>
    </xf>
    <xf numFmtId="0" fontId="57" fillId="13" borderId="48" xfId="12" applyFont="1" applyFill="1" applyBorder="1" applyAlignment="1">
      <alignment horizontal="center" vertical="top" wrapText="1"/>
    </xf>
    <xf numFmtId="0" fontId="46" fillId="0" borderId="37" xfId="0" applyFont="1" applyBorder="1"/>
    <xf numFmtId="0" fontId="46" fillId="0" borderId="15" xfId="0" applyFont="1" applyBorder="1" applyAlignment="1">
      <alignment horizontal="center"/>
    </xf>
    <xf numFmtId="0" fontId="49" fillId="0" borderId="0" xfId="0" applyFont="1" applyAlignment="1">
      <alignment horizontal="left"/>
    </xf>
    <xf numFmtId="0" fontId="49" fillId="0" borderId="0" xfId="0" applyFont="1" applyAlignment="1">
      <alignment horizontal="center"/>
    </xf>
    <xf numFmtId="0" fontId="49" fillId="0" borderId="0" xfId="0" quotePrefix="1" applyFont="1" applyAlignment="1">
      <alignment horizontal="center"/>
    </xf>
    <xf numFmtId="11" fontId="49" fillId="0" borderId="0" xfId="0" applyNumberFormat="1" applyFont="1" applyAlignment="1">
      <alignment horizontal="center"/>
    </xf>
    <xf numFmtId="0" fontId="46" fillId="0" borderId="0" xfId="22" applyFont="1"/>
    <xf numFmtId="0" fontId="43" fillId="0" borderId="0" xfId="6"/>
    <xf numFmtId="0" fontId="46" fillId="0" borderId="30" xfId="6" applyFont="1" applyBorder="1"/>
    <xf numFmtId="0" fontId="46" fillId="0" borderId="36" xfId="6" applyFont="1" applyBorder="1"/>
    <xf numFmtId="0" fontId="46" fillId="0" borderId="36" xfId="6" applyFont="1" applyBorder="1" applyAlignment="1">
      <alignment horizontal="center"/>
    </xf>
    <xf numFmtId="0" fontId="46" fillId="0" borderId="39" xfId="6" applyFont="1" applyBorder="1"/>
    <xf numFmtId="0" fontId="16" fillId="0" borderId="0" xfId="12" applyFont="1"/>
    <xf numFmtId="0" fontId="49" fillId="8" borderId="7" xfId="0" applyFont="1" applyFill="1" applyBorder="1" applyAlignment="1">
      <alignment horizontal="left" vertical="center"/>
    </xf>
    <xf numFmtId="165" fontId="49" fillId="8" borderId="6" xfId="0" applyNumberFormat="1" applyFont="1" applyFill="1" applyBorder="1" applyAlignment="1">
      <alignment horizontal="center" vertical="center" wrapText="1"/>
    </xf>
    <xf numFmtId="0" fontId="49" fillId="8" borderId="6" xfId="0" applyFont="1" applyFill="1" applyBorder="1" applyAlignment="1">
      <alignment horizontal="center" vertical="center" wrapText="1"/>
    </xf>
    <xf numFmtId="2" fontId="49" fillId="8" borderId="6" xfId="0" applyNumberFormat="1" applyFont="1" applyFill="1" applyBorder="1" applyAlignment="1">
      <alignment horizontal="center" vertical="center" wrapText="1"/>
    </xf>
    <xf numFmtId="0" fontId="49" fillId="10" borderId="7" xfId="0" applyFont="1" applyFill="1" applyBorder="1" applyAlignment="1">
      <alignment horizontal="left" vertical="center"/>
    </xf>
    <xf numFmtId="0" fontId="49" fillId="10" borderId="6" xfId="0" applyFont="1" applyFill="1" applyBorder="1" applyAlignment="1">
      <alignment horizontal="center" vertical="center" wrapText="1"/>
    </xf>
    <xf numFmtId="0" fontId="49" fillId="12" borderId="7" xfId="0" applyFont="1" applyFill="1" applyBorder="1" applyAlignment="1">
      <alignment horizontal="left" vertical="center"/>
    </xf>
    <xf numFmtId="0" fontId="49" fillId="12" borderId="6" xfId="0" applyFont="1" applyFill="1" applyBorder="1" applyAlignment="1">
      <alignment horizontal="left" vertical="center"/>
    </xf>
    <xf numFmtId="0" fontId="49" fillId="12" borderId="6" xfId="0" applyFont="1" applyFill="1" applyBorder="1" applyAlignment="1">
      <alignment horizontal="center" vertical="center"/>
    </xf>
    <xf numFmtId="0" fontId="49" fillId="12" borderId="10" xfId="0" applyFont="1" applyFill="1" applyBorder="1" applyAlignment="1">
      <alignment horizontal="left" vertical="center"/>
    </xf>
    <xf numFmtId="0" fontId="49" fillId="12" borderId="10" xfId="0" applyFont="1" applyFill="1" applyBorder="1" applyAlignment="1">
      <alignment horizontal="center" vertical="center"/>
    </xf>
    <xf numFmtId="0" fontId="44" fillId="0" borderId="0" xfId="0" applyFont="1" applyAlignment="1">
      <alignment horizontal="center" vertical="center"/>
    </xf>
    <xf numFmtId="0" fontId="49" fillId="15" borderId="6" xfId="0" applyFont="1" applyFill="1" applyBorder="1" applyAlignment="1">
      <alignment horizontal="center" vertical="center" wrapText="1"/>
    </xf>
    <xf numFmtId="0" fontId="49" fillId="12" borderId="8" xfId="0" applyFont="1" applyFill="1" applyBorder="1" applyAlignment="1">
      <alignment horizontal="left" vertical="center"/>
    </xf>
    <xf numFmtId="0" fontId="49" fillId="12" borderId="11" xfId="0" applyFont="1" applyFill="1" applyBorder="1" applyAlignment="1">
      <alignment horizontal="left" vertical="center"/>
    </xf>
    <xf numFmtId="0" fontId="56" fillId="0" borderId="0" xfId="0" applyFont="1"/>
    <xf numFmtId="0" fontId="53" fillId="10" borderId="6" xfId="0" applyFont="1" applyFill="1" applyBorder="1" applyAlignment="1">
      <alignment horizontal="left" vertical="center" wrapText="1"/>
    </xf>
    <xf numFmtId="0" fontId="53" fillId="10" borderId="6" xfId="0" applyFont="1" applyFill="1" applyBorder="1" applyAlignment="1">
      <alignment horizontal="center" vertical="center" wrapText="1"/>
    </xf>
    <xf numFmtId="0" fontId="49" fillId="12" borderId="69" xfId="0" applyFont="1" applyFill="1" applyBorder="1" applyAlignment="1">
      <alignment horizontal="center" vertical="center"/>
    </xf>
    <xf numFmtId="0" fontId="49" fillId="15" borderId="69" xfId="0" applyFont="1" applyFill="1" applyBorder="1" applyAlignment="1">
      <alignment horizontal="center" vertical="center" wrapText="1"/>
    </xf>
    <xf numFmtId="0" fontId="49" fillId="15" borderId="6" xfId="0" applyFont="1" applyFill="1" applyBorder="1" applyAlignment="1">
      <alignment horizontal="center" vertical="center"/>
    </xf>
    <xf numFmtId="0" fontId="49" fillId="15" borderId="10" xfId="0" applyFont="1" applyFill="1" applyBorder="1" applyAlignment="1">
      <alignment horizontal="center" vertical="center"/>
    </xf>
    <xf numFmtId="0" fontId="53" fillId="16" borderId="6" xfId="0" applyFont="1" applyFill="1" applyBorder="1" applyAlignment="1">
      <alignment horizontal="left" vertical="center" wrapText="1"/>
    </xf>
    <xf numFmtId="0" fontId="53" fillId="9" borderId="10" xfId="0" applyFont="1" applyFill="1" applyBorder="1" applyAlignment="1">
      <alignment horizontal="center" vertical="center" wrapText="1"/>
    </xf>
    <xf numFmtId="0" fontId="56" fillId="7" borderId="66" xfId="0" applyFont="1" applyFill="1" applyBorder="1" applyAlignment="1">
      <alignment horizontal="left" vertical="center" wrapText="1"/>
    </xf>
    <xf numFmtId="0" fontId="56" fillId="7" borderId="66" xfId="0" applyFont="1" applyFill="1" applyBorder="1" applyAlignment="1">
      <alignment horizontal="center" vertical="center" wrapText="1"/>
    </xf>
    <xf numFmtId="167" fontId="53" fillId="8" borderId="6" xfId="0" applyNumberFormat="1" applyFont="1" applyFill="1" applyBorder="1" applyAlignment="1">
      <alignment horizontal="center" vertical="center" wrapText="1"/>
    </xf>
    <xf numFmtId="0" fontId="53" fillId="8" borderId="6" xfId="0" quotePrefix="1" applyFont="1" applyFill="1" applyBorder="1" applyAlignment="1">
      <alignment horizontal="center" vertical="center" wrapText="1"/>
    </xf>
    <xf numFmtId="0" fontId="53" fillId="8" borderId="6" xfId="0" applyFont="1" applyFill="1" applyBorder="1" applyAlignment="1">
      <alignment horizontal="left" vertical="center" wrapText="1"/>
    </xf>
    <xf numFmtId="0" fontId="53" fillId="9" borderId="7" xfId="0" applyFont="1" applyFill="1" applyBorder="1" applyAlignment="1">
      <alignment horizontal="left" vertical="center"/>
    </xf>
    <xf numFmtId="167" fontId="53" fillId="9" borderId="6" xfId="0" applyNumberFormat="1" applyFont="1" applyFill="1" applyBorder="1" applyAlignment="1">
      <alignment horizontal="center" vertical="center"/>
    </xf>
    <xf numFmtId="0" fontId="53" fillId="16" borderId="7" xfId="0" applyFont="1" applyFill="1" applyBorder="1" applyAlignment="1">
      <alignment horizontal="left" vertical="center"/>
    </xf>
    <xf numFmtId="167" fontId="53" fillId="16" borderId="6" xfId="0" applyNumberFormat="1" applyFont="1" applyFill="1" applyBorder="1" applyAlignment="1">
      <alignment horizontal="center" vertical="center" wrapText="1"/>
    </xf>
    <xf numFmtId="0" fontId="53" fillId="16" borderId="6" xfId="0" quotePrefix="1" applyFont="1" applyFill="1" applyBorder="1" applyAlignment="1">
      <alignment horizontal="center" vertical="center" wrapText="1"/>
    </xf>
    <xf numFmtId="167" fontId="53" fillId="10" borderId="6" xfId="0" applyNumberFormat="1" applyFont="1" applyFill="1" applyBorder="1" applyAlignment="1">
      <alignment horizontal="center" vertical="center" wrapText="1"/>
    </xf>
    <xf numFmtId="0" fontId="53" fillId="10" borderId="6" xfId="0" quotePrefix="1" applyFont="1" applyFill="1" applyBorder="1" applyAlignment="1">
      <alignment horizontal="center" vertical="center" wrapText="1"/>
    </xf>
    <xf numFmtId="0" fontId="53" fillId="19" borderId="7" xfId="0" applyFont="1" applyFill="1" applyBorder="1" applyAlignment="1">
      <alignment horizontal="left" vertical="center"/>
    </xf>
    <xf numFmtId="0" fontId="53" fillId="19" borderId="6" xfId="0" applyFont="1" applyFill="1" applyBorder="1" applyAlignment="1">
      <alignment horizontal="left" vertical="center" wrapText="1"/>
    </xf>
    <xf numFmtId="167" fontId="53" fillId="19" borderId="6" xfId="0" applyNumberFormat="1" applyFont="1" applyFill="1" applyBorder="1" applyAlignment="1">
      <alignment horizontal="center" vertical="center" wrapText="1"/>
    </xf>
    <xf numFmtId="0" fontId="53" fillId="19" borderId="6" xfId="0" quotePrefix="1" applyFont="1" applyFill="1" applyBorder="1" applyAlignment="1">
      <alignment horizontal="center" vertical="center" wrapText="1"/>
    </xf>
    <xf numFmtId="0" fontId="53" fillId="8" borderId="69" xfId="0" applyFont="1" applyFill="1" applyBorder="1" applyAlignment="1">
      <alignment horizontal="left" vertical="center" wrapText="1"/>
    </xf>
    <xf numFmtId="167" fontId="53" fillId="8" borderId="69" xfId="0" applyNumberFormat="1" applyFont="1" applyFill="1" applyBorder="1" applyAlignment="1">
      <alignment horizontal="center" vertical="center" wrapText="1"/>
    </xf>
    <xf numFmtId="0" fontId="53" fillId="8" borderId="69" xfId="0" quotePrefix="1" applyFont="1" applyFill="1" applyBorder="1" applyAlignment="1">
      <alignment horizontal="center" vertical="center" wrapText="1"/>
    </xf>
    <xf numFmtId="0" fontId="49" fillId="18" borderId="7" xfId="0" applyFont="1" applyFill="1" applyBorder="1" applyAlignment="1">
      <alignment horizontal="left" vertical="center"/>
    </xf>
    <xf numFmtId="0" fontId="49" fillId="5" borderId="6" xfId="0" applyFont="1" applyFill="1" applyBorder="1" applyAlignment="1">
      <alignment horizontal="center" vertical="center"/>
    </xf>
    <xf numFmtId="0" fontId="46" fillId="5" borderId="6" xfId="0" applyFont="1" applyFill="1" applyBorder="1" applyAlignment="1">
      <alignment horizontal="center" vertical="center"/>
    </xf>
    <xf numFmtId="0" fontId="46" fillId="11" borderId="6" xfId="0" quotePrefix="1" applyFont="1" applyFill="1" applyBorder="1" applyAlignment="1">
      <alignment horizontal="left" vertical="center"/>
    </xf>
    <xf numFmtId="0" fontId="49" fillId="15" borderId="70" xfId="0" applyFont="1" applyFill="1" applyBorder="1" applyAlignment="1">
      <alignment horizontal="left" vertical="center"/>
    </xf>
    <xf numFmtId="0" fontId="49" fillId="15" borderId="8" xfId="0" applyFont="1" applyFill="1" applyBorder="1" applyAlignment="1">
      <alignment horizontal="left" vertical="center"/>
    </xf>
    <xf numFmtId="0" fontId="53" fillId="15" borderId="6" xfId="0" applyFont="1" applyFill="1" applyBorder="1" applyAlignment="1">
      <alignment horizontal="center" vertical="center" wrapText="1"/>
    </xf>
    <xf numFmtId="0" fontId="53" fillId="15" borderId="8" xfId="0" applyFont="1" applyFill="1" applyBorder="1" applyAlignment="1">
      <alignment horizontal="left" vertical="center" wrapText="1"/>
    </xf>
    <xf numFmtId="0" fontId="53" fillId="15" borderId="10" xfId="0" applyFont="1" applyFill="1" applyBorder="1" applyAlignment="1">
      <alignment horizontal="left" vertical="center" wrapText="1"/>
    </xf>
    <xf numFmtId="0" fontId="53" fillId="15" borderId="10" xfId="0" applyFont="1" applyFill="1" applyBorder="1" applyAlignment="1">
      <alignment horizontal="center" vertical="center" wrapText="1"/>
    </xf>
    <xf numFmtId="0" fontId="53" fillId="15" borderId="11" xfId="0" applyFont="1" applyFill="1" applyBorder="1" applyAlignment="1">
      <alignment horizontal="left" vertical="center" wrapText="1"/>
    </xf>
    <xf numFmtId="0" fontId="49" fillId="11" borderId="6" xfId="0" applyFont="1" applyFill="1" applyBorder="1" applyAlignment="1">
      <alignment horizontal="left" vertical="center"/>
    </xf>
    <xf numFmtId="0" fontId="49" fillId="11" borderId="9" xfId="0" applyFont="1" applyFill="1" applyBorder="1" applyAlignment="1">
      <alignment horizontal="left" vertical="center"/>
    </xf>
    <xf numFmtId="0" fontId="49" fillId="11" borderId="10" xfId="0" applyFont="1" applyFill="1" applyBorder="1" applyAlignment="1">
      <alignment horizontal="left" vertical="center"/>
    </xf>
    <xf numFmtId="0" fontId="49" fillId="12" borderId="6" xfId="0" applyFont="1" applyFill="1" applyBorder="1" applyAlignment="1">
      <alignment horizontal="center" vertical="center" wrapText="1"/>
    </xf>
    <xf numFmtId="0" fontId="76" fillId="0" borderId="0" xfId="0" applyFont="1" applyAlignment="1">
      <alignment horizontal="left"/>
    </xf>
    <xf numFmtId="0" fontId="49" fillId="8" borderId="7" xfId="0" quotePrefix="1" applyFont="1" applyFill="1" applyBorder="1" applyAlignment="1">
      <alignment horizontal="left" vertical="center"/>
    </xf>
    <xf numFmtId="0" fontId="49" fillId="8" borderId="6" xfId="0" applyFont="1" applyFill="1" applyBorder="1" applyAlignment="1">
      <alignment horizontal="left" vertical="center"/>
    </xf>
    <xf numFmtId="0" fontId="49" fillId="8" borderId="37" xfId="0" quotePrefix="1" applyFont="1" applyFill="1" applyBorder="1" applyAlignment="1">
      <alignment horizontal="left" vertical="center"/>
    </xf>
    <xf numFmtId="0" fontId="49" fillId="11" borderId="7" xfId="0" quotePrefix="1" applyFont="1" applyFill="1" applyBorder="1" applyAlignment="1">
      <alignment horizontal="left" vertical="center"/>
    </xf>
    <xf numFmtId="0" fontId="49" fillId="12" borderId="7" xfId="0" quotePrefix="1" applyFont="1" applyFill="1" applyBorder="1" applyAlignment="1">
      <alignment horizontal="left" vertical="center"/>
    </xf>
    <xf numFmtId="0" fontId="49" fillId="12" borderId="15" xfId="0" applyFont="1" applyFill="1" applyBorder="1" applyAlignment="1">
      <alignment horizontal="left" vertical="center"/>
    </xf>
    <xf numFmtId="0" fontId="49" fillId="12" borderId="37" xfId="0" quotePrefix="1" applyFont="1" applyFill="1" applyBorder="1" applyAlignment="1">
      <alignment horizontal="left" vertical="center"/>
    </xf>
    <xf numFmtId="0" fontId="49" fillId="12" borderId="9" xfId="0" quotePrefix="1" applyFont="1" applyFill="1" applyBorder="1" applyAlignment="1">
      <alignment horizontal="left" vertical="center"/>
    </xf>
    <xf numFmtId="0" fontId="53" fillId="8" borderId="6" xfId="0" applyFont="1" applyFill="1" applyBorder="1" applyAlignment="1">
      <alignment horizontal="left" vertical="center"/>
    </xf>
    <xf numFmtId="0" fontId="53" fillId="11" borderId="7" xfId="0" applyFont="1" applyFill="1" applyBorder="1" applyAlignment="1">
      <alignment horizontal="left" vertical="center"/>
    </xf>
    <xf numFmtId="0" fontId="53" fillId="11" borderId="6" xfId="0" applyFont="1" applyFill="1" applyBorder="1" applyAlignment="1">
      <alignment horizontal="left" vertical="center"/>
    </xf>
    <xf numFmtId="0" fontId="53" fillId="9" borderId="6" xfId="0" applyFont="1" applyFill="1" applyBorder="1" applyAlignment="1">
      <alignment horizontal="left" vertical="center"/>
    </xf>
    <xf numFmtId="0" fontId="53" fillId="16" borderId="6" xfId="0" applyFont="1" applyFill="1" applyBorder="1" applyAlignment="1">
      <alignment horizontal="left" vertical="center"/>
    </xf>
    <xf numFmtId="165" fontId="53" fillId="0" borderId="0" xfId="0" applyNumberFormat="1" applyFont="1" applyAlignment="1">
      <alignment horizontal="left" vertical="center"/>
    </xf>
    <xf numFmtId="0" fontId="46" fillId="20" borderId="6" xfId="0" applyFont="1" applyFill="1" applyBorder="1" applyAlignment="1">
      <alignment horizontal="center" vertical="center"/>
    </xf>
    <xf numFmtId="0" fontId="46" fillId="20" borderId="6" xfId="0" applyFont="1" applyFill="1" applyBorder="1" applyAlignment="1">
      <alignment horizontal="center" vertical="center" wrapText="1"/>
    </xf>
    <xf numFmtId="0" fontId="46" fillId="20" borderId="6" xfId="0" applyFont="1" applyFill="1" applyBorder="1"/>
    <xf numFmtId="0" fontId="0" fillId="20" borderId="6" xfId="0" applyFill="1" applyBorder="1"/>
    <xf numFmtId="0" fontId="46" fillId="20" borderId="15" xfId="0" applyFont="1" applyFill="1" applyBorder="1" applyAlignment="1">
      <alignment horizontal="center" vertical="center"/>
    </xf>
    <xf numFmtId="0" fontId="46" fillId="20" borderId="15" xfId="0" applyFont="1" applyFill="1" applyBorder="1" applyAlignment="1">
      <alignment horizontal="center" vertical="center" wrapText="1"/>
    </xf>
    <xf numFmtId="0" fontId="46" fillId="20" borderId="15" xfId="0" applyFont="1" applyFill="1" applyBorder="1"/>
    <xf numFmtId="0" fontId="46" fillId="20" borderId="37" xfId="0" applyFont="1" applyFill="1" applyBorder="1" applyAlignment="1">
      <alignment horizontal="center" vertical="center"/>
    </xf>
    <xf numFmtId="0" fontId="46" fillId="20" borderId="38" xfId="0" applyFont="1" applyFill="1" applyBorder="1"/>
    <xf numFmtId="0" fontId="46" fillId="20" borderId="9" xfId="0" applyFont="1" applyFill="1" applyBorder="1" applyAlignment="1">
      <alignment horizontal="center" vertical="center"/>
    </xf>
    <xf numFmtId="0" fontId="46" fillId="20" borderId="10" xfId="0" applyFont="1" applyFill="1" applyBorder="1" applyAlignment="1">
      <alignment horizontal="center" vertical="center" wrapText="1"/>
    </xf>
    <xf numFmtId="0" fontId="46" fillId="20" borderId="10" xfId="0" applyFont="1" applyFill="1" applyBorder="1"/>
    <xf numFmtId="0" fontId="46" fillId="20" borderId="11" xfId="0" applyFont="1" applyFill="1" applyBorder="1"/>
    <xf numFmtId="0" fontId="49" fillId="20" borderId="37" xfId="0" applyFont="1" applyFill="1" applyBorder="1" applyAlignment="1">
      <alignment horizontal="left" vertical="center"/>
    </xf>
    <xf numFmtId="0" fontId="49" fillId="20" borderId="15" xfId="0" applyFont="1" applyFill="1" applyBorder="1" applyAlignment="1">
      <alignment horizontal="left" vertical="center"/>
    </xf>
    <xf numFmtId="0" fontId="49" fillId="20" borderId="37" xfId="0" applyFont="1" applyFill="1" applyBorder="1" applyAlignment="1">
      <alignment horizontal="left" vertical="center" wrapText="1"/>
    </xf>
    <xf numFmtId="0" fontId="49" fillId="20" borderId="6" xfId="0" applyFont="1" applyFill="1" applyBorder="1" applyAlignment="1">
      <alignment horizontal="left" vertical="center"/>
    </xf>
    <xf numFmtId="0" fontId="49" fillId="20" borderId="9" xfId="0" applyFont="1" applyFill="1" applyBorder="1" applyAlignment="1">
      <alignment horizontal="left" vertical="center" wrapText="1"/>
    </xf>
    <xf numFmtId="0" fontId="49" fillId="20" borderId="10" xfId="0" applyFont="1" applyFill="1" applyBorder="1" applyAlignment="1">
      <alignment horizontal="left" vertical="center"/>
    </xf>
    <xf numFmtId="0" fontId="49" fillId="20" borderId="7" xfId="0" applyFont="1" applyFill="1" applyBorder="1" applyAlignment="1">
      <alignment horizontal="left" vertical="center"/>
    </xf>
    <xf numFmtId="0" fontId="49" fillId="20" borderId="9" xfId="0" applyFont="1" applyFill="1" applyBorder="1" applyAlignment="1">
      <alignment horizontal="left" vertical="center"/>
    </xf>
    <xf numFmtId="0" fontId="49" fillId="20" borderId="68" xfId="0" applyFont="1" applyFill="1" applyBorder="1" applyAlignment="1">
      <alignment horizontal="left" vertical="center" wrapText="1"/>
    </xf>
    <xf numFmtId="0" fontId="49" fillId="20" borderId="69" xfId="0" applyFont="1" applyFill="1" applyBorder="1" applyAlignment="1">
      <alignment horizontal="left" vertical="center"/>
    </xf>
    <xf numFmtId="0" fontId="49" fillId="20" borderId="60" xfId="24" applyFont="1" applyFill="1" applyBorder="1" applyAlignment="1">
      <alignment horizontal="left" vertical="center"/>
    </xf>
    <xf numFmtId="0" fontId="49" fillId="20" borderId="7" xfId="24" applyFont="1" applyFill="1" applyBorder="1" applyAlignment="1">
      <alignment horizontal="left" vertical="center"/>
    </xf>
    <xf numFmtId="0" fontId="49" fillId="5" borderId="10" xfId="0" applyFont="1" applyFill="1" applyBorder="1" applyAlignment="1">
      <alignment horizontal="center" vertical="center"/>
    </xf>
    <xf numFmtId="0" fontId="46" fillId="5" borderId="10" xfId="0" applyFont="1" applyFill="1" applyBorder="1" applyAlignment="1">
      <alignment horizontal="center" vertical="center"/>
    </xf>
    <xf numFmtId="0" fontId="57" fillId="13" borderId="80" xfId="0" applyFont="1" applyFill="1" applyBorder="1" applyAlignment="1">
      <alignment horizontal="center" vertical="center"/>
    </xf>
    <xf numFmtId="0" fontId="57" fillId="13" borderId="77" xfId="12" applyFont="1" applyFill="1" applyBorder="1" applyAlignment="1">
      <alignment horizontal="center"/>
    </xf>
    <xf numFmtId="0" fontId="57" fillId="13" borderId="78" xfId="12" applyFont="1" applyFill="1" applyBorder="1" applyAlignment="1">
      <alignment horizontal="center" vertical="top" wrapText="1"/>
    </xf>
    <xf numFmtId="0" fontId="57" fillId="13" borderId="78" xfId="12" applyFont="1" applyFill="1" applyBorder="1" applyAlignment="1">
      <alignment horizontal="center" vertical="center" wrapText="1"/>
    </xf>
    <xf numFmtId="0" fontId="57" fillId="13" borderId="79" xfId="12" applyFont="1" applyFill="1" applyBorder="1" applyAlignment="1">
      <alignment horizontal="center" vertical="top" wrapText="1"/>
    </xf>
    <xf numFmtId="0" fontId="57" fillId="7" borderId="57" xfId="0" applyFont="1" applyFill="1" applyBorder="1" applyAlignment="1">
      <alignment horizontal="left" vertical="center"/>
    </xf>
    <xf numFmtId="0" fontId="57" fillId="7" borderId="80" xfId="0" applyFont="1" applyFill="1" applyBorder="1" applyAlignment="1">
      <alignment horizontal="center" vertical="center"/>
    </xf>
    <xf numFmtId="0" fontId="57" fillId="7" borderId="80" xfId="0" applyFont="1" applyFill="1" applyBorder="1" applyAlignment="1">
      <alignment horizontal="center"/>
    </xf>
    <xf numFmtId="0" fontId="57" fillId="7" borderId="54" xfId="0" applyFont="1" applyFill="1" applyBorder="1" applyAlignment="1">
      <alignment horizontal="left" vertical="center"/>
    </xf>
    <xf numFmtId="0" fontId="57" fillId="7" borderId="74" xfId="0" applyFont="1" applyFill="1" applyBorder="1" applyAlignment="1">
      <alignment horizontal="left" vertical="center"/>
    </xf>
    <xf numFmtId="0" fontId="49" fillId="7" borderId="80" xfId="0" applyFont="1" applyFill="1" applyBorder="1" applyAlignment="1">
      <alignment horizontal="left" vertical="center" wrapText="1"/>
    </xf>
    <xf numFmtId="0" fontId="57" fillId="7" borderId="55" xfId="0" applyFont="1" applyFill="1" applyBorder="1" applyAlignment="1">
      <alignment horizontal="left" vertical="center" wrapText="1"/>
    </xf>
    <xf numFmtId="0" fontId="57" fillId="7" borderId="75" xfId="0" applyFont="1" applyFill="1" applyBorder="1" applyAlignment="1">
      <alignment horizontal="left" vertical="center" wrapText="1"/>
    </xf>
    <xf numFmtId="0" fontId="57" fillId="7" borderId="55" xfId="0" applyFont="1" applyFill="1" applyBorder="1" applyAlignment="1">
      <alignment horizontal="center" vertical="center" wrapText="1"/>
    </xf>
    <xf numFmtId="0" fontId="57" fillId="7" borderId="64" xfId="0" applyFont="1" applyFill="1" applyBorder="1" applyAlignment="1">
      <alignment horizontal="center" vertical="center" wrapText="1"/>
    </xf>
    <xf numFmtId="165" fontId="49" fillId="7" borderId="80" xfId="0" applyNumberFormat="1" applyFont="1" applyFill="1" applyBorder="1" applyAlignment="1">
      <alignment horizontal="center" vertical="center" wrapText="1"/>
    </xf>
    <xf numFmtId="0" fontId="57" fillId="7" borderId="75" xfId="0" applyFont="1" applyFill="1" applyBorder="1" applyAlignment="1">
      <alignment horizontal="center" vertical="center" wrapText="1"/>
    </xf>
    <xf numFmtId="0" fontId="49" fillId="7" borderId="80" xfId="0" applyFont="1" applyFill="1" applyBorder="1" applyAlignment="1">
      <alignment horizontal="center" vertical="center" wrapText="1"/>
    </xf>
    <xf numFmtId="0" fontId="57" fillId="7" borderId="58" xfId="0" applyFont="1" applyFill="1" applyBorder="1" applyAlignment="1">
      <alignment horizontal="left" vertical="center"/>
    </xf>
    <xf numFmtId="0" fontId="57" fillId="7" borderId="59" xfId="0" applyFont="1" applyFill="1" applyBorder="1" applyAlignment="1">
      <alignment horizontal="left" vertical="center"/>
    </xf>
    <xf numFmtId="0" fontId="57" fillId="7" borderId="56" xfId="0" applyFont="1" applyFill="1" applyBorder="1" applyAlignment="1">
      <alignment horizontal="left" vertical="center"/>
    </xf>
    <xf numFmtId="0" fontId="49" fillId="21" borderId="7" xfId="0" applyFont="1" applyFill="1" applyBorder="1" applyAlignment="1">
      <alignment horizontal="left" vertical="center"/>
    </xf>
    <xf numFmtId="165" fontId="53" fillId="18" borderId="6" xfId="0" applyNumberFormat="1" applyFont="1" applyFill="1" applyBorder="1" applyAlignment="1">
      <alignment horizontal="center" vertical="center"/>
    </xf>
    <xf numFmtId="0" fontId="53" fillId="18" borderId="15" xfId="0" applyFont="1" applyFill="1" applyBorder="1" applyAlignment="1">
      <alignment horizontal="center" vertical="center"/>
    </xf>
    <xf numFmtId="0" fontId="53" fillId="18" borderId="6" xfId="0" applyFont="1" applyFill="1" applyBorder="1" applyAlignment="1">
      <alignment horizontal="center" vertical="center"/>
    </xf>
    <xf numFmtId="0" fontId="49" fillId="18" borderId="10" xfId="0" applyFont="1" applyFill="1" applyBorder="1" applyAlignment="1">
      <alignment horizontal="left" vertical="center"/>
    </xf>
    <xf numFmtId="0" fontId="49" fillId="18" borderId="10" xfId="0" applyFont="1" applyFill="1" applyBorder="1" applyAlignment="1">
      <alignment horizontal="center" vertical="center"/>
    </xf>
    <xf numFmtId="0" fontId="46" fillId="0" borderId="0" xfId="0" applyFont="1" applyAlignment="1">
      <alignment horizontal="left"/>
    </xf>
    <xf numFmtId="0" fontId="49" fillId="9" borderId="7" xfId="0" applyFont="1" applyFill="1" applyBorder="1" applyAlignment="1">
      <alignment horizontal="left" vertical="center"/>
    </xf>
    <xf numFmtId="0" fontId="49" fillId="9" borderId="6" xfId="0" applyFont="1" applyFill="1" applyBorder="1" applyAlignment="1">
      <alignment horizontal="left" vertical="center"/>
    </xf>
    <xf numFmtId="0" fontId="49" fillId="8" borderId="6" xfId="0" quotePrefix="1" applyFont="1" applyFill="1" applyBorder="1" applyAlignment="1">
      <alignment horizontal="left" vertical="center"/>
    </xf>
    <xf numFmtId="0" fontId="49" fillId="21" borderId="6" xfId="0" quotePrefix="1" applyFont="1" applyFill="1" applyBorder="1" applyAlignment="1">
      <alignment horizontal="left" vertical="center"/>
    </xf>
    <xf numFmtId="0" fontId="49" fillId="21" borderId="6" xfId="0" applyFont="1" applyFill="1" applyBorder="1" applyAlignment="1">
      <alignment horizontal="left" vertical="center"/>
    </xf>
    <xf numFmtId="0" fontId="49" fillId="18" borderId="6" xfId="0" applyFont="1" applyFill="1" applyBorder="1" applyAlignment="1">
      <alignment horizontal="left" vertical="center"/>
    </xf>
    <xf numFmtId="0" fontId="49" fillId="18" borderId="6" xfId="0" quotePrefix="1" applyFont="1" applyFill="1" applyBorder="1" applyAlignment="1">
      <alignment horizontal="left" vertical="center"/>
    </xf>
    <xf numFmtId="0" fontId="49" fillId="7" borderId="7" xfId="0" applyFont="1" applyFill="1" applyBorder="1" applyAlignment="1">
      <alignment horizontal="left" vertical="center"/>
    </xf>
    <xf numFmtId="0" fontId="49" fillId="7" borderId="6" xfId="0" applyFont="1" applyFill="1" applyBorder="1" applyAlignment="1">
      <alignment horizontal="left" vertical="center"/>
    </xf>
    <xf numFmtId="0" fontId="58" fillId="7" borderId="7" xfId="0" applyFont="1" applyFill="1" applyBorder="1" applyAlignment="1">
      <alignment horizontal="left" vertical="center"/>
    </xf>
    <xf numFmtId="0" fontId="49" fillId="7" borderId="6" xfId="0" quotePrefix="1" applyFont="1" applyFill="1" applyBorder="1" applyAlignment="1">
      <alignment horizontal="left" vertical="center"/>
    </xf>
    <xf numFmtId="0" fontId="49" fillId="20" borderId="87" xfId="0" applyFont="1" applyFill="1" applyBorder="1" applyAlignment="1">
      <alignment horizontal="left" vertical="center"/>
    </xf>
    <xf numFmtId="0" fontId="49" fillId="5" borderId="6" xfId="0" quotePrefix="1" applyFont="1" applyFill="1" applyBorder="1" applyAlignment="1">
      <alignment horizontal="center" vertical="center"/>
    </xf>
    <xf numFmtId="0" fontId="49" fillId="5" borderId="87" xfId="0" applyFont="1" applyFill="1" applyBorder="1" applyAlignment="1">
      <alignment horizontal="center" vertical="center"/>
    </xf>
    <xf numFmtId="0" fontId="49" fillId="5" borderId="87" xfId="0" quotePrefix="1" applyFont="1" applyFill="1" applyBorder="1" applyAlignment="1">
      <alignment horizontal="center" vertical="center"/>
    </xf>
    <xf numFmtId="0" fontId="46" fillId="5" borderId="87" xfId="0" applyFont="1" applyFill="1" applyBorder="1" applyAlignment="1">
      <alignment horizontal="center" vertical="center"/>
    </xf>
    <xf numFmtId="0" fontId="49" fillId="5" borderId="8" xfId="0" applyFont="1" applyFill="1" applyBorder="1" applyAlignment="1">
      <alignment horizontal="center" vertical="center"/>
    </xf>
    <xf numFmtId="0" fontId="49" fillId="5" borderId="11" xfId="0" applyFont="1" applyFill="1" applyBorder="1" applyAlignment="1">
      <alignment horizontal="center" vertical="center"/>
    </xf>
    <xf numFmtId="0" fontId="53" fillId="8" borderId="86" xfId="0" applyFont="1" applyFill="1" applyBorder="1" applyAlignment="1">
      <alignment horizontal="left" vertical="center"/>
    </xf>
    <xf numFmtId="0" fontId="53" fillId="8" borderId="87" xfId="0" applyFont="1" applyFill="1" applyBorder="1" applyAlignment="1">
      <alignment horizontal="left" vertical="center"/>
    </xf>
    <xf numFmtId="0" fontId="53" fillId="16" borderId="9" xfId="0" applyFont="1" applyFill="1" applyBorder="1" applyAlignment="1">
      <alignment horizontal="left" vertical="center"/>
    </xf>
    <xf numFmtId="0" fontId="53" fillId="16" borderId="10" xfId="0" applyFont="1" applyFill="1" applyBorder="1" applyAlignment="1">
      <alignment horizontal="left" vertical="center"/>
    </xf>
    <xf numFmtId="0" fontId="49" fillId="9" borderId="9" xfId="0" applyFont="1" applyFill="1" applyBorder="1" applyAlignment="1">
      <alignment horizontal="left" vertical="center"/>
    </xf>
    <xf numFmtId="0" fontId="49" fillId="9" borderId="10" xfId="0" applyFont="1" applyFill="1" applyBorder="1" applyAlignment="1">
      <alignment horizontal="left" vertical="center"/>
    </xf>
    <xf numFmtId="0" fontId="49" fillId="20" borderId="86" xfId="0" applyFont="1" applyFill="1" applyBorder="1" applyAlignment="1">
      <alignment horizontal="left" vertical="center" wrapText="1"/>
    </xf>
    <xf numFmtId="0" fontId="48" fillId="17" borderId="0" xfId="0" applyFont="1" applyFill="1" applyAlignment="1">
      <alignment horizontal="center" vertical="center"/>
    </xf>
    <xf numFmtId="0" fontId="57" fillId="17" borderId="0" xfId="0" applyFont="1" applyFill="1" applyAlignment="1">
      <alignment horizontal="center" vertical="center"/>
    </xf>
    <xf numFmtId="0" fontId="64" fillId="7" borderId="46" xfId="0" applyFont="1" applyFill="1" applyBorder="1" applyAlignment="1">
      <alignment horizontal="center" vertical="center" wrapText="1"/>
    </xf>
    <xf numFmtId="0" fontId="64" fillId="7" borderId="47" xfId="0" applyFont="1" applyFill="1" applyBorder="1" applyAlignment="1">
      <alignment horizontal="center" vertical="center" wrapText="1"/>
    </xf>
    <xf numFmtId="0" fontId="64" fillId="7" borderId="48" xfId="0" applyFont="1" applyFill="1" applyBorder="1" applyAlignment="1">
      <alignment horizontal="center" vertical="center" wrapText="1"/>
    </xf>
    <xf numFmtId="0" fontId="48" fillId="7" borderId="92" xfId="0" applyFont="1" applyFill="1" applyBorder="1" applyAlignment="1">
      <alignment horizontal="center" vertical="center"/>
    </xf>
    <xf numFmtId="0" fontId="48" fillId="7" borderId="93" xfId="0" applyFont="1" applyFill="1" applyBorder="1" applyAlignment="1">
      <alignment horizontal="left" vertical="center" wrapText="1"/>
    </xf>
    <xf numFmtId="0" fontId="48" fillId="7" borderId="92" xfId="0" applyFont="1" applyFill="1" applyBorder="1" applyAlignment="1">
      <alignment horizontal="center" vertical="center" wrapText="1"/>
    </xf>
    <xf numFmtId="0" fontId="57" fillId="7" borderId="92" xfId="0" applyFont="1" applyFill="1" applyBorder="1" applyAlignment="1">
      <alignment horizontal="center" vertical="center" wrapText="1"/>
    </xf>
    <xf numFmtId="0" fontId="48" fillId="7" borderId="94" xfId="0" applyFont="1" applyFill="1" applyBorder="1" applyAlignment="1">
      <alignment horizontal="center" vertical="center" wrapText="1"/>
    </xf>
    <xf numFmtId="0" fontId="48" fillId="7" borderId="93" xfId="0" applyFont="1" applyFill="1" applyBorder="1" applyAlignment="1">
      <alignment horizontal="center" vertical="center"/>
    </xf>
    <xf numFmtId="0" fontId="57" fillId="7" borderId="92" xfId="0" applyFont="1" applyFill="1" applyBorder="1" applyAlignment="1">
      <alignment horizontal="center" vertical="center"/>
    </xf>
    <xf numFmtId="0" fontId="57" fillId="7" borderId="94" xfId="0" applyFont="1" applyFill="1" applyBorder="1" applyAlignment="1">
      <alignment horizontal="center" vertical="center"/>
    </xf>
    <xf numFmtId="0" fontId="46" fillId="20" borderId="7" xfId="0" applyFont="1" applyFill="1" applyBorder="1" applyAlignment="1">
      <alignment horizontal="center" vertical="center"/>
    </xf>
    <xf numFmtId="0" fontId="46" fillId="20" borderId="8" xfId="0" applyFont="1" applyFill="1" applyBorder="1"/>
    <xf numFmtId="0" fontId="46" fillId="20" borderId="10" xfId="0" applyFont="1" applyFill="1" applyBorder="1" applyAlignment="1">
      <alignment horizontal="center" vertical="center"/>
    </xf>
    <xf numFmtId="0" fontId="46" fillId="20" borderId="36" xfId="0" applyFont="1" applyFill="1" applyBorder="1"/>
    <xf numFmtId="0" fontId="46" fillId="20" borderId="86" xfId="0" applyFont="1" applyFill="1" applyBorder="1" applyAlignment="1">
      <alignment horizontal="center" vertical="center"/>
    </xf>
    <xf numFmtId="0" fontId="46" fillId="20" borderId="87" xfId="0" applyFont="1" applyFill="1" applyBorder="1" applyAlignment="1">
      <alignment horizontal="center" vertical="center" wrapText="1"/>
    </xf>
    <xf numFmtId="0" fontId="46" fillId="20" borderId="87" xfId="0" applyFont="1" applyFill="1" applyBorder="1"/>
    <xf numFmtId="0" fontId="46" fillId="20" borderId="88" xfId="0" applyFont="1" applyFill="1" applyBorder="1"/>
    <xf numFmtId="0" fontId="53" fillId="18" borderId="6" xfId="0" applyFont="1" applyFill="1" applyBorder="1" applyAlignment="1">
      <alignment horizontal="left" vertical="center" wrapText="1"/>
    </xf>
    <xf numFmtId="167" fontId="53" fillId="18" borderId="6" xfId="0" applyNumberFormat="1" applyFont="1" applyFill="1" applyBorder="1" applyAlignment="1">
      <alignment horizontal="center" vertical="center" wrapText="1"/>
    </xf>
    <xf numFmtId="0" fontId="53" fillId="18" borderId="6" xfId="0" quotePrefix="1" applyFont="1" applyFill="1" applyBorder="1" applyAlignment="1">
      <alignment horizontal="center" vertical="center" wrapText="1"/>
    </xf>
    <xf numFmtId="0" fontId="53" fillId="12" borderId="6" xfId="0" applyFont="1" applyFill="1" applyBorder="1" applyAlignment="1">
      <alignment horizontal="left" vertical="center" wrapText="1"/>
    </xf>
    <xf numFmtId="167" fontId="53" fillId="12" borderId="6" xfId="0" applyNumberFormat="1" applyFont="1" applyFill="1" applyBorder="1" applyAlignment="1">
      <alignment horizontal="center" vertical="center" wrapText="1"/>
    </xf>
    <xf numFmtId="0" fontId="53" fillId="12" borderId="6" xfId="0" quotePrefix="1" applyFont="1" applyFill="1" applyBorder="1" applyAlignment="1">
      <alignment horizontal="center" vertical="center" wrapText="1"/>
    </xf>
    <xf numFmtId="0" fontId="49" fillId="12" borderId="6" xfId="0" applyFont="1" applyFill="1" applyBorder="1" applyAlignment="1">
      <alignment horizontal="left" vertical="center" wrapText="1"/>
    </xf>
    <xf numFmtId="2" fontId="49" fillId="12" borderId="6" xfId="0" applyNumberFormat="1" applyFont="1" applyFill="1" applyBorder="1" applyAlignment="1">
      <alignment horizontal="center" vertical="center" wrapText="1"/>
    </xf>
    <xf numFmtId="2" fontId="49" fillId="8" borderId="83" xfId="0" applyNumberFormat="1" applyFont="1" applyFill="1" applyBorder="1" applyAlignment="1">
      <alignment horizontal="center" vertical="center" wrapText="1"/>
    </xf>
    <xf numFmtId="0" fontId="49" fillId="8" borderId="83" xfId="0" applyFont="1" applyFill="1" applyBorder="1" applyAlignment="1">
      <alignment horizontal="center" vertical="center" wrapText="1"/>
    </xf>
    <xf numFmtId="0" fontId="48" fillId="7" borderId="78" xfId="0" applyFont="1" applyFill="1" applyBorder="1" applyAlignment="1">
      <alignment horizontal="center" vertical="center"/>
    </xf>
    <xf numFmtId="165" fontId="53" fillId="9" borderId="15" xfId="0" applyNumberFormat="1" applyFont="1" applyFill="1" applyBorder="1" applyAlignment="1">
      <alignment horizontal="center" vertical="center" wrapText="1"/>
    </xf>
    <xf numFmtId="0" fontId="53" fillId="9" borderId="15" xfId="0" applyFont="1" applyFill="1" applyBorder="1" applyAlignment="1">
      <alignment horizontal="center" vertical="center" wrapText="1"/>
    </xf>
    <xf numFmtId="167" fontId="0" fillId="0" borderId="0" xfId="0" applyNumberFormat="1"/>
    <xf numFmtId="167" fontId="0" fillId="0" borderId="0" xfId="0" applyNumberFormat="1" applyAlignment="1">
      <alignment horizontal="center" vertical="center"/>
    </xf>
    <xf numFmtId="0" fontId="46" fillId="10" borderId="6" xfId="0" applyFont="1" applyFill="1" applyBorder="1" applyAlignment="1">
      <alignment horizontal="left" vertical="center"/>
    </xf>
    <xf numFmtId="0" fontId="46" fillId="9" borderId="6" xfId="0" applyFont="1" applyFill="1" applyBorder="1" applyAlignment="1">
      <alignment horizontal="left" vertical="center"/>
    </xf>
    <xf numFmtId="0" fontId="46" fillId="7" borderId="6" xfId="0" applyFont="1" applyFill="1" applyBorder="1" applyAlignment="1">
      <alignment horizontal="left" vertical="center"/>
    </xf>
    <xf numFmtId="165" fontId="53" fillId="6" borderId="0" xfId="0" applyNumberFormat="1" applyFont="1" applyFill="1" applyAlignment="1">
      <alignment horizontal="left" vertical="center"/>
    </xf>
    <xf numFmtId="0" fontId="57" fillId="7" borderId="89" xfId="0" applyFont="1" applyFill="1" applyBorder="1" applyAlignment="1">
      <alignment horizontal="left" vertical="center"/>
    </xf>
    <xf numFmtId="0" fontId="57" fillId="7" borderId="91" xfId="0" applyFont="1" applyFill="1" applyBorder="1" applyAlignment="1">
      <alignment horizontal="left" vertical="center"/>
    </xf>
    <xf numFmtId="165" fontId="49" fillId="8" borderId="6" xfId="0" applyNumberFormat="1" applyFont="1" applyFill="1" applyBorder="1" applyAlignment="1">
      <alignment horizontal="left" vertical="center"/>
    </xf>
    <xf numFmtId="2" fontId="49" fillId="8" borderId="6" xfId="0" applyNumberFormat="1" applyFont="1" applyFill="1" applyBorder="1" applyAlignment="1">
      <alignment horizontal="left" vertical="center"/>
    </xf>
    <xf numFmtId="167" fontId="49" fillId="8" borderId="6" xfId="0" applyNumberFormat="1" applyFont="1" applyFill="1" applyBorder="1" applyAlignment="1">
      <alignment horizontal="left" vertical="center"/>
    </xf>
    <xf numFmtId="0" fontId="49" fillId="8" borderId="15" xfId="0" quotePrefix="1" applyFont="1" applyFill="1" applyBorder="1" applyAlignment="1">
      <alignment horizontal="left" vertical="center"/>
    </xf>
    <xf numFmtId="2" fontId="49" fillId="8" borderId="15" xfId="0" applyNumberFormat="1" applyFont="1" applyFill="1" applyBorder="1" applyAlignment="1">
      <alignment horizontal="left" vertical="center"/>
    </xf>
    <xf numFmtId="166" fontId="49" fillId="8" borderId="6" xfId="0" applyNumberFormat="1" applyFont="1" applyFill="1" applyBorder="1" applyAlignment="1">
      <alignment horizontal="left" vertical="center"/>
    </xf>
    <xf numFmtId="0" fontId="49" fillId="11" borderId="6" xfId="0" quotePrefix="1" applyFont="1" applyFill="1" applyBorder="1" applyAlignment="1">
      <alignment horizontal="left" vertical="center"/>
    </xf>
    <xf numFmtId="0" fontId="49" fillId="11" borderId="10" xfId="0" quotePrefix="1" applyFont="1" applyFill="1" applyBorder="1" applyAlignment="1">
      <alignment horizontal="left" vertical="center"/>
    </xf>
    <xf numFmtId="0" fontId="49" fillId="12" borderId="6" xfId="0" quotePrefix="1" applyFont="1" applyFill="1" applyBorder="1" applyAlignment="1">
      <alignment horizontal="left" vertical="center"/>
    </xf>
    <xf numFmtId="0" fontId="49" fillId="12" borderId="10" xfId="0" applyFont="1" applyFill="1" applyBorder="1" applyAlignment="1">
      <alignment horizontal="left" vertical="center" wrapText="1"/>
    </xf>
    <xf numFmtId="0" fontId="49" fillId="12" borderId="10" xfId="0" quotePrefix="1" applyFont="1" applyFill="1" applyBorder="1" applyAlignment="1">
      <alignment horizontal="left" vertical="center"/>
    </xf>
    <xf numFmtId="0" fontId="49" fillId="12" borderId="15" xfId="0" quotePrefix="1" applyFont="1" applyFill="1" applyBorder="1" applyAlignment="1">
      <alignment horizontal="left" vertical="center"/>
    </xf>
    <xf numFmtId="0" fontId="49" fillId="12" borderId="15" xfId="0" applyFont="1" applyFill="1" applyBorder="1" applyAlignment="1">
      <alignment horizontal="left" vertical="center" wrapText="1"/>
    </xf>
    <xf numFmtId="167" fontId="49" fillId="12" borderId="6" xfId="0" applyNumberFormat="1" applyFont="1" applyFill="1" applyBorder="1" applyAlignment="1">
      <alignment horizontal="left" vertical="center"/>
    </xf>
    <xf numFmtId="166" fontId="49" fillId="12" borderId="6" xfId="0" applyNumberFormat="1" applyFont="1" applyFill="1" applyBorder="1" applyAlignment="1">
      <alignment horizontal="left" vertical="center"/>
    </xf>
    <xf numFmtId="0" fontId="49" fillId="8" borderId="8" xfId="0" applyFont="1" applyFill="1" applyBorder="1" applyAlignment="1">
      <alignment horizontal="left" vertical="center"/>
    </xf>
    <xf numFmtId="0" fontId="49" fillId="21" borderId="8" xfId="0" applyFont="1" applyFill="1" applyBorder="1" applyAlignment="1">
      <alignment horizontal="left" vertical="center"/>
    </xf>
    <xf numFmtId="0" fontId="49" fillId="11" borderId="8" xfId="0" applyFont="1" applyFill="1" applyBorder="1" applyAlignment="1">
      <alignment horizontal="left" vertical="center"/>
    </xf>
    <xf numFmtId="0" fontId="49" fillId="18" borderId="8" xfId="0" applyFont="1" applyFill="1" applyBorder="1" applyAlignment="1">
      <alignment horizontal="left" vertical="center"/>
    </xf>
    <xf numFmtId="0" fontId="49" fillId="7" borderId="8" xfId="0" applyFont="1" applyFill="1" applyBorder="1" applyAlignment="1">
      <alignment horizontal="left" vertical="center"/>
    </xf>
    <xf numFmtId="0" fontId="49" fillId="9" borderId="6" xfId="0" quotePrefix="1" applyFont="1" applyFill="1" applyBorder="1" applyAlignment="1">
      <alignment horizontal="left" vertical="center"/>
    </xf>
    <xf numFmtId="0" fontId="49" fillId="9" borderId="8" xfId="0" quotePrefix="1" applyFont="1" applyFill="1" applyBorder="1" applyAlignment="1">
      <alignment horizontal="left" vertical="center"/>
    </xf>
    <xf numFmtId="0" fontId="49" fillId="9" borderId="8" xfId="0" applyFont="1" applyFill="1" applyBorder="1" applyAlignment="1">
      <alignment horizontal="left" vertical="center"/>
    </xf>
    <xf numFmtId="0" fontId="49" fillId="9" borderId="10" xfId="0" quotePrefix="1" applyFont="1" applyFill="1" applyBorder="1" applyAlignment="1">
      <alignment horizontal="left" vertical="center"/>
    </xf>
    <xf numFmtId="0" fontId="49" fillId="9" borderId="11" xfId="0" quotePrefix="1" applyFont="1" applyFill="1" applyBorder="1" applyAlignment="1">
      <alignment horizontal="left" vertical="center"/>
    </xf>
    <xf numFmtId="0" fontId="49" fillId="8" borderId="87" xfId="0" applyFont="1" applyFill="1" applyBorder="1" applyAlignment="1">
      <alignment horizontal="left" vertical="center"/>
    </xf>
    <xf numFmtId="0" fontId="53" fillId="8" borderId="88" xfId="0" applyFont="1" applyFill="1" applyBorder="1" applyAlignment="1">
      <alignment horizontal="left" vertical="center"/>
    </xf>
    <xf numFmtId="0" fontId="53" fillId="8" borderId="8" xfId="0" applyFont="1" applyFill="1" applyBorder="1" applyAlignment="1">
      <alignment horizontal="left" vertical="center"/>
    </xf>
    <xf numFmtId="0" fontId="53" fillId="11" borderId="8" xfId="0" applyFont="1" applyFill="1" applyBorder="1" applyAlignment="1">
      <alignment horizontal="left" vertical="center"/>
    </xf>
    <xf numFmtId="0" fontId="53" fillId="12" borderId="8" xfId="0" applyFont="1" applyFill="1" applyBorder="1" applyAlignment="1">
      <alignment horizontal="left" vertical="center"/>
    </xf>
    <xf numFmtId="0" fontId="53" fillId="9" borderId="8" xfId="0" applyFont="1" applyFill="1" applyBorder="1" applyAlignment="1">
      <alignment horizontal="left" vertical="center"/>
    </xf>
    <xf numFmtId="0" fontId="49" fillId="16" borderId="6" xfId="0" applyFont="1" applyFill="1" applyBorder="1" applyAlignment="1">
      <alignment horizontal="left" vertical="center"/>
    </xf>
    <xf numFmtId="0" fontId="53" fillId="16" borderId="8" xfId="0" applyFont="1" applyFill="1" applyBorder="1" applyAlignment="1">
      <alignment horizontal="left" vertical="center"/>
    </xf>
    <xf numFmtId="0" fontId="49" fillId="16" borderId="10" xfId="0" applyFont="1" applyFill="1" applyBorder="1" applyAlignment="1">
      <alignment horizontal="left" vertical="center"/>
    </xf>
    <xf numFmtId="0" fontId="53" fillId="16" borderId="11" xfId="0" applyFont="1" applyFill="1" applyBorder="1" applyAlignment="1">
      <alignment horizontal="left" vertical="center"/>
    </xf>
    <xf numFmtId="167" fontId="49" fillId="20" borderId="15" xfId="0" applyNumberFormat="1" applyFont="1" applyFill="1" applyBorder="1" applyAlignment="1">
      <alignment horizontal="left" vertical="center"/>
    </xf>
    <xf numFmtId="0" fontId="49" fillId="20" borderId="38" xfId="0" applyFont="1" applyFill="1" applyBorder="1" applyAlignment="1">
      <alignment horizontal="left" vertical="center"/>
    </xf>
    <xf numFmtId="168" fontId="49" fillId="20" borderId="6" xfId="0" applyNumberFormat="1" applyFont="1" applyFill="1" applyBorder="1" applyAlignment="1">
      <alignment horizontal="left" vertical="center"/>
    </xf>
    <xf numFmtId="0" fontId="49" fillId="20" borderId="6" xfId="0" quotePrefix="1" applyFont="1" applyFill="1" applyBorder="1" applyAlignment="1">
      <alignment horizontal="left" vertical="center"/>
    </xf>
    <xf numFmtId="0" fontId="49" fillId="20" borderId="8" xfId="0" applyFont="1" applyFill="1" applyBorder="1" applyAlignment="1">
      <alignment horizontal="left" vertical="center"/>
    </xf>
    <xf numFmtId="0" fontId="49" fillId="20" borderId="10" xfId="0" quotePrefix="1" applyFont="1" applyFill="1" applyBorder="1" applyAlignment="1">
      <alignment horizontal="left" vertical="center"/>
    </xf>
    <xf numFmtId="0" fontId="49" fillId="20" borderId="11" xfId="0" applyFont="1" applyFill="1" applyBorder="1" applyAlignment="1">
      <alignment horizontal="left" vertical="center"/>
    </xf>
    <xf numFmtId="0" fontId="49" fillId="20" borderId="69" xfId="0" quotePrefix="1" applyFont="1" applyFill="1" applyBorder="1" applyAlignment="1">
      <alignment horizontal="left" vertical="center"/>
    </xf>
    <xf numFmtId="0" fontId="49" fillId="20" borderId="70" xfId="0" applyFont="1" applyFill="1" applyBorder="1" applyAlignment="1">
      <alignment horizontal="left" vertical="center"/>
    </xf>
    <xf numFmtId="168" fontId="49" fillId="20" borderId="10" xfId="0" applyNumberFormat="1" applyFont="1" applyFill="1" applyBorder="1" applyAlignment="1">
      <alignment horizontal="left" vertical="center"/>
    </xf>
    <xf numFmtId="0" fontId="49" fillId="20" borderId="87" xfId="0" quotePrefix="1" applyFont="1" applyFill="1" applyBorder="1" applyAlignment="1">
      <alignment horizontal="left" vertical="center"/>
    </xf>
    <xf numFmtId="0" fontId="49" fillId="20" borderId="88" xfId="0" applyFont="1" applyFill="1" applyBorder="1" applyAlignment="1">
      <alignment horizontal="left" vertical="center"/>
    </xf>
    <xf numFmtId="168" fontId="49" fillId="20" borderId="61" xfId="0" applyNumberFormat="1" applyFont="1" applyFill="1" applyBorder="1" applyAlignment="1">
      <alignment horizontal="left" vertical="center"/>
    </xf>
    <xf numFmtId="0" fontId="49" fillId="20" borderId="61" xfId="0" quotePrefix="1" applyFont="1" applyFill="1" applyBorder="1" applyAlignment="1">
      <alignment horizontal="left" vertical="center"/>
    </xf>
    <xf numFmtId="0" fontId="49" fillId="20" borderId="61" xfId="0" applyFont="1" applyFill="1" applyBorder="1" applyAlignment="1">
      <alignment horizontal="left" vertical="center"/>
    </xf>
    <xf numFmtId="0" fontId="49" fillId="20" borderId="62" xfId="0" applyFont="1" applyFill="1" applyBorder="1" applyAlignment="1">
      <alignment horizontal="left" vertical="center"/>
    </xf>
    <xf numFmtId="166" fontId="49" fillId="20" borderId="10" xfId="0" applyNumberFormat="1" applyFont="1" applyFill="1" applyBorder="1" applyAlignment="1">
      <alignment horizontal="left" vertical="center"/>
    </xf>
    <xf numFmtId="0" fontId="49" fillId="8" borderId="6" xfId="0" quotePrefix="1" applyFont="1" applyFill="1" applyBorder="1" applyAlignment="1">
      <alignment horizontal="center" vertical="center" wrapText="1"/>
    </xf>
    <xf numFmtId="0" fontId="49" fillId="18" borderId="10" xfId="0" applyFont="1" applyFill="1" applyBorder="1" applyAlignment="1">
      <alignment horizontal="center" vertical="center" wrapText="1"/>
    </xf>
    <xf numFmtId="2" fontId="53" fillId="10" borderId="6" xfId="0" applyNumberFormat="1" applyFont="1" applyFill="1" applyBorder="1" applyAlignment="1">
      <alignment horizontal="center" vertical="center" wrapText="1"/>
    </xf>
    <xf numFmtId="0" fontId="53" fillId="10" borderId="10" xfId="0" applyFont="1" applyFill="1" applyBorder="1" applyAlignment="1">
      <alignment horizontal="center" vertical="center" wrapText="1"/>
    </xf>
    <xf numFmtId="1" fontId="49" fillId="15" borderId="69" xfId="0" applyNumberFormat="1" applyFont="1" applyFill="1" applyBorder="1" applyAlignment="1">
      <alignment horizontal="center" vertical="center" wrapText="1"/>
    </xf>
    <xf numFmtId="1" fontId="49" fillId="15" borderId="6" xfId="0" applyNumberFormat="1" applyFont="1" applyFill="1" applyBorder="1" applyAlignment="1">
      <alignment horizontal="center" vertical="center" wrapText="1"/>
    </xf>
    <xf numFmtId="0" fontId="49" fillId="18" borderId="10" xfId="0" applyFont="1" applyFill="1" applyBorder="1" applyAlignment="1">
      <alignment horizontal="left" vertical="center" wrapText="1"/>
    </xf>
    <xf numFmtId="2" fontId="49" fillId="18" borderId="10" xfId="0" applyNumberFormat="1" applyFont="1" applyFill="1" applyBorder="1" applyAlignment="1">
      <alignment horizontal="center" vertical="center" wrapText="1"/>
    </xf>
    <xf numFmtId="165" fontId="49" fillId="11" borderId="6" xfId="0" applyNumberFormat="1" applyFont="1" applyFill="1" applyBorder="1" applyAlignment="1">
      <alignment horizontal="center" vertical="center" wrapText="1"/>
    </xf>
    <xf numFmtId="0" fontId="50" fillId="6" borderId="0" xfId="0" applyFont="1" applyFill="1" applyAlignment="1">
      <alignment horizontal="left"/>
    </xf>
    <xf numFmtId="0" fontId="46" fillId="8" borderId="6" xfId="0" quotePrefix="1" applyFont="1" applyFill="1" applyBorder="1" applyAlignment="1">
      <alignment horizontal="left" vertical="center"/>
    </xf>
    <xf numFmtId="0" fontId="46" fillId="10" borderId="6" xfId="0" quotePrefix="1" applyFont="1" applyFill="1" applyBorder="1" applyAlignment="1">
      <alignment horizontal="left" vertical="center"/>
    </xf>
    <xf numFmtId="0" fontId="46" fillId="7" borderId="6" xfId="0" quotePrefix="1" applyFont="1" applyFill="1" applyBorder="1" applyAlignment="1">
      <alignment horizontal="left" vertical="center"/>
    </xf>
    <xf numFmtId="168" fontId="49" fillId="20" borderId="69" xfId="0" applyNumberFormat="1" applyFont="1" applyFill="1" applyBorder="1" applyAlignment="1">
      <alignment horizontal="left" vertical="center"/>
    </xf>
    <xf numFmtId="168" fontId="49" fillId="20" borderId="87" xfId="0" applyNumberFormat="1" applyFont="1" applyFill="1" applyBorder="1" applyAlignment="1">
      <alignment horizontal="left" vertical="center"/>
    </xf>
    <xf numFmtId="0" fontId="49" fillId="20" borderId="10" xfId="0" applyFont="1" applyFill="1" applyBorder="1" applyAlignment="1">
      <alignment horizontal="left" vertical="center" wrapText="1"/>
    </xf>
    <xf numFmtId="168" fontId="49" fillId="20" borderId="15" xfId="0" applyNumberFormat="1" applyFont="1" applyFill="1" applyBorder="1" applyAlignment="1">
      <alignment horizontal="left" vertical="center"/>
    </xf>
    <xf numFmtId="0" fontId="56" fillId="7" borderId="85" xfId="0" applyFont="1" applyFill="1" applyBorder="1" applyAlignment="1">
      <alignment horizontal="left" vertical="center" wrapText="1"/>
    </xf>
    <xf numFmtId="0" fontId="57" fillId="7" borderId="93" xfId="0" applyFont="1" applyFill="1" applyBorder="1" applyAlignment="1">
      <alignment horizontal="left" vertical="center"/>
    </xf>
    <xf numFmtId="0" fontId="46" fillId="8" borderId="98" xfId="0" applyFont="1" applyFill="1" applyBorder="1" applyAlignment="1">
      <alignment horizontal="center" vertical="center"/>
    </xf>
    <xf numFmtId="0" fontId="49" fillId="19" borderId="7" xfId="0" applyFont="1" applyFill="1" applyBorder="1" applyAlignment="1">
      <alignment horizontal="left" vertical="center"/>
    </xf>
    <xf numFmtId="0" fontId="49" fillId="19" borderId="6" xfId="0" applyFont="1" applyFill="1" applyBorder="1" applyAlignment="1">
      <alignment horizontal="left" vertical="center"/>
    </xf>
    <xf numFmtId="0" fontId="49" fillId="19" borderId="6" xfId="0" quotePrefix="1" applyFont="1" applyFill="1" applyBorder="1" applyAlignment="1">
      <alignment horizontal="left" vertical="center"/>
    </xf>
    <xf numFmtId="0" fontId="49" fillId="19" borderId="8" xfId="0" applyFont="1" applyFill="1" applyBorder="1" applyAlignment="1">
      <alignment horizontal="left" vertical="center"/>
    </xf>
    <xf numFmtId="0" fontId="49" fillId="19" borderId="6" xfId="0" applyFont="1" applyFill="1" applyBorder="1" applyAlignment="1">
      <alignment horizontal="center" vertical="center" wrapText="1"/>
    </xf>
    <xf numFmtId="0" fontId="53" fillId="19" borderId="6" xfId="0" applyFont="1" applyFill="1" applyBorder="1" applyAlignment="1">
      <alignment horizontal="left" vertical="center"/>
    </xf>
    <xf numFmtId="0" fontId="53" fillId="19" borderId="8" xfId="0" applyFont="1" applyFill="1" applyBorder="1" applyAlignment="1">
      <alignment horizontal="left" vertical="center"/>
    </xf>
    <xf numFmtId="0" fontId="53" fillId="11" borderId="6" xfId="0" applyFont="1" applyFill="1" applyBorder="1" applyAlignment="1">
      <alignment horizontal="left" vertical="center" wrapText="1"/>
    </xf>
    <xf numFmtId="167" fontId="53" fillId="11" borderId="6" xfId="0" applyNumberFormat="1" applyFont="1" applyFill="1" applyBorder="1" applyAlignment="1">
      <alignment horizontal="center" vertical="center" wrapText="1"/>
    </xf>
    <xf numFmtId="0" fontId="53" fillId="11" borderId="6" xfId="0" quotePrefix="1" applyFont="1" applyFill="1" applyBorder="1" applyAlignment="1">
      <alignment horizontal="center" vertical="center" wrapText="1"/>
    </xf>
    <xf numFmtId="0" fontId="49" fillId="19" borderId="73" xfId="0" applyFont="1" applyFill="1" applyBorder="1" applyAlignment="1">
      <alignment horizontal="left" vertical="center"/>
    </xf>
    <xf numFmtId="2" fontId="49" fillId="19" borderId="6" xfId="0" applyNumberFormat="1" applyFont="1" applyFill="1" applyBorder="1" applyAlignment="1">
      <alignment horizontal="left" vertical="center"/>
    </xf>
    <xf numFmtId="2" fontId="49" fillId="11" borderId="6" xfId="0" applyNumberFormat="1" applyFont="1" applyFill="1" applyBorder="1" applyAlignment="1">
      <alignment horizontal="left" vertical="center"/>
    </xf>
    <xf numFmtId="0" fontId="49" fillId="11" borderId="97" xfId="0" applyFont="1" applyFill="1" applyBorder="1" applyAlignment="1">
      <alignment horizontal="left" vertical="center"/>
    </xf>
    <xf numFmtId="165" fontId="53" fillId="9" borderId="87" xfId="0" applyNumberFormat="1" applyFont="1" applyFill="1" applyBorder="1" applyAlignment="1">
      <alignment horizontal="center" vertical="center" wrapText="1"/>
    </xf>
    <xf numFmtId="0" fontId="53" fillId="9" borderId="87" xfId="0" applyFont="1" applyFill="1" applyBorder="1" applyAlignment="1">
      <alignment horizontal="center" vertical="center" wrapText="1"/>
    </xf>
    <xf numFmtId="167" fontId="53" fillId="9" borderId="10" xfId="0" applyNumberFormat="1" applyFont="1" applyFill="1" applyBorder="1" applyAlignment="1">
      <alignment horizontal="center" vertical="center" wrapText="1"/>
    </xf>
    <xf numFmtId="0" fontId="56" fillId="7" borderId="5" xfId="0" applyFont="1" applyFill="1" applyBorder="1" applyAlignment="1">
      <alignment horizontal="left" vertical="center" wrapText="1"/>
    </xf>
    <xf numFmtId="0" fontId="57" fillId="7" borderId="90" xfId="0" applyFont="1" applyFill="1" applyBorder="1" applyAlignment="1">
      <alignment horizontal="center" vertical="center" wrapText="1"/>
    </xf>
    <xf numFmtId="0" fontId="46" fillId="20" borderId="98" xfId="0" applyFont="1" applyFill="1" applyBorder="1" applyAlignment="1">
      <alignment horizontal="center" vertical="center" wrapText="1"/>
    </xf>
    <xf numFmtId="0" fontId="46" fillId="20" borderId="83" xfId="0" applyFont="1" applyFill="1" applyBorder="1" applyAlignment="1">
      <alignment horizontal="center" vertical="center" wrapText="1"/>
    </xf>
    <xf numFmtId="0" fontId="46" fillId="8" borderId="98" xfId="0" quotePrefix="1" applyFont="1" applyFill="1" applyBorder="1" applyAlignment="1">
      <alignment horizontal="center" vertical="center"/>
    </xf>
    <xf numFmtId="0" fontId="46" fillId="8" borderId="98" xfId="0" applyFont="1" applyFill="1" applyBorder="1" applyAlignment="1">
      <alignment horizontal="left" vertical="center"/>
    </xf>
    <xf numFmtId="0" fontId="46" fillId="20" borderId="6" xfId="0" quotePrefix="1" applyFont="1" applyFill="1" applyBorder="1" applyAlignment="1">
      <alignment horizontal="left" vertical="center"/>
    </xf>
    <xf numFmtId="0" fontId="56" fillId="7" borderId="78" xfId="0" applyFont="1" applyFill="1" applyBorder="1" applyAlignment="1">
      <alignment horizontal="center" vertical="center" wrapText="1"/>
    </xf>
    <xf numFmtId="2" fontId="53" fillId="10" borderId="83" xfId="0" applyNumberFormat="1" applyFont="1" applyFill="1" applyBorder="1" applyAlignment="1">
      <alignment horizontal="center" vertical="center" wrapText="1"/>
    </xf>
    <xf numFmtId="0" fontId="53" fillId="10" borderId="83" xfId="0" applyFont="1" applyFill="1" applyBorder="1" applyAlignment="1">
      <alignment horizontal="center" vertical="center" wrapText="1"/>
    </xf>
    <xf numFmtId="165" fontId="53" fillId="10" borderId="6" xfId="0" applyNumberFormat="1" applyFont="1" applyFill="1" applyBorder="1" applyAlignment="1">
      <alignment horizontal="center" vertical="center" wrapText="1"/>
    </xf>
    <xf numFmtId="0" fontId="53" fillId="10" borderId="98" xfId="0" applyFont="1" applyFill="1" applyBorder="1" applyAlignment="1">
      <alignment horizontal="left" vertical="center" wrapText="1"/>
    </xf>
    <xf numFmtId="2" fontId="53" fillId="10" borderId="98" xfId="0" applyNumberFormat="1" applyFont="1" applyFill="1" applyBorder="1" applyAlignment="1">
      <alignment horizontal="center" vertical="center" wrapText="1"/>
    </xf>
    <xf numFmtId="0" fontId="53" fillId="10" borderId="98" xfId="0" applyFont="1" applyFill="1" applyBorder="1" applyAlignment="1">
      <alignment horizontal="center" vertical="center" wrapText="1"/>
    </xf>
    <xf numFmtId="0" fontId="53" fillId="20" borderId="83" xfId="0" applyFont="1" applyFill="1" applyBorder="1" applyAlignment="1">
      <alignment horizontal="center" vertical="center" wrapText="1"/>
    </xf>
    <xf numFmtId="0" fontId="53" fillId="20" borderId="6" xfId="0" applyFont="1" applyFill="1" applyBorder="1" applyAlignment="1">
      <alignment horizontal="left" vertical="center" wrapText="1"/>
    </xf>
    <xf numFmtId="0" fontId="53" fillId="20" borderId="6" xfId="0" applyFont="1" applyFill="1" applyBorder="1" applyAlignment="1">
      <alignment horizontal="center" vertical="center" wrapText="1"/>
    </xf>
    <xf numFmtId="0" fontId="53" fillId="20" borderId="10" xfId="0" applyFont="1" applyFill="1" applyBorder="1" applyAlignment="1">
      <alignment horizontal="left" vertical="center" wrapText="1"/>
    </xf>
    <xf numFmtId="0" fontId="53" fillId="20" borderId="10" xfId="0" applyFont="1" applyFill="1" applyBorder="1" applyAlignment="1">
      <alignment horizontal="center" vertical="center" wrapText="1"/>
    </xf>
    <xf numFmtId="167" fontId="53" fillId="20" borderId="6" xfId="0" applyNumberFormat="1" applyFont="1" applyFill="1" applyBorder="1" applyAlignment="1">
      <alignment horizontal="center" vertical="center" wrapText="1"/>
    </xf>
    <xf numFmtId="0" fontId="53" fillId="20" borderId="6" xfId="0" quotePrefix="1" applyFont="1" applyFill="1" applyBorder="1" applyAlignment="1">
      <alignment horizontal="center" vertical="center" wrapText="1"/>
    </xf>
    <xf numFmtId="0" fontId="49" fillId="10" borderId="98" xfId="0" applyFont="1" applyFill="1" applyBorder="1" applyAlignment="1">
      <alignment horizontal="center" vertical="center" wrapText="1"/>
    </xf>
    <xf numFmtId="0" fontId="56" fillId="2" borderId="0" xfId="0" applyFont="1" applyFill="1" applyAlignment="1">
      <alignment horizontal="center" vertical="center"/>
    </xf>
    <xf numFmtId="0" fontId="49" fillId="20" borderId="6" xfId="0" applyFont="1" applyFill="1" applyBorder="1" applyAlignment="1">
      <alignment horizontal="center" vertical="center" wrapText="1"/>
    </xf>
    <xf numFmtId="0" fontId="49" fillId="20" borderId="6" xfId="0" applyFont="1" applyFill="1" applyBorder="1" applyAlignment="1">
      <alignment horizontal="center" vertical="center"/>
    </xf>
    <xf numFmtId="0" fontId="34" fillId="0" borderId="0" xfId="0" applyFont="1" applyAlignment="1">
      <alignment horizontal="left"/>
    </xf>
    <xf numFmtId="0" fontId="46" fillId="10" borderId="98" xfId="0" applyFont="1" applyFill="1" applyBorder="1" applyAlignment="1">
      <alignment horizontal="left" vertical="center"/>
    </xf>
    <xf numFmtId="0" fontId="46" fillId="10" borderId="10" xfId="0" applyFont="1" applyFill="1" applyBorder="1" applyAlignment="1">
      <alignment horizontal="left" vertical="center"/>
    </xf>
    <xf numFmtId="0" fontId="46" fillId="7" borderId="98" xfId="0" applyFont="1" applyFill="1" applyBorder="1" applyAlignment="1">
      <alignment horizontal="left" vertical="center"/>
    </xf>
    <xf numFmtId="0" fontId="46" fillId="7" borderId="10" xfId="0" applyFont="1" applyFill="1" applyBorder="1" applyAlignment="1">
      <alignment horizontal="left" vertical="center"/>
    </xf>
    <xf numFmtId="0" fontId="46" fillId="10" borderId="98" xfId="0" quotePrefix="1" applyFont="1" applyFill="1" applyBorder="1" applyAlignment="1">
      <alignment horizontal="left" vertical="center"/>
    </xf>
    <xf numFmtId="0" fontId="46" fillId="10" borderId="10" xfId="0" quotePrefix="1" applyFont="1" applyFill="1" applyBorder="1" applyAlignment="1">
      <alignment horizontal="left" vertical="center"/>
    </xf>
    <xf numFmtId="0" fontId="46" fillId="7" borderId="98" xfId="0" quotePrefix="1" applyFont="1" applyFill="1" applyBorder="1" applyAlignment="1">
      <alignment horizontal="left" vertical="center"/>
    </xf>
    <xf numFmtId="0" fontId="46" fillId="7" borderId="10" xfId="0" quotePrefix="1" applyFont="1" applyFill="1" applyBorder="1" applyAlignment="1">
      <alignment horizontal="left" vertical="center"/>
    </xf>
    <xf numFmtId="0" fontId="53" fillId="0" borderId="0" xfId="0" applyFont="1" applyAlignment="1">
      <alignment vertical="center"/>
    </xf>
    <xf numFmtId="2" fontId="49" fillId="9" borderId="6" xfId="0" applyNumberFormat="1" applyFont="1" applyFill="1" applyBorder="1" applyAlignment="1">
      <alignment horizontal="left" vertical="center"/>
    </xf>
    <xf numFmtId="165" fontId="46" fillId="9" borderId="6" xfId="0" applyNumberFormat="1" applyFont="1" applyFill="1" applyBorder="1" applyAlignment="1">
      <alignment horizontal="left" vertical="center"/>
    </xf>
    <xf numFmtId="0" fontId="49" fillId="20" borderId="98" xfId="0" applyFont="1" applyFill="1" applyBorder="1" applyAlignment="1">
      <alignment horizontal="left" vertical="center"/>
    </xf>
    <xf numFmtId="0" fontId="82" fillId="0" borderId="105" xfId="34" applyFont="1" applyBorder="1" applyAlignment="1">
      <alignment horizontal="left" vertical="center" wrapText="1"/>
    </xf>
    <xf numFmtId="0" fontId="49" fillId="0" borderId="106" xfId="0" applyFont="1" applyBorder="1" applyAlignment="1">
      <alignment horizontal="center" vertical="center" wrapText="1"/>
    </xf>
    <xf numFmtId="0" fontId="82" fillId="0" borderId="9" xfId="34" applyFont="1" applyBorder="1" applyAlignment="1">
      <alignment horizontal="left" vertical="center" wrapText="1"/>
    </xf>
    <xf numFmtId="0" fontId="46" fillId="20" borderId="105" xfId="0" applyFont="1" applyFill="1" applyBorder="1" applyAlignment="1">
      <alignment horizontal="center" vertical="center"/>
    </xf>
    <xf numFmtId="0" fontId="49" fillId="9" borderId="105" xfId="0" applyFont="1" applyFill="1" applyBorder="1" applyAlignment="1">
      <alignment horizontal="left" vertical="center"/>
    </xf>
    <xf numFmtId="167" fontId="49" fillId="9" borderId="97" xfId="0" applyNumberFormat="1" applyFont="1" applyFill="1" applyBorder="1" applyAlignment="1">
      <alignment horizontal="left" vertical="center" wrapText="1"/>
    </xf>
    <xf numFmtId="167" fontId="49" fillId="9" borderId="97" xfId="0" applyNumberFormat="1" applyFont="1" applyFill="1" applyBorder="1" applyAlignment="1">
      <alignment horizontal="center" vertical="center" wrapText="1"/>
    </xf>
    <xf numFmtId="0" fontId="49" fillId="9" borderId="97" xfId="0" applyFont="1" applyFill="1" applyBorder="1" applyAlignment="1">
      <alignment horizontal="center" vertical="center" wrapText="1"/>
    </xf>
    <xf numFmtId="2" fontId="49" fillId="9" borderId="97" xfId="0" applyNumberFormat="1" applyFont="1" applyFill="1" applyBorder="1" applyAlignment="1">
      <alignment horizontal="left" vertical="center" wrapText="1"/>
    </xf>
    <xf numFmtId="2" fontId="49" fillId="9" borderId="97" xfId="0" applyNumberFormat="1" applyFont="1" applyFill="1" applyBorder="1" applyAlignment="1">
      <alignment horizontal="center" vertical="center" wrapText="1"/>
    </xf>
    <xf numFmtId="167" fontId="49" fillId="24" borderId="97" xfId="0" applyNumberFormat="1" applyFont="1" applyFill="1" applyBorder="1" applyAlignment="1">
      <alignment horizontal="left" vertical="center" wrapText="1"/>
    </xf>
    <xf numFmtId="167" fontId="49" fillId="24" borderId="97" xfId="0" applyNumberFormat="1" applyFont="1" applyFill="1" applyBorder="1" applyAlignment="1">
      <alignment horizontal="center" vertical="center" wrapText="1"/>
    </xf>
    <xf numFmtId="0" fontId="49" fillId="24" borderId="97" xfId="0" applyFont="1" applyFill="1" applyBorder="1" applyAlignment="1">
      <alignment horizontal="center" vertical="center" wrapText="1"/>
    </xf>
    <xf numFmtId="2" fontId="49" fillId="24" borderId="97" xfId="0" applyNumberFormat="1" applyFont="1" applyFill="1" applyBorder="1" applyAlignment="1">
      <alignment horizontal="left" vertical="center" wrapText="1"/>
    </xf>
    <xf numFmtId="2" fontId="49" fillId="24" borderId="97" xfId="0" applyNumberFormat="1" applyFont="1" applyFill="1" applyBorder="1" applyAlignment="1">
      <alignment horizontal="center" vertical="center" wrapText="1"/>
    </xf>
    <xf numFmtId="0" fontId="46" fillId="24" borderId="97" xfId="0" applyFont="1" applyFill="1" applyBorder="1" applyAlignment="1">
      <alignment horizontal="center"/>
    </xf>
    <xf numFmtId="167" fontId="49" fillId="24" borderId="97" xfId="0" applyNumberFormat="1" applyFont="1" applyFill="1" applyBorder="1" applyAlignment="1">
      <alignment horizontal="left" vertical="center"/>
    </xf>
    <xf numFmtId="166" fontId="49" fillId="24" borderId="97" xfId="0" applyNumberFormat="1" applyFont="1" applyFill="1" applyBorder="1" applyAlignment="1">
      <alignment horizontal="center" vertical="center"/>
    </xf>
    <xf numFmtId="0" fontId="49" fillId="8" borderId="97" xfId="0" applyFont="1" applyFill="1" applyBorder="1" applyAlignment="1">
      <alignment horizontal="left" vertical="center" wrapText="1"/>
    </xf>
    <xf numFmtId="0" fontId="49" fillId="21" borderId="97" xfId="0" applyFont="1" applyFill="1" applyBorder="1" applyAlignment="1">
      <alignment horizontal="left" vertical="center" wrapText="1"/>
    </xf>
    <xf numFmtId="0" fontId="53" fillId="21" borderId="97" xfId="0" applyFont="1" applyFill="1" applyBorder="1" applyAlignment="1">
      <alignment horizontal="left" vertical="center"/>
    </xf>
    <xf numFmtId="0" fontId="49" fillId="21" borderId="10" xfId="0" applyFont="1" applyFill="1" applyBorder="1" applyAlignment="1">
      <alignment horizontal="left" vertical="center" wrapText="1"/>
    </xf>
    <xf numFmtId="165" fontId="49" fillId="21" borderId="98" xfId="0" applyNumberFormat="1" applyFont="1" applyFill="1" applyBorder="1" applyAlignment="1">
      <alignment horizontal="center" vertical="center" wrapText="1"/>
    </xf>
    <xf numFmtId="0" fontId="49" fillId="21" borderId="98" xfId="0" applyFont="1" applyFill="1" applyBorder="1" applyAlignment="1">
      <alignment horizontal="center" vertical="center" wrapText="1"/>
    </xf>
    <xf numFmtId="165" fontId="53" fillId="21" borderId="97" xfId="0" applyNumberFormat="1" applyFont="1" applyFill="1" applyBorder="1" applyAlignment="1">
      <alignment horizontal="center" vertical="center"/>
    </xf>
    <xf numFmtId="0" fontId="53" fillId="21" borderId="97" xfId="0" applyFont="1" applyFill="1" applyBorder="1" applyAlignment="1">
      <alignment horizontal="center" vertical="center"/>
    </xf>
    <xf numFmtId="0" fontId="49" fillId="21" borderId="108" xfId="0" applyFont="1" applyFill="1" applyBorder="1" applyAlignment="1">
      <alignment horizontal="left" vertical="center" wrapText="1"/>
    </xf>
    <xf numFmtId="165" fontId="49" fillId="21" borderId="108" xfId="0" applyNumberFormat="1" applyFont="1" applyFill="1" applyBorder="1" applyAlignment="1">
      <alignment horizontal="center" vertical="center" wrapText="1"/>
    </xf>
    <xf numFmtId="0" fontId="49" fillId="21" borderId="108" xfId="0" applyFont="1" applyFill="1" applyBorder="1" applyAlignment="1">
      <alignment horizontal="center" vertical="center" wrapText="1"/>
    </xf>
    <xf numFmtId="2" fontId="49" fillId="21" borderId="97" xfId="0" applyNumberFormat="1" applyFont="1" applyFill="1" applyBorder="1" applyAlignment="1">
      <alignment horizontal="center" vertical="center" wrapText="1"/>
    </xf>
    <xf numFmtId="0" fontId="49" fillId="21" borderId="97" xfId="0" applyFont="1" applyFill="1" applyBorder="1" applyAlignment="1">
      <alignment horizontal="center" vertical="center" wrapText="1"/>
    </xf>
    <xf numFmtId="2" fontId="49" fillId="21" borderId="10" xfId="0" applyNumberFormat="1" applyFont="1" applyFill="1" applyBorder="1" applyAlignment="1">
      <alignment horizontal="center" vertical="center" wrapText="1"/>
    </xf>
    <xf numFmtId="0" fontId="49" fillId="21" borderId="10" xfId="0" applyFont="1" applyFill="1" applyBorder="1" applyAlignment="1">
      <alignment horizontal="center" vertical="center" wrapText="1"/>
    </xf>
    <xf numFmtId="0" fontId="49" fillId="11" borderId="105" xfId="0" applyFont="1" applyFill="1" applyBorder="1" applyAlignment="1">
      <alignment horizontal="left" vertical="center"/>
    </xf>
    <xf numFmtId="0" fontId="49" fillId="11" borderId="97" xfId="0" applyFont="1" applyFill="1" applyBorder="1" applyAlignment="1">
      <alignment horizontal="left" vertical="center" wrapText="1"/>
    </xf>
    <xf numFmtId="0" fontId="49" fillId="11" borderId="97" xfId="0" applyFont="1" applyFill="1" applyBorder="1" applyAlignment="1">
      <alignment horizontal="center" vertical="center" wrapText="1"/>
    </xf>
    <xf numFmtId="2" fontId="49" fillId="11" borderId="97" xfId="0" applyNumberFormat="1" applyFont="1" applyFill="1" applyBorder="1" applyAlignment="1">
      <alignment horizontal="center" vertical="center" wrapText="1"/>
    </xf>
    <xf numFmtId="0" fontId="53" fillId="11" borderId="97" xfId="0" applyFont="1" applyFill="1" applyBorder="1" applyAlignment="1">
      <alignment horizontal="left" vertical="center" wrapText="1"/>
    </xf>
    <xf numFmtId="0" fontId="49" fillId="11" borderId="98" xfId="0" applyFont="1" applyFill="1" applyBorder="1" applyAlignment="1">
      <alignment horizontal="left" vertical="center"/>
    </xf>
    <xf numFmtId="0" fontId="49" fillId="11" borderId="98" xfId="0" quotePrefix="1" applyFont="1" applyFill="1" applyBorder="1" applyAlignment="1">
      <alignment horizontal="center" vertical="center" wrapText="1"/>
    </xf>
    <xf numFmtId="0" fontId="49" fillId="11" borderId="98" xfId="0" applyFont="1" applyFill="1" applyBorder="1" applyAlignment="1">
      <alignment horizontal="center" vertical="center" wrapText="1"/>
    </xf>
    <xf numFmtId="0" fontId="53" fillId="10" borderId="108" xfId="0" applyFont="1" applyFill="1" applyBorder="1" applyAlignment="1">
      <alignment horizontal="left" vertical="center" wrapText="1"/>
    </xf>
    <xf numFmtId="165" fontId="53" fillId="10" borderId="97" xfId="0" applyNumberFormat="1" applyFont="1" applyFill="1" applyBorder="1" applyAlignment="1">
      <alignment horizontal="left" vertical="center" wrapText="1"/>
    </xf>
    <xf numFmtId="166" fontId="53" fillId="10" borderId="97" xfId="0" applyNumberFormat="1" applyFont="1" applyFill="1" applyBorder="1" applyAlignment="1">
      <alignment horizontal="left" vertical="center" wrapText="1"/>
    </xf>
    <xf numFmtId="2" fontId="53" fillId="10" borderId="97" xfId="0" applyNumberFormat="1" applyFont="1" applyFill="1" applyBorder="1" applyAlignment="1">
      <alignment horizontal="left" vertical="center" wrapText="1"/>
    </xf>
    <xf numFmtId="2" fontId="53" fillId="10" borderId="10" xfId="0" applyNumberFormat="1" applyFont="1" applyFill="1" applyBorder="1" applyAlignment="1">
      <alignment horizontal="left" vertical="center" wrapText="1"/>
    </xf>
    <xf numFmtId="0" fontId="53" fillId="20" borderId="108" xfId="0" applyFont="1" applyFill="1" applyBorder="1" applyAlignment="1">
      <alignment horizontal="left" vertical="center" wrapText="1"/>
    </xf>
    <xf numFmtId="0" fontId="53" fillId="20" borderId="97" xfId="0" applyFont="1" applyFill="1" applyBorder="1" applyAlignment="1">
      <alignment horizontal="left" vertical="center" wrapText="1"/>
    </xf>
    <xf numFmtId="0" fontId="49" fillId="12" borderId="108" xfId="0" applyFont="1" applyFill="1" applyBorder="1" applyAlignment="1">
      <alignment horizontal="left" vertical="center"/>
    </xf>
    <xf numFmtId="0" fontId="49" fillId="12" borderId="97" xfId="0" applyFont="1" applyFill="1" applyBorder="1" applyAlignment="1">
      <alignment horizontal="left" vertical="center"/>
    </xf>
    <xf numFmtId="0" fontId="53" fillId="18" borderId="98" xfId="0" applyFont="1" applyFill="1" applyBorder="1" applyAlignment="1">
      <alignment horizontal="left" vertical="center"/>
    </xf>
    <xf numFmtId="0" fontId="53" fillId="18" borderId="97" xfId="0" applyFont="1" applyFill="1" applyBorder="1" applyAlignment="1">
      <alignment horizontal="left" vertical="center"/>
    </xf>
    <xf numFmtId="0" fontId="49" fillId="15" borderId="108" xfId="0" applyFont="1" applyFill="1" applyBorder="1" applyAlignment="1">
      <alignment horizontal="left" vertical="center" wrapText="1"/>
    </xf>
    <xf numFmtId="0" fontId="49" fillId="15" borderId="97" xfId="0" applyFont="1" applyFill="1" applyBorder="1" applyAlignment="1">
      <alignment horizontal="left" vertical="center" wrapText="1"/>
    </xf>
    <xf numFmtId="0" fontId="53" fillId="15" borderId="97" xfId="0" applyFont="1" applyFill="1" applyBorder="1" applyAlignment="1">
      <alignment horizontal="left" vertical="center" wrapText="1"/>
    </xf>
    <xf numFmtId="0" fontId="49" fillId="7" borderId="97" xfId="0" applyFont="1" applyFill="1" applyBorder="1" applyAlignment="1">
      <alignment horizontal="left" vertical="center" wrapText="1"/>
    </xf>
    <xf numFmtId="165" fontId="53" fillId="9" borderId="108" xfId="0" applyNumberFormat="1" applyFont="1" applyFill="1" applyBorder="1" applyAlignment="1">
      <alignment horizontal="left" vertical="center" wrapText="1"/>
    </xf>
    <xf numFmtId="165" fontId="53" fillId="9" borderId="97" xfId="0" applyNumberFormat="1" applyFont="1" applyFill="1" applyBorder="1" applyAlignment="1">
      <alignment horizontal="left" vertical="center" wrapText="1"/>
    </xf>
    <xf numFmtId="166" fontId="53" fillId="9" borderId="97" xfId="0" applyNumberFormat="1" applyFont="1" applyFill="1" applyBorder="1" applyAlignment="1">
      <alignment horizontal="left" vertical="center" wrapText="1"/>
    </xf>
    <xf numFmtId="2" fontId="53" fillId="9" borderId="97" xfId="0" applyNumberFormat="1" applyFont="1" applyFill="1" applyBorder="1" applyAlignment="1">
      <alignment horizontal="left" vertical="center" wrapText="1"/>
    </xf>
    <xf numFmtId="167" fontId="53" fillId="9" borderId="97" xfId="0" applyNumberFormat="1" applyFont="1" applyFill="1" applyBorder="1" applyAlignment="1">
      <alignment horizontal="left" vertical="center" wrapText="1"/>
    </xf>
    <xf numFmtId="167" fontId="53" fillId="9" borderId="10" xfId="0" applyNumberFormat="1" applyFont="1" applyFill="1" applyBorder="1" applyAlignment="1">
      <alignment horizontal="left" vertical="center" wrapText="1"/>
    </xf>
    <xf numFmtId="0" fontId="53" fillId="11" borderId="105" xfId="0" applyFont="1" applyFill="1" applyBorder="1" applyAlignment="1">
      <alignment horizontal="left" vertical="center"/>
    </xf>
    <xf numFmtId="167" fontId="53" fillId="11" borderId="97" xfId="0" applyNumberFormat="1" applyFont="1" applyFill="1" applyBorder="1" applyAlignment="1">
      <alignment horizontal="center" vertical="center" wrapText="1"/>
    </xf>
    <xf numFmtId="0" fontId="53" fillId="11" borderId="97" xfId="0" quotePrefix="1" applyFont="1" applyFill="1" applyBorder="1" applyAlignment="1">
      <alignment horizontal="center" vertical="center" wrapText="1"/>
    </xf>
    <xf numFmtId="0" fontId="49" fillId="8" borderId="108" xfId="0" applyFont="1" applyFill="1" applyBorder="1" applyAlignment="1">
      <alignment horizontal="left" vertical="center" wrapText="1"/>
    </xf>
    <xf numFmtId="0" fontId="49" fillId="12" borderId="97" xfId="0" applyFont="1" applyFill="1" applyBorder="1" applyAlignment="1">
      <alignment horizontal="left" vertical="center" wrapText="1"/>
    </xf>
    <xf numFmtId="0" fontId="49" fillId="10" borderId="97" xfId="0" applyFont="1" applyFill="1" applyBorder="1" applyAlignment="1">
      <alignment horizontal="left" vertical="center" wrapText="1"/>
    </xf>
    <xf numFmtId="0" fontId="49" fillId="20" borderId="97" xfId="0" applyFont="1" applyFill="1" applyBorder="1" applyAlignment="1">
      <alignment horizontal="left" vertical="center" wrapText="1"/>
    </xf>
    <xf numFmtId="0" fontId="49" fillId="25" borderId="37" xfId="0" quotePrefix="1" applyFont="1" applyFill="1" applyBorder="1" applyAlignment="1">
      <alignment horizontal="left" vertical="center"/>
    </xf>
    <xf numFmtId="0" fontId="49" fillId="25" borderId="15" xfId="0" applyFont="1" applyFill="1" applyBorder="1" applyAlignment="1">
      <alignment horizontal="left" vertical="center"/>
    </xf>
    <xf numFmtId="0" fontId="49" fillId="25" borderId="15" xfId="0" quotePrefix="1" applyFont="1" applyFill="1" applyBorder="1" applyAlignment="1">
      <alignment horizontal="left" vertical="center"/>
    </xf>
    <xf numFmtId="0" fontId="49" fillId="25" borderId="15" xfId="0" applyFont="1" applyFill="1" applyBorder="1" applyAlignment="1">
      <alignment horizontal="left" vertical="center" wrapText="1"/>
    </xf>
    <xf numFmtId="0" fontId="49" fillId="25" borderId="7" xfId="0" quotePrefix="1" applyFont="1" applyFill="1" applyBorder="1" applyAlignment="1">
      <alignment horizontal="left" vertical="center"/>
    </xf>
    <xf numFmtId="0" fontId="49" fillId="25" borderId="6" xfId="0" applyFont="1" applyFill="1" applyBorder="1" applyAlignment="1">
      <alignment horizontal="left" vertical="center"/>
    </xf>
    <xf numFmtId="0" fontId="49" fillId="25" borderId="6" xfId="0" quotePrefix="1" applyFont="1" applyFill="1" applyBorder="1" applyAlignment="1">
      <alignment horizontal="left" vertical="center"/>
    </xf>
    <xf numFmtId="0" fontId="49" fillId="25" borderId="6" xfId="0" applyFont="1" applyFill="1" applyBorder="1" applyAlignment="1">
      <alignment horizontal="left" vertical="center" wrapText="1"/>
    </xf>
    <xf numFmtId="167" fontId="49" fillId="25" borderId="6" xfId="0" applyNumberFormat="1" applyFont="1" applyFill="1" applyBorder="1" applyAlignment="1">
      <alignment horizontal="left" vertical="center"/>
    </xf>
    <xf numFmtId="166" fontId="49" fillId="25" borderId="6" xfId="0" applyNumberFormat="1" applyFont="1" applyFill="1" applyBorder="1" applyAlignment="1">
      <alignment horizontal="left" vertical="center"/>
    </xf>
    <xf numFmtId="0" fontId="49" fillId="25" borderId="9" xfId="0" quotePrefix="1" applyFont="1" applyFill="1" applyBorder="1" applyAlignment="1">
      <alignment horizontal="left" vertical="center"/>
    </xf>
    <xf numFmtId="0" fontId="49" fillId="25" borderId="10" xfId="0" applyFont="1" applyFill="1" applyBorder="1" applyAlignment="1">
      <alignment horizontal="left" vertical="center"/>
    </xf>
    <xf numFmtId="0" fontId="49" fillId="25" borderId="10" xfId="0" quotePrefix="1" applyFont="1" applyFill="1" applyBorder="1" applyAlignment="1">
      <alignment horizontal="left" vertical="center"/>
    </xf>
    <xf numFmtId="0" fontId="49" fillId="25" borderId="10" xfId="0" applyFont="1" applyFill="1" applyBorder="1" applyAlignment="1">
      <alignment horizontal="left" vertical="center" wrapText="1"/>
    </xf>
    <xf numFmtId="0" fontId="56" fillId="7" borderId="110" xfId="0" applyFont="1" applyFill="1" applyBorder="1" applyAlignment="1">
      <alignment horizontal="left" vertical="center" wrapText="1"/>
    </xf>
    <xf numFmtId="0" fontId="49" fillId="8" borderId="97" xfId="0" quotePrefix="1" applyFont="1" applyFill="1" applyBorder="1" applyAlignment="1">
      <alignment horizontal="left" vertical="center"/>
    </xf>
    <xf numFmtId="0" fontId="49" fillId="8" borderId="98" xfId="0" quotePrefix="1" applyFont="1" applyFill="1" applyBorder="1" applyAlignment="1">
      <alignment horizontal="left" vertical="center"/>
    </xf>
    <xf numFmtId="0" fontId="49" fillId="8" borderId="105" xfId="0" applyFont="1" applyFill="1" applyBorder="1" applyAlignment="1">
      <alignment horizontal="left" vertical="center"/>
    </xf>
    <xf numFmtId="0" fontId="49" fillId="8" borderId="97" xfId="0" applyFont="1" applyFill="1" applyBorder="1" applyAlignment="1">
      <alignment horizontal="left" vertical="center"/>
    </xf>
    <xf numFmtId="0" fontId="49" fillId="8" borderId="106" xfId="0" applyFont="1" applyFill="1" applyBorder="1" applyAlignment="1">
      <alignment horizontal="left" vertical="center"/>
    </xf>
    <xf numFmtId="0" fontId="49" fillId="8" borderId="101" xfId="0" applyFont="1" applyFill="1" applyBorder="1" applyAlignment="1">
      <alignment horizontal="left" vertical="center"/>
    </xf>
    <xf numFmtId="0" fontId="49" fillId="8" borderId="98" xfId="0" applyFont="1" applyFill="1" applyBorder="1" applyAlignment="1">
      <alignment horizontal="left" vertical="center"/>
    </xf>
    <xf numFmtId="0" fontId="49" fillId="8" borderId="102" xfId="0" applyFont="1" applyFill="1" applyBorder="1" applyAlignment="1">
      <alignment horizontal="left" vertical="center"/>
    </xf>
    <xf numFmtId="0" fontId="49" fillId="20" borderId="105" xfId="0" applyFont="1" applyFill="1" applyBorder="1" applyAlignment="1">
      <alignment horizontal="left" vertical="center"/>
    </xf>
    <xf numFmtId="0" fontId="49" fillId="7" borderId="105" xfId="0" applyFont="1" applyFill="1" applyBorder="1" applyAlignment="1">
      <alignment horizontal="left" vertical="center"/>
    </xf>
    <xf numFmtId="0" fontId="53" fillId="11" borderId="97" xfId="0" applyFont="1" applyFill="1" applyBorder="1" applyAlignment="1">
      <alignment horizontal="left" vertical="center"/>
    </xf>
    <xf numFmtId="0" fontId="53" fillId="11" borderId="106" xfId="0" applyFont="1" applyFill="1" applyBorder="1" applyAlignment="1">
      <alignment horizontal="left" vertical="center"/>
    </xf>
    <xf numFmtId="0" fontId="49" fillId="20" borderId="30" xfId="0" applyFont="1" applyFill="1" applyBorder="1" applyAlignment="1">
      <alignment horizontal="left" vertical="center"/>
    </xf>
    <xf numFmtId="0" fontId="53" fillId="10" borderId="111" xfId="0" applyFont="1" applyFill="1" applyBorder="1" applyAlignment="1">
      <alignment horizontal="center" vertical="center" wrapText="1"/>
    </xf>
    <xf numFmtId="0" fontId="53" fillId="20" borderId="111" xfId="0" applyFont="1" applyFill="1" applyBorder="1" applyAlignment="1">
      <alignment horizontal="center" vertical="center" wrapText="1"/>
    </xf>
    <xf numFmtId="0" fontId="46" fillId="0" borderId="106" xfId="0" applyFont="1" applyBorder="1"/>
    <xf numFmtId="0" fontId="56" fillId="7" borderId="113" xfId="0" applyFont="1" applyFill="1" applyBorder="1" applyAlignment="1">
      <alignment horizontal="left" vertical="center" wrapText="1"/>
    </xf>
    <xf numFmtId="0" fontId="49" fillId="0" borderId="122" xfId="0" applyFont="1" applyBorder="1" applyAlignment="1">
      <alignment horizontal="center" vertical="center"/>
    </xf>
    <xf numFmtId="0" fontId="49" fillId="0" borderId="122" xfId="0" applyFont="1" applyBorder="1" applyAlignment="1">
      <alignment horizontal="center" vertical="center" wrapText="1"/>
    </xf>
    <xf numFmtId="0" fontId="46" fillId="16" borderId="123" xfId="0" quotePrefix="1" applyFont="1" applyFill="1" applyBorder="1" applyAlignment="1">
      <alignment horizontal="left" vertical="center"/>
    </xf>
    <xf numFmtId="165" fontId="53" fillId="7" borderId="123" xfId="0" applyNumberFormat="1" applyFont="1" applyFill="1" applyBorder="1" applyAlignment="1">
      <alignment horizontal="left" vertical="center" wrapText="1"/>
    </xf>
    <xf numFmtId="165" fontId="53" fillId="7" borderId="123" xfId="0" applyNumberFormat="1" applyFont="1" applyFill="1" applyBorder="1" applyAlignment="1">
      <alignment horizontal="center" vertical="center" wrapText="1"/>
    </xf>
    <xf numFmtId="0" fontId="53" fillId="7" borderId="123" xfId="0" applyFont="1" applyFill="1" applyBorder="1" applyAlignment="1">
      <alignment horizontal="center" vertical="center" wrapText="1"/>
    </xf>
    <xf numFmtId="0" fontId="49" fillId="7" borderId="123" xfId="0" applyFont="1" applyFill="1" applyBorder="1" applyAlignment="1">
      <alignment horizontal="left" vertical="center" wrapText="1"/>
    </xf>
    <xf numFmtId="0" fontId="49" fillId="7" borderId="123" xfId="0" applyFont="1" applyFill="1" applyBorder="1" applyAlignment="1">
      <alignment horizontal="center" vertical="center" wrapText="1"/>
    </xf>
    <xf numFmtId="0" fontId="49" fillId="7" borderId="123" xfId="0" applyFont="1" applyFill="1" applyBorder="1" applyAlignment="1">
      <alignment horizontal="center" vertical="center"/>
    </xf>
    <xf numFmtId="0" fontId="57" fillId="7" borderId="118" xfId="0" applyFont="1" applyFill="1" applyBorder="1" applyAlignment="1">
      <alignment horizontal="center" vertical="center" wrapText="1"/>
    </xf>
    <xf numFmtId="0" fontId="48" fillId="7" borderId="117" xfId="0" applyFont="1" applyFill="1" applyBorder="1" applyAlignment="1">
      <alignment horizontal="center" vertical="center"/>
    </xf>
    <xf numFmtId="0" fontId="48" fillId="7" borderId="118" xfId="0" applyFont="1" applyFill="1" applyBorder="1" applyAlignment="1">
      <alignment horizontal="center" vertical="center"/>
    </xf>
    <xf numFmtId="0" fontId="57" fillId="7" borderId="118" xfId="3" applyFont="1" applyFill="1" applyBorder="1" applyAlignment="1">
      <alignment horizontal="center" vertical="center" wrapText="1"/>
    </xf>
    <xf numFmtId="0" fontId="61" fillId="7" borderId="118" xfId="3" applyFont="1" applyFill="1" applyBorder="1" applyAlignment="1">
      <alignment horizontal="center" vertical="center" wrapText="1"/>
    </xf>
    <xf numFmtId="0" fontId="48" fillId="7" borderId="118" xfId="0" applyFont="1" applyFill="1" applyBorder="1" applyAlignment="1">
      <alignment horizontal="left" vertical="center"/>
    </xf>
    <xf numFmtId="0" fontId="48" fillId="7" borderId="118" xfId="0" applyFont="1" applyFill="1" applyBorder="1" applyAlignment="1">
      <alignment horizontal="left" vertical="center" wrapText="1"/>
    </xf>
    <xf numFmtId="0" fontId="48" fillId="7" borderId="119" xfId="0" applyFont="1" applyFill="1" applyBorder="1" applyAlignment="1">
      <alignment horizontal="left" vertical="center" wrapText="1"/>
    </xf>
    <xf numFmtId="0" fontId="46" fillId="8" borderId="98" xfId="0" quotePrefix="1" applyFont="1" applyFill="1" applyBorder="1" applyAlignment="1">
      <alignment horizontal="left" vertical="center"/>
    </xf>
    <xf numFmtId="0" fontId="46" fillId="8" borderId="102" xfId="0" applyFont="1" applyFill="1" applyBorder="1" applyAlignment="1">
      <alignment horizontal="left" vertical="center"/>
    </xf>
    <xf numFmtId="0" fontId="46" fillId="8" borderId="123" xfId="0" quotePrefix="1" applyFont="1" applyFill="1" applyBorder="1" applyAlignment="1">
      <alignment horizontal="center" vertical="center"/>
    </xf>
    <xf numFmtId="0" fontId="46" fillId="8" borderId="123" xfId="0" quotePrefix="1" applyFont="1" applyFill="1" applyBorder="1" applyAlignment="1">
      <alignment horizontal="left" vertical="center"/>
    </xf>
    <xf numFmtId="0" fontId="46" fillId="8" borderId="123" xfId="0" applyFont="1" applyFill="1" applyBorder="1" applyAlignment="1">
      <alignment horizontal="left" vertical="center"/>
    </xf>
    <xf numFmtId="0" fontId="46" fillId="8" borderId="123" xfId="0" applyFont="1" applyFill="1" applyBorder="1" applyAlignment="1">
      <alignment horizontal="center" vertical="center"/>
    </xf>
    <xf numFmtId="0" fontId="46" fillId="8" borderId="106" xfId="0" applyFont="1" applyFill="1" applyBorder="1" applyAlignment="1">
      <alignment horizontal="left" vertical="center"/>
    </xf>
    <xf numFmtId="0" fontId="46" fillId="8" borderId="106" xfId="0" quotePrefix="1" applyFont="1" applyFill="1" applyBorder="1" applyAlignment="1">
      <alignment horizontal="left" vertical="center"/>
    </xf>
    <xf numFmtId="0" fontId="46" fillId="21" borderId="123" xfId="0" applyFont="1" applyFill="1" applyBorder="1" applyAlignment="1">
      <alignment horizontal="center" vertical="center"/>
    </xf>
    <xf numFmtId="0" fontId="46" fillId="21" borderId="123" xfId="0" quotePrefix="1" applyFont="1" applyFill="1" applyBorder="1" applyAlignment="1">
      <alignment horizontal="center" vertical="center"/>
    </xf>
    <xf numFmtId="0" fontId="46" fillId="21" borderId="123" xfId="0" quotePrefix="1" applyFont="1" applyFill="1" applyBorder="1" applyAlignment="1">
      <alignment horizontal="left" vertical="center"/>
    </xf>
    <xf numFmtId="0" fontId="46" fillId="21" borderId="123" xfId="0" applyFont="1" applyFill="1" applyBorder="1" applyAlignment="1">
      <alignment horizontal="left" vertical="center"/>
    </xf>
    <xf numFmtId="0" fontId="46" fillId="21" borderId="106" xfId="0" applyFont="1" applyFill="1" applyBorder="1" applyAlignment="1">
      <alignment horizontal="left" vertical="center"/>
    </xf>
    <xf numFmtId="0" fontId="48" fillId="11" borderId="123" xfId="0" applyFont="1" applyFill="1" applyBorder="1" applyAlignment="1">
      <alignment horizontal="center" vertical="center"/>
    </xf>
    <xf numFmtId="0" fontId="46" fillId="11" borderId="123" xfId="0" applyFont="1" applyFill="1" applyBorder="1" applyAlignment="1">
      <alignment horizontal="left" vertical="center"/>
    </xf>
    <xf numFmtId="0" fontId="46" fillId="11" borderId="123" xfId="0" applyFont="1" applyFill="1" applyBorder="1" applyAlignment="1">
      <alignment horizontal="center" vertical="center"/>
    </xf>
    <xf numFmtId="0" fontId="46" fillId="11" borderId="123" xfId="0" quotePrefix="1" applyFont="1" applyFill="1" applyBorder="1" applyAlignment="1">
      <alignment horizontal="center" vertical="center"/>
    </xf>
    <xf numFmtId="0" fontId="46" fillId="11" borderId="106" xfId="0" quotePrefix="1" applyFont="1" applyFill="1" applyBorder="1" applyAlignment="1">
      <alignment horizontal="left" vertical="center"/>
    </xf>
    <xf numFmtId="0" fontId="46" fillId="11" borderId="106" xfId="0" applyFont="1" applyFill="1" applyBorder="1" applyAlignment="1">
      <alignment horizontal="left" vertical="center"/>
    </xf>
    <xf numFmtId="0" fontId="46" fillId="10" borderId="123" xfId="0" quotePrefix="1" applyFont="1" applyFill="1" applyBorder="1" applyAlignment="1">
      <alignment horizontal="center" vertical="center"/>
    </xf>
    <xf numFmtId="0" fontId="46" fillId="10" borderId="123" xfId="0" applyFont="1" applyFill="1" applyBorder="1" applyAlignment="1">
      <alignment horizontal="center" vertical="center"/>
    </xf>
    <xf numFmtId="0" fontId="46" fillId="10" borderId="123" xfId="0" applyFont="1" applyFill="1" applyBorder="1" applyAlignment="1">
      <alignment horizontal="left" vertical="center"/>
    </xf>
    <xf numFmtId="0" fontId="46" fillId="10" borderId="106" xfId="0" applyFont="1" applyFill="1" applyBorder="1" applyAlignment="1">
      <alignment horizontal="left" vertical="center"/>
    </xf>
    <xf numFmtId="0" fontId="46" fillId="22" borderId="123" xfId="0" applyFont="1" applyFill="1" applyBorder="1" applyAlignment="1">
      <alignment horizontal="center" vertical="center"/>
    </xf>
    <xf numFmtId="0" fontId="46" fillId="22" borderId="123" xfId="0" applyFont="1" applyFill="1" applyBorder="1" applyAlignment="1">
      <alignment horizontal="left" vertical="center"/>
    </xf>
    <xf numFmtId="0" fontId="46" fillId="22" borderId="106" xfId="0" applyFont="1" applyFill="1" applyBorder="1" applyAlignment="1">
      <alignment horizontal="left" vertical="center"/>
    </xf>
    <xf numFmtId="0" fontId="46" fillId="20" borderId="123" xfId="0" quotePrefix="1" applyFont="1" applyFill="1" applyBorder="1" applyAlignment="1">
      <alignment horizontal="center" vertical="center"/>
    </xf>
    <xf numFmtId="0" fontId="46" fillId="20" borderId="123" xfId="0" quotePrefix="1" applyFont="1" applyFill="1" applyBorder="1" applyAlignment="1">
      <alignment horizontal="left" vertical="center"/>
    </xf>
    <xf numFmtId="0" fontId="46" fillId="20" borderId="106" xfId="0" quotePrefix="1" applyFont="1" applyFill="1" applyBorder="1" applyAlignment="1">
      <alignment horizontal="left" vertical="center"/>
    </xf>
    <xf numFmtId="0" fontId="46" fillId="20" borderId="123" xfId="0" applyFont="1" applyFill="1" applyBorder="1" applyAlignment="1">
      <alignment horizontal="center" vertical="center"/>
    </xf>
    <xf numFmtId="0" fontId="46" fillId="20" borderId="123" xfId="0" applyFont="1" applyFill="1" applyBorder="1" applyAlignment="1">
      <alignment horizontal="left" vertical="center"/>
    </xf>
    <xf numFmtId="0" fontId="46" fillId="20" borderId="106" xfId="0" applyFont="1" applyFill="1" applyBorder="1" applyAlignment="1">
      <alignment horizontal="left" vertical="center"/>
    </xf>
    <xf numFmtId="0" fontId="46" fillId="12" borderId="123" xfId="0" quotePrefix="1" applyFont="1" applyFill="1" applyBorder="1" applyAlignment="1">
      <alignment horizontal="center" vertical="center"/>
    </xf>
    <xf numFmtId="0" fontId="46" fillId="12" borderId="123" xfId="0" applyFont="1" applyFill="1" applyBorder="1" applyAlignment="1">
      <alignment horizontal="center" vertical="center"/>
    </xf>
    <xf numFmtId="0" fontId="46" fillId="12" borderId="123" xfId="0" quotePrefix="1" applyFont="1" applyFill="1" applyBorder="1" applyAlignment="1">
      <alignment horizontal="left" vertical="center"/>
    </xf>
    <xf numFmtId="0" fontId="46" fillId="12" borderId="123" xfId="0" applyFont="1" applyFill="1" applyBorder="1" applyAlignment="1">
      <alignment horizontal="left" vertical="center"/>
    </xf>
    <xf numFmtId="0" fontId="46" fillId="12" borderId="106" xfId="0" applyFont="1" applyFill="1" applyBorder="1" applyAlignment="1">
      <alignment horizontal="left" vertical="center"/>
    </xf>
    <xf numFmtId="0" fontId="46" fillId="18" borderId="123" xfId="0" applyFont="1" applyFill="1" applyBorder="1" applyAlignment="1">
      <alignment horizontal="center" vertical="center"/>
    </xf>
    <xf numFmtId="0" fontId="46" fillId="18" borderId="123" xfId="0" quotePrefix="1" applyFont="1" applyFill="1" applyBorder="1" applyAlignment="1">
      <alignment horizontal="center" vertical="center"/>
    </xf>
    <xf numFmtId="0" fontId="46" fillId="18" borderId="123" xfId="0" quotePrefix="1" applyFont="1" applyFill="1" applyBorder="1" applyAlignment="1">
      <alignment horizontal="left" vertical="center"/>
    </xf>
    <xf numFmtId="0" fontId="46" fillId="18" borderId="123" xfId="0" applyFont="1" applyFill="1" applyBorder="1" applyAlignment="1">
      <alignment horizontal="left" vertical="center"/>
    </xf>
    <xf numFmtId="0" fontId="46" fillId="18" borderId="106" xfId="0" applyFont="1" applyFill="1" applyBorder="1" applyAlignment="1">
      <alignment horizontal="left" vertical="center"/>
    </xf>
    <xf numFmtId="0" fontId="46" fillId="9" borderId="123" xfId="0" applyFont="1" applyFill="1" applyBorder="1" applyAlignment="1">
      <alignment horizontal="center" vertical="center"/>
    </xf>
    <xf numFmtId="0" fontId="46" fillId="9" borderId="123" xfId="0" applyFont="1" applyFill="1" applyBorder="1" applyAlignment="1">
      <alignment horizontal="left" vertical="center"/>
    </xf>
    <xf numFmtId="0" fontId="46" fillId="9" borderId="106" xfId="0" applyFont="1" applyFill="1" applyBorder="1" applyAlignment="1">
      <alignment horizontal="left" vertical="center"/>
    </xf>
    <xf numFmtId="16" fontId="46" fillId="9" borderId="123" xfId="0" quotePrefix="1" applyNumberFormat="1" applyFont="1" applyFill="1" applyBorder="1" applyAlignment="1">
      <alignment horizontal="center" vertical="center"/>
    </xf>
    <xf numFmtId="0" fontId="46" fillId="9" borderId="123" xfId="0" quotePrefix="1" applyFont="1" applyFill="1" applyBorder="1" applyAlignment="1">
      <alignment horizontal="center" vertical="center"/>
    </xf>
    <xf numFmtId="0" fontId="46" fillId="7" borderId="123" xfId="0" applyFont="1" applyFill="1" applyBorder="1" applyAlignment="1">
      <alignment horizontal="center" vertical="center"/>
    </xf>
    <xf numFmtId="0" fontId="46" fillId="7" borderId="123" xfId="0" quotePrefix="1" applyFont="1" applyFill="1" applyBorder="1" applyAlignment="1">
      <alignment horizontal="center" vertical="center"/>
    </xf>
    <xf numFmtId="0" fontId="46" fillId="7" borderId="123" xfId="0" applyFont="1" applyFill="1" applyBorder="1" applyAlignment="1">
      <alignment horizontal="left" vertical="center"/>
    </xf>
    <xf numFmtId="0" fontId="46" fillId="7" borderId="106" xfId="0" applyFont="1" applyFill="1" applyBorder="1" applyAlignment="1">
      <alignment horizontal="left" vertical="center"/>
    </xf>
    <xf numFmtId="0" fontId="48" fillId="16" borderId="123" xfId="0" applyFont="1" applyFill="1" applyBorder="1" applyAlignment="1">
      <alignment horizontal="center" vertical="center"/>
    </xf>
    <xf numFmtId="0" fontId="46" fillId="16" borderId="123" xfId="0" applyFont="1" applyFill="1" applyBorder="1" applyAlignment="1">
      <alignment horizontal="left" vertical="center"/>
    </xf>
    <xf numFmtId="0" fontId="46" fillId="16" borderId="123" xfId="0" quotePrefix="1" applyFont="1" applyFill="1" applyBorder="1" applyAlignment="1">
      <alignment horizontal="center" vertical="center"/>
    </xf>
    <xf numFmtId="0" fontId="46" fillId="16" borderId="123" xfId="0" applyFont="1" applyFill="1" applyBorder="1" applyAlignment="1">
      <alignment horizontal="center" vertical="center"/>
    </xf>
    <xf numFmtId="0" fontId="46" fillId="16" borderId="106" xfId="0" applyFont="1" applyFill="1" applyBorder="1" applyAlignment="1">
      <alignment horizontal="left" vertical="center"/>
    </xf>
    <xf numFmtId="0" fontId="46" fillId="15" borderId="123" xfId="0" applyFont="1" applyFill="1" applyBorder="1" applyAlignment="1">
      <alignment horizontal="center" vertical="center"/>
    </xf>
    <xf numFmtId="0" fontId="46" fillId="15" borderId="123" xfId="0" quotePrefix="1" applyFont="1" applyFill="1" applyBorder="1" applyAlignment="1">
      <alignment horizontal="center" vertical="center"/>
    </xf>
    <xf numFmtId="0" fontId="46" fillId="15" borderId="123" xfId="0" quotePrefix="1" applyFont="1" applyFill="1" applyBorder="1" applyAlignment="1">
      <alignment horizontal="left" vertical="center"/>
    </xf>
    <xf numFmtId="0" fontId="46" fillId="15" borderId="123" xfId="0" applyFont="1" applyFill="1" applyBorder="1" applyAlignment="1">
      <alignment horizontal="left" vertical="center"/>
    </xf>
    <xf numFmtId="0" fontId="46" fillId="15" borderId="106" xfId="0" applyFont="1" applyFill="1" applyBorder="1" applyAlignment="1">
      <alignment horizontal="left" vertical="center"/>
    </xf>
    <xf numFmtId="0" fontId="48" fillId="4" borderId="123" xfId="0" applyFont="1" applyFill="1" applyBorder="1" applyAlignment="1">
      <alignment horizontal="center" vertical="center"/>
    </xf>
    <xf numFmtId="0" fontId="46" fillId="4" borderId="123" xfId="0" applyFont="1" applyFill="1" applyBorder="1" applyAlignment="1">
      <alignment horizontal="left" vertical="center"/>
    </xf>
    <xf numFmtId="0" fontId="46" fillId="4" borderId="123" xfId="0" applyFont="1" applyFill="1" applyBorder="1" applyAlignment="1">
      <alignment horizontal="center" vertical="center"/>
    </xf>
    <xf numFmtId="0" fontId="46" fillId="4" borderId="123" xfId="0" quotePrefix="1" applyFont="1" applyFill="1" applyBorder="1" applyAlignment="1">
      <alignment horizontal="center" vertical="center"/>
    </xf>
    <xf numFmtId="0" fontId="46" fillId="4" borderId="106" xfId="0" applyFont="1" applyFill="1" applyBorder="1" applyAlignment="1">
      <alignment horizontal="left" vertical="center"/>
    </xf>
    <xf numFmtId="0" fontId="49" fillId="10" borderId="6" xfId="0" applyFont="1" applyFill="1" applyBorder="1" applyAlignment="1">
      <alignment horizontal="left" vertical="center" wrapText="1"/>
    </xf>
    <xf numFmtId="167" fontId="46" fillId="10" borderId="6" xfId="0" applyNumberFormat="1" applyFont="1" applyFill="1" applyBorder="1" applyAlignment="1">
      <alignment horizontal="left" vertical="center"/>
    </xf>
    <xf numFmtId="0" fontId="49" fillId="10" borderId="6" xfId="0" applyFont="1" applyFill="1" applyBorder="1" applyAlignment="1">
      <alignment horizontal="left" vertical="center"/>
    </xf>
    <xf numFmtId="167" fontId="46" fillId="10" borderId="97" xfId="0" applyNumberFormat="1" applyFont="1" applyFill="1" applyBorder="1" applyAlignment="1">
      <alignment horizontal="left" vertical="center"/>
    </xf>
    <xf numFmtId="167" fontId="46" fillId="10" borderId="10" xfId="0" applyNumberFormat="1" applyFont="1" applyFill="1" applyBorder="1" applyAlignment="1">
      <alignment horizontal="left" vertical="center"/>
    </xf>
    <xf numFmtId="167" fontId="46" fillId="10" borderId="111" xfId="0" applyNumberFormat="1" applyFont="1" applyFill="1" applyBorder="1" applyAlignment="1">
      <alignment horizontal="left" vertical="center"/>
    </xf>
    <xf numFmtId="0" fontId="49" fillId="7" borderId="6" xfId="0" applyFont="1" applyFill="1" applyBorder="1" applyAlignment="1">
      <alignment horizontal="left" vertical="center" wrapText="1"/>
    </xf>
    <xf numFmtId="167" fontId="46" fillId="7" borderId="6" xfId="0" applyNumberFormat="1" applyFont="1" applyFill="1" applyBorder="1" applyAlignment="1">
      <alignment horizontal="left" vertical="center"/>
    </xf>
    <xf numFmtId="167" fontId="46" fillId="7" borderId="97" xfId="0" applyNumberFormat="1" applyFont="1" applyFill="1" applyBorder="1" applyAlignment="1">
      <alignment horizontal="left" vertical="center"/>
    </xf>
    <xf numFmtId="167" fontId="46" fillId="7" borderId="10" xfId="0" applyNumberFormat="1" applyFont="1" applyFill="1" applyBorder="1" applyAlignment="1">
      <alignment horizontal="left" vertical="center"/>
    </xf>
    <xf numFmtId="167" fontId="46" fillId="7" borderId="111" xfId="0" applyNumberFormat="1" applyFont="1" applyFill="1" applyBorder="1" applyAlignment="1">
      <alignment horizontal="left" vertical="center"/>
    </xf>
    <xf numFmtId="2" fontId="49" fillId="21" borderId="6" xfId="0" applyNumberFormat="1" applyFont="1" applyFill="1" applyBorder="1" applyAlignment="1">
      <alignment horizontal="left" vertical="center"/>
    </xf>
    <xf numFmtId="165" fontId="46" fillId="21" borderId="6" xfId="0" applyNumberFormat="1" applyFont="1" applyFill="1" applyBorder="1" applyAlignment="1">
      <alignment horizontal="left" vertical="center"/>
    </xf>
    <xf numFmtId="165" fontId="46" fillId="10" borderId="6" xfId="0" applyNumberFormat="1" applyFont="1" applyFill="1" applyBorder="1" applyAlignment="1">
      <alignment horizontal="left" vertical="center"/>
    </xf>
    <xf numFmtId="165" fontId="46" fillId="22" borderId="6" xfId="0" applyNumberFormat="1" applyFont="1" applyFill="1" applyBorder="1" applyAlignment="1">
      <alignment horizontal="left" vertical="center"/>
    </xf>
    <xf numFmtId="0" fontId="46" fillId="22" borderId="6" xfId="0" quotePrefix="1" applyFont="1" applyFill="1" applyBorder="1" applyAlignment="1">
      <alignment horizontal="left" vertical="center"/>
    </xf>
    <xf numFmtId="0" fontId="49" fillId="22" borderId="6" xfId="0" applyFont="1" applyFill="1" applyBorder="1" applyAlignment="1">
      <alignment horizontal="left" vertical="center"/>
    </xf>
    <xf numFmtId="165" fontId="46" fillId="20" borderId="6" xfId="0" applyNumberFormat="1" applyFont="1" applyFill="1" applyBorder="1" applyAlignment="1">
      <alignment horizontal="left" vertical="center"/>
    </xf>
    <xf numFmtId="165" fontId="46" fillId="11" borderId="6" xfId="0" applyNumberFormat="1" applyFont="1" applyFill="1" applyBorder="1" applyAlignment="1">
      <alignment horizontal="left" vertical="center"/>
    </xf>
    <xf numFmtId="0" fontId="49" fillId="15" borderId="123" xfId="0" applyFont="1" applyFill="1" applyBorder="1" applyAlignment="1">
      <alignment horizontal="center" vertical="center" wrapText="1"/>
    </xf>
    <xf numFmtId="0" fontId="46" fillId="0" borderId="123" xfId="0" applyFont="1" applyBorder="1" applyAlignment="1">
      <alignment horizontal="left" vertical="center"/>
    </xf>
    <xf numFmtId="0" fontId="46" fillId="0" borderId="123" xfId="0" applyFont="1" applyBorder="1" applyAlignment="1">
      <alignment horizontal="center"/>
    </xf>
    <xf numFmtId="0" fontId="46" fillId="0" borderId="115" xfId="0" applyFont="1" applyBorder="1" applyAlignment="1">
      <alignment horizontal="center"/>
    </xf>
    <xf numFmtId="0" fontId="49" fillId="5" borderId="128" xfId="0" applyFont="1" applyFill="1" applyBorder="1" applyAlignment="1">
      <alignment horizontal="center" vertical="center"/>
    </xf>
    <xf numFmtId="0" fontId="49" fillId="5" borderId="129" xfId="0" applyFont="1" applyFill="1" applyBorder="1" applyAlignment="1">
      <alignment horizontal="center" vertical="center"/>
    </xf>
    <xf numFmtId="0" fontId="56" fillId="7" borderId="130" xfId="0" applyFont="1" applyFill="1" applyBorder="1" applyAlignment="1">
      <alignment horizontal="left" vertical="center" wrapText="1"/>
    </xf>
    <xf numFmtId="0" fontId="57" fillId="7" borderId="131" xfId="0" applyFont="1" applyFill="1" applyBorder="1" applyAlignment="1">
      <alignment horizontal="left" vertical="center"/>
    </xf>
    <xf numFmtId="0" fontId="57" fillId="7" borderId="133" xfId="0" applyFont="1" applyFill="1" applyBorder="1" applyAlignment="1">
      <alignment horizontal="left" vertical="center"/>
    </xf>
    <xf numFmtId="0" fontId="57" fillId="7" borderId="117" xfId="0" applyFont="1" applyFill="1" applyBorder="1" applyAlignment="1">
      <alignment horizontal="left" vertical="center"/>
    </xf>
    <xf numFmtId="0" fontId="57" fillId="7" borderId="119" xfId="0" applyFont="1" applyFill="1" applyBorder="1" applyAlignment="1">
      <alignment horizontal="left" vertical="center"/>
    </xf>
    <xf numFmtId="0" fontId="49" fillId="20" borderId="135" xfId="0" applyFont="1" applyFill="1" applyBorder="1" applyAlignment="1">
      <alignment horizontal="left" vertical="center"/>
    </xf>
    <xf numFmtId="0" fontId="49" fillId="20" borderId="136" xfId="0" applyFont="1" applyFill="1" applyBorder="1" applyAlignment="1">
      <alignment horizontal="left" vertical="center"/>
    </xf>
    <xf numFmtId="0" fontId="49" fillId="20" borderId="123" xfId="0" applyFont="1" applyFill="1" applyBorder="1" applyAlignment="1">
      <alignment horizontal="left" vertical="center"/>
    </xf>
    <xf numFmtId="0" fontId="49" fillId="20" borderId="106" xfId="0" applyFont="1" applyFill="1" applyBorder="1" applyAlignment="1">
      <alignment horizontal="left" vertical="center"/>
    </xf>
    <xf numFmtId="0" fontId="49" fillId="20" borderId="120" xfId="0" applyFont="1" applyFill="1" applyBorder="1" applyAlignment="1">
      <alignment horizontal="left" vertical="center"/>
    </xf>
    <xf numFmtId="0" fontId="49" fillId="20" borderId="122" xfId="0" applyFont="1" applyFill="1" applyBorder="1" applyAlignment="1">
      <alignment horizontal="left" vertical="center"/>
    </xf>
    <xf numFmtId="2" fontId="49" fillId="20" borderId="115" xfId="0" applyNumberFormat="1" applyFont="1" applyFill="1" applyBorder="1" applyAlignment="1">
      <alignment horizontal="left" vertical="center"/>
    </xf>
    <xf numFmtId="0" fontId="57" fillId="13" borderId="81" xfId="12" applyFont="1" applyFill="1" applyBorder="1"/>
    <xf numFmtId="0" fontId="57" fillId="13" borderId="117" xfId="12" applyFont="1" applyFill="1" applyBorder="1" applyAlignment="1">
      <alignment horizontal="center"/>
    </xf>
    <xf numFmtId="0" fontId="57" fillId="13" borderId="118" xfId="12" applyFont="1" applyFill="1" applyBorder="1" applyAlignment="1">
      <alignment horizontal="center" vertical="top" wrapText="1"/>
    </xf>
    <xf numFmtId="0" fontId="57" fillId="13" borderId="118" xfId="12" applyFont="1" applyFill="1" applyBorder="1" applyAlignment="1">
      <alignment horizontal="center" vertical="center" wrapText="1"/>
    </xf>
    <xf numFmtId="0" fontId="57" fillId="13" borderId="119" xfId="12" applyFont="1" applyFill="1" applyBorder="1" applyAlignment="1">
      <alignment horizontal="center" vertical="top" wrapText="1"/>
    </xf>
    <xf numFmtId="0" fontId="46" fillId="0" borderId="134" xfId="0" applyFont="1" applyBorder="1"/>
    <xf numFmtId="0" fontId="46" fillId="0" borderId="115" xfId="0" applyFont="1" applyBorder="1"/>
    <xf numFmtId="0" fontId="46" fillId="0" borderId="136" xfId="0" applyFont="1" applyBorder="1"/>
    <xf numFmtId="0" fontId="46" fillId="0" borderId="105" xfId="22" applyFont="1" applyBorder="1"/>
    <xf numFmtId="0" fontId="46" fillId="0" borderId="123" xfId="22" applyFont="1" applyBorder="1"/>
    <xf numFmtId="0" fontId="46" fillId="0" borderId="123" xfId="22" applyFont="1" applyBorder="1" applyAlignment="1">
      <alignment horizontal="center"/>
    </xf>
    <xf numFmtId="0" fontId="46" fillId="0" borderId="123" xfId="22" applyFont="1" applyBorder="1" applyAlignment="1">
      <alignment horizontal="left" vertical="center"/>
    </xf>
    <xf numFmtId="0" fontId="46" fillId="0" borderId="106" xfId="22" applyFont="1" applyBorder="1"/>
    <xf numFmtId="0" fontId="46" fillId="0" borderId="105" xfId="22" applyFont="1" applyBorder="1" applyAlignment="1">
      <alignment horizontal="left" vertical="center"/>
    </xf>
    <xf numFmtId="0" fontId="46" fillId="0" borderId="123" xfId="22" applyFont="1" applyBorder="1" applyAlignment="1">
      <alignment horizontal="center" vertical="center"/>
    </xf>
    <xf numFmtId="0" fontId="46" fillId="0" borderId="106" xfId="22" applyFont="1" applyBorder="1" applyAlignment="1">
      <alignment horizontal="left" vertical="center"/>
    </xf>
    <xf numFmtId="0" fontId="46" fillId="0" borderId="9" xfId="22" applyFont="1" applyBorder="1"/>
    <xf numFmtId="0" fontId="46" fillId="0" borderId="122" xfId="22" applyFont="1" applyBorder="1"/>
    <xf numFmtId="0" fontId="46" fillId="0" borderId="122" xfId="22" applyFont="1" applyBorder="1" applyAlignment="1">
      <alignment horizontal="center"/>
    </xf>
    <xf numFmtId="0" fontId="46" fillId="0" borderId="11" xfId="22" applyFont="1" applyBorder="1"/>
    <xf numFmtId="0" fontId="46" fillId="0" borderId="105" xfId="0" applyFont="1" applyBorder="1"/>
    <xf numFmtId="0" fontId="46" fillId="0" borderId="123" xfId="0" applyFont="1" applyBorder="1"/>
    <xf numFmtId="0" fontId="49" fillId="0" borderId="123" xfId="0" applyFont="1" applyBorder="1" applyAlignment="1">
      <alignment vertical="center"/>
    </xf>
    <xf numFmtId="0" fontId="49" fillId="0" borderId="123" xfId="0" applyFont="1" applyBorder="1" applyAlignment="1">
      <alignment horizontal="center" vertical="center"/>
    </xf>
    <xf numFmtId="0" fontId="49" fillId="0" borderId="123" xfId="0" applyFont="1" applyBorder="1" applyAlignment="1">
      <alignment horizontal="center" vertical="center" wrapText="1"/>
    </xf>
    <xf numFmtId="0" fontId="49" fillId="0" borderId="122" xfId="0" applyFont="1" applyBorder="1" applyAlignment="1">
      <alignment vertical="center"/>
    </xf>
    <xf numFmtId="0" fontId="46" fillId="0" borderId="122" xfId="0" applyFont="1" applyBorder="1" applyAlignment="1">
      <alignment horizontal="left" vertical="center"/>
    </xf>
    <xf numFmtId="0" fontId="49" fillId="5" borderId="115" xfId="0" applyFont="1" applyFill="1" applyBorder="1" applyAlignment="1">
      <alignment horizontal="center" vertical="center"/>
    </xf>
    <xf numFmtId="0" fontId="49" fillId="5" borderId="115" xfId="0" quotePrefix="1" applyFont="1" applyFill="1" applyBorder="1" applyAlignment="1">
      <alignment horizontal="center" vertical="center"/>
    </xf>
    <xf numFmtId="0" fontId="49" fillId="5" borderId="123" xfId="0" quotePrefix="1" applyFont="1" applyFill="1" applyBorder="1" applyAlignment="1">
      <alignment horizontal="center" vertical="center"/>
    </xf>
    <xf numFmtId="0" fontId="49" fillId="5" borderId="123" xfId="0" applyFont="1" applyFill="1" applyBorder="1" applyAlignment="1">
      <alignment horizontal="center" vertical="center"/>
    </xf>
    <xf numFmtId="0" fontId="49" fillId="20" borderId="137" xfId="0" applyFont="1" applyFill="1" applyBorder="1" applyAlignment="1">
      <alignment horizontal="left" vertical="center"/>
    </xf>
    <xf numFmtId="167" fontId="49" fillId="20" borderId="98" xfId="0" applyNumberFormat="1" applyFont="1" applyFill="1" applyBorder="1" applyAlignment="1">
      <alignment horizontal="left" vertical="center"/>
    </xf>
    <xf numFmtId="0" fontId="49" fillId="20" borderId="98" xfId="0" quotePrefix="1" applyFont="1" applyFill="1" applyBorder="1" applyAlignment="1">
      <alignment horizontal="left" vertical="center"/>
    </xf>
    <xf numFmtId="0" fontId="49" fillId="20" borderId="102" xfId="0" applyFont="1" applyFill="1" applyBorder="1" applyAlignment="1">
      <alignment horizontal="left" vertical="center"/>
    </xf>
    <xf numFmtId="0" fontId="49" fillId="20" borderId="139" xfId="0" applyFont="1" applyFill="1" applyBorder="1" applyAlignment="1">
      <alignment horizontal="left" vertical="center" wrapText="1"/>
    </xf>
    <xf numFmtId="167" fontId="49" fillId="20" borderId="137" xfId="0" applyNumberFormat="1" applyFont="1" applyFill="1" applyBorder="1" applyAlignment="1">
      <alignment horizontal="left" vertical="center"/>
    </xf>
    <xf numFmtId="168" fontId="49" fillId="20" borderId="137" xfId="0" applyNumberFormat="1" applyFont="1" applyFill="1" applyBorder="1" applyAlignment="1">
      <alignment horizontal="left" vertical="center"/>
    </xf>
    <xf numFmtId="0" fontId="49" fillId="20" borderId="137" xfId="0" quotePrefix="1" applyFont="1" applyFill="1" applyBorder="1" applyAlignment="1">
      <alignment horizontal="left" vertical="center"/>
    </xf>
    <xf numFmtId="0" fontId="49" fillId="20" borderId="140" xfId="0" applyFont="1" applyFill="1" applyBorder="1" applyAlignment="1">
      <alignment horizontal="left" vertical="center"/>
    </xf>
    <xf numFmtId="0" fontId="49" fillId="20" borderId="141" xfId="0" applyFont="1" applyFill="1" applyBorder="1" applyAlignment="1">
      <alignment horizontal="left" vertical="center" wrapText="1"/>
    </xf>
    <xf numFmtId="0" fontId="49" fillId="20" borderId="138" xfId="0" applyFont="1" applyFill="1" applyBorder="1" applyAlignment="1">
      <alignment horizontal="left" vertical="center"/>
    </xf>
    <xf numFmtId="167" fontId="49" fillId="20" borderId="138" xfId="0" applyNumberFormat="1" applyFont="1" applyFill="1" applyBorder="1" applyAlignment="1">
      <alignment horizontal="left" vertical="center"/>
    </xf>
    <xf numFmtId="0" fontId="49" fillId="20" borderId="138" xfId="0" quotePrefix="1" applyFont="1" applyFill="1" applyBorder="1" applyAlignment="1">
      <alignment horizontal="left" vertical="center"/>
    </xf>
    <xf numFmtId="0" fontId="49" fillId="20" borderId="142" xfId="0" applyFont="1" applyFill="1" applyBorder="1" applyAlignment="1">
      <alignment horizontal="left" vertical="center"/>
    </xf>
    <xf numFmtId="0" fontId="57" fillId="7" borderId="132" xfId="0" applyFont="1" applyFill="1" applyBorder="1" applyAlignment="1">
      <alignment horizontal="center" vertical="center" wrapText="1"/>
    </xf>
    <xf numFmtId="0" fontId="49" fillId="20" borderId="135" xfId="0" applyFont="1" applyFill="1" applyBorder="1" applyAlignment="1">
      <alignment horizontal="center" vertical="center"/>
    </xf>
    <xf numFmtId="167" fontId="49" fillId="20" borderId="135" xfId="0" applyNumberFormat="1" applyFont="1" applyFill="1" applyBorder="1" applyAlignment="1">
      <alignment horizontal="center" vertical="center"/>
    </xf>
    <xf numFmtId="0" fontId="49" fillId="20" borderId="135" xfId="0" quotePrefix="1" applyFont="1" applyFill="1" applyBorder="1" applyAlignment="1">
      <alignment horizontal="center" vertical="center"/>
    </xf>
    <xf numFmtId="0" fontId="49" fillId="20" borderId="138" xfId="0" applyFont="1" applyFill="1" applyBorder="1" applyAlignment="1">
      <alignment horizontal="center" vertical="center"/>
    </xf>
    <xf numFmtId="167" fontId="49" fillId="20" borderId="138" xfId="0" applyNumberFormat="1" applyFont="1" applyFill="1" applyBorder="1" applyAlignment="1">
      <alignment horizontal="center" vertical="center"/>
    </xf>
    <xf numFmtId="0" fontId="49" fillId="20" borderId="138" xfId="0" quotePrefix="1" applyFont="1" applyFill="1" applyBorder="1" applyAlignment="1">
      <alignment horizontal="center" vertical="center"/>
    </xf>
    <xf numFmtId="0" fontId="46" fillId="9" borderId="137" xfId="0" applyFont="1" applyFill="1" applyBorder="1" applyAlignment="1">
      <alignment horizontal="center" vertical="center"/>
    </xf>
    <xf numFmtId="0" fontId="46" fillId="9" borderId="137" xfId="0" applyFont="1" applyFill="1" applyBorder="1" applyAlignment="1">
      <alignment horizontal="left" vertical="center"/>
    </xf>
    <xf numFmtId="0" fontId="46" fillId="9" borderId="140" xfId="0" applyFont="1" applyFill="1" applyBorder="1" applyAlignment="1">
      <alignment horizontal="left" vertical="center"/>
    </xf>
    <xf numFmtId="0" fontId="48" fillId="18" borderId="137" xfId="0" applyFont="1" applyFill="1" applyBorder="1" applyAlignment="1">
      <alignment horizontal="center" vertical="center"/>
    </xf>
    <xf numFmtId="0" fontId="46" fillId="18" borderId="137" xfId="0" applyFont="1" applyFill="1" applyBorder="1" applyAlignment="1">
      <alignment horizontal="left" vertical="center"/>
    </xf>
    <xf numFmtId="0" fontId="46" fillId="18" borderId="137" xfId="0" applyFont="1" applyFill="1" applyBorder="1" applyAlignment="1">
      <alignment horizontal="center" vertical="center"/>
    </xf>
    <xf numFmtId="0" fontId="46" fillId="18" borderId="137" xfId="0" quotePrefix="1" applyFont="1" applyFill="1" applyBorder="1" applyAlignment="1">
      <alignment horizontal="center" vertical="center"/>
    </xf>
    <xf numFmtId="0" fontId="46" fillId="9" borderId="139" xfId="0" applyFont="1" applyFill="1" applyBorder="1" applyAlignment="1">
      <alignment horizontal="left" vertical="center"/>
    </xf>
    <xf numFmtId="166" fontId="53" fillId="9" borderId="137" xfId="0" applyNumberFormat="1" applyFont="1" applyFill="1" applyBorder="1" applyAlignment="1">
      <alignment vertical="center" wrapText="1"/>
    </xf>
    <xf numFmtId="166" fontId="53" fillId="9" borderId="137" xfId="0" applyNumberFormat="1" applyFont="1" applyFill="1" applyBorder="1" applyAlignment="1">
      <alignment horizontal="center" vertical="center" wrapText="1"/>
    </xf>
    <xf numFmtId="0" fontId="53" fillId="9" borderId="137" xfId="0" applyFont="1" applyFill="1" applyBorder="1" applyAlignment="1">
      <alignment horizontal="center" vertical="center" wrapText="1"/>
    </xf>
    <xf numFmtId="0" fontId="46" fillId="0" borderId="137" xfId="0" applyFont="1" applyBorder="1" applyAlignment="1">
      <alignment horizontal="left" vertical="center"/>
    </xf>
    <xf numFmtId="0" fontId="48" fillId="26" borderId="92" xfId="0" applyFont="1" applyFill="1" applyBorder="1" applyAlignment="1">
      <alignment horizontal="center" vertical="center"/>
    </xf>
    <xf numFmtId="0" fontId="48" fillId="26" borderId="78" xfId="0" applyFont="1" applyFill="1" applyBorder="1" applyAlignment="1">
      <alignment horizontal="center" vertical="center"/>
    </xf>
    <xf numFmtId="0" fontId="57" fillId="26" borderId="92" xfId="0" applyFont="1" applyFill="1" applyBorder="1" applyAlignment="1">
      <alignment horizontal="center" vertical="center"/>
    </xf>
    <xf numFmtId="0" fontId="49" fillId="7" borderId="135" xfId="0" applyFont="1" applyFill="1" applyBorder="1" applyAlignment="1">
      <alignment horizontal="left" vertical="center" wrapText="1"/>
    </xf>
    <xf numFmtId="0" fontId="49" fillId="7" borderId="135" xfId="0" applyFont="1" applyFill="1" applyBorder="1" applyAlignment="1">
      <alignment horizontal="center" vertical="center" wrapText="1"/>
    </xf>
    <xf numFmtId="0" fontId="53" fillId="7" borderId="135" xfId="0" applyFont="1" applyFill="1" applyBorder="1" applyAlignment="1">
      <alignment horizontal="center" vertical="center" wrapText="1"/>
    </xf>
    <xf numFmtId="0" fontId="49" fillId="7" borderId="136" xfId="0" applyFont="1" applyFill="1" applyBorder="1" applyAlignment="1">
      <alignment horizontal="left" vertical="center"/>
    </xf>
    <xf numFmtId="0" fontId="49" fillId="7" borderId="139" xfId="0" applyFont="1" applyFill="1" applyBorder="1" applyAlignment="1">
      <alignment horizontal="left" vertical="center"/>
    </xf>
    <xf numFmtId="2" fontId="49" fillId="7" borderId="123" xfId="0" applyNumberFormat="1" applyFont="1" applyFill="1" applyBorder="1" applyAlignment="1">
      <alignment horizontal="left" vertical="center" wrapText="1"/>
    </xf>
    <xf numFmtId="2" fontId="49" fillId="7" borderId="123" xfId="0" applyNumberFormat="1" applyFont="1" applyFill="1" applyBorder="1" applyAlignment="1">
      <alignment horizontal="center" vertical="center" wrapText="1"/>
    </xf>
    <xf numFmtId="0" fontId="49" fillId="7" borderId="140" xfId="0" applyFont="1" applyFill="1" applyBorder="1" applyAlignment="1">
      <alignment horizontal="left" vertical="center"/>
    </xf>
    <xf numFmtId="0" fontId="51" fillId="7" borderId="139" xfId="0" applyFont="1" applyFill="1" applyBorder="1" applyAlignment="1">
      <alignment horizontal="left" vertical="center" wrapText="1"/>
    </xf>
    <xf numFmtId="0" fontId="51" fillId="7" borderId="140" xfId="0" applyFont="1" applyFill="1" applyBorder="1" applyAlignment="1">
      <alignment horizontal="left" vertical="center" wrapText="1"/>
    </xf>
    <xf numFmtId="0" fontId="53" fillId="7" borderId="139" xfId="0" applyFont="1" applyFill="1" applyBorder="1" applyAlignment="1">
      <alignment horizontal="left" vertical="center" wrapText="1"/>
    </xf>
    <xf numFmtId="0" fontId="53" fillId="7" borderId="140" xfId="0" applyFont="1" applyFill="1" applyBorder="1" applyAlignment="1">
      <alignment horizontal="left" vertical="center" wrapText="1"/>
    </xf>
    <xf numFmtId="167" fontId="49" fillId="7" borderId="123" xfId="0" applyNumberFormat="1" applyFont="1" applyFill="1" applyBorder="1" applyAlignment="1">
      <alignment horizontal="left" vertical="center" wrapText="1"/>
    </xf>
    <xf numFmtId="167" fontId="49" fillId="7" borderId="123" xfId="0" applyNumberFormat="1" applyFont="1" applyFill="1" applyBorder="1" applyAlignment="1">
      <alignment horizontal="center" vertical="center" wrapText="1"/>
    </xf>
    <xf numFmtId="0" fontId="49" fillId="7" borderId="141" xfId="0" applyFont="1" applyFill="1" applyBorder="1" applyAlignment="1">
      <alignment horizontal="left" vertical="center"/>
    </xf>
    <xf numFmtId="2" fontId="49" fillId="7" borderId="138" xfId="0" applyNumberFormat="1" applyFont="1" applyFill="1" applyBorder="1" applyAlignment="1">
      <alignment horizontal="left" vertical="center" wrapText="1"/>
    </xf>
    <xf numFmtId="2" fontId="49" fillId="7" borderId="138" xfId="0" applyNumberFormat="1" applyFont="1" applyFill="1" applyBorder="1" applyAlignment="1">
      <alignment horizontal="center" vertical="center" wrapText="1"/>
    </xf>
    <xf numFmtId="0" fontId="53" fillId="7" borderId="138" xfId="0" applyFont="1" applyFill="1" applyBorder="1" applyAlignment="1">
      <alignment horizontal="center" vertical="center" wrapText="1"/>
    </xf>
    <xf numFmtId="0" fontId="49" fillId="7" borderId="138" xfId="0" applyFont="1" applyFill="1" applyBorder="1" applyAlignment="1">
      <alignment horizontal="center" vertical="center"/>
    </xf>
    <xf numFmtId="0" fontId="49" fillId="7" borderId="142" xfId="0" applyFont="1" applyFill="1" applyBorder="1" applyAlignment="1">
      <alignment horizontal="left" vertical="center"/>
    </xf>
    <xf numFmtId="0" fontId="46" fillId="7" borderId="140" xfId="0" applyFont="1" applyFill="1" applyBorder="1" applyAlignment="1">
      <alignment horizontal="left" vertical="center"/>
    </xf>
    <xf numFmtId="0" fontId="49" fillId="9" borderId="139" xfId="0" applyFont="1" applyFill="1" applyBorder="1" applyAlignment="1">
      <alignment horizontal="left" vertical="center"/>
    </xf>
    <xf numFmtId="0" fontId="49" fillId="9" borderId="123" xfId="0" applyFont="1" applyFill="1" applyBorder="1" applyAlignment="1">
      <alignment horizontal="left" vertical="center"/>
    </xf>
    <xf numFmtId="0" fontId="49" fillId="9" borderId="123" xfId="0" quotePrefix="1" applyFont="1" applyFill="1" applyBorder="1" applyAlignment="1">
      <alignment horizontal="left" vertical="center"/>
    </xf>
    <xf numFmtId="0" fontId="49" fillId="9" borderId="140" xfId="0" quotePrefix="1" applyFont="1" applyFill="1" applyBorder="1" applyAlignment="1">
      <alignment horizontal="left" vertical="center"/>
    </xf>
    <xf numFmtId="0" fontId="57" fillId="7" borderId="143" xfId="0" applyFont="1" applyFill="1" applyBorder="1" applyAlignment="1">
      <alignment horizontal="left" vertical="center"/>
    </xf>
    <xf numFmtId="0" fontId="49" fillId="4" borderId="101" xfId="0" applyFont="1" applyFill="1" applyBorder="1" applyAlignment="1">
      <alignment horizontal="left" vertical="center"/>
    </xf>
    <xf numFmtId="0" fontId="49" fillId="4" borderId="98" xfId="0" applyFont="1" applyFill="1" applyBorder="1" applyAlignment="1">
      <alignment horizontal="left" vertical="center"/>
    </xf>
    <xf numFmtId="11" fontId="49" fillId="4" borderId="98" xfId="0" applyNumberFormat="1" applyFont="1" applyFill="1" applyBorder="1" applyAlignment="1">
      <alignment horizontal="left" vertical="center"/>
    </xf>
    <xf numFmtId="0" fontId="49" fillId="4" borderId="102" xfId="0" applyFont="1" applyFill="1" applyBorder="1" applyAlignment="1">
      <alignment horizontal="left" vertical="center"/>
    </xf>
    <xf numFmtId="0" fontId="49" fillId="4" borderId="137" xfId="0" applyFont="1" applyFill="1" applyBorder="1" applyAlignment="1">
      <alignment horizontal="left" vertical="center"/>
    </xf>
    <xf numFmtId="0" fontId="49" fillId="4" borderId="140" xfId="0" applyFont="1" applyFill="1" applyBorder="1" applyAlignment="1">
      <alignment horizontal="left" vertical="center"/>
    </xf>
    <xf numFmtId="0" fontId="49" fillId="4" borderId="121" xfId="0" applyFont="1" applyFill="1" applyBorder="1" applyAlignment="1">
      <alignment horizontal="left" vertical="center"/>
    </xf>
    <xf numFmtId="0" fontId="49" fillId="4" borderId="96" xfId="0" applyFont="1" applyFill="1" applyBorder="1" applyAlignment="1">
      <alignment horizontal="left" vertical="center"/>
    </xf>
    <xf numFmtId="11" fontId="49" fillId="4" borderId="96" xfId="0" applyNumberFormat="1" applyFont="1" applyFill="1" applyBorder="1" applyAlignment="1">
      <alignment horizontal="left" vertical="center"/>
    </xf>
    <xf numFmtId="0" fontId="49" fillId="4" borderId="138" xfId="0" applyFont="1" applyFill="1" applyBorder="1" applyAlignment="1">
      <alignment horizontal="left" vertical="center"/>
    </xf>
    <xf numFmtId="0" fontId="49" fillId="4" borderId="142" xfId="0" applyFont="1" applyFill="1" applyBorder="1" applyAlignment="1">
      <alignment horizontal="left" vertical="center"/>
    </xf>
    <xf numFmtId="0" fontId="49" fillId="4" borderId="139" xfId="0" applyFont="1" applyFill="1" applyBorder="1" applyAlignment="1">
      <alignment horizontal="left" vertical="center"/>
    </xf>
    <xf numFmtId="165" fontId="49" fillId="4" borderId="137" xfId="0" applyNumberFormat="1" applyFont="1" applyFill="1" applyBorder="1" applyAlignment="1">
      <alignment horizontal="left" vertical="center"/>
    </xf>
    <xf numFmtId="0" fontId="49" fillId="4" borderId="141" xfId="0" applyFont="1" applyFill="1" applyBorder="1" applyAlignment="1">
      <alignment horizontal="left" vertical="center"/>
    </xf>
    <xf numFmtId="165" fontId="49" fillId="4" borderId="138" xfId="0" applyNumberFormat="1" applyFont="1" applyFill="1" applyBorder="1" applyAlignment="1">
      <alignment horizontal="left" vertical="center"/>
    </xf>
    <xf numFmtId="0" fontId="57" fillId="7" borderId="144" xfId="0" applyFont="1" applyFill="1" applyBorder="1" applyAlignment="1">
      <alignment horizontal="left" vertical="center"/>
    </xf>
    <xf numFmtId="0" fontId="57" fillId="7" borderId="146" xfId="0" applyFont="1" applyFill="1" applyBorder="1" applyAlignment="1">
      <alignment horizontal="left" vertical="center"/>
    </xf>
    <xf numFmtId="0" fontId="49" fillId="4" borderId="107" xfId="0" applyFont="1" applyFill="1" applyBorder="1" applyAlignment="1">
      <alignment horizontal="left" vertical="center"/>
    </xf>
    <xf numFmtId="0" fontId="49" fillId="4" borderId="108" xfId="0" applyFont="1" applyFill="1" applyBorder="1" applyAlignment="1">
      <alignment horizontal="left" vertical="center"/>
    </xf>
    <xf numFmtId="165" fontId="49" fillId="4" borderId="108" xfId="0" applyNumberFormat="1" applyFont="1" applyFill="1" applyBorder="1" applyAlignment="1">
      <alignment horizontal="left" vertical="center"/>
    </xf>
    <xf numFmtId="0" fontId="49" fillId="4" borderId="109" xfId="0" applyFont="1" applyFill="1" applyBorder="1" applyAlignment="1">
      <alignment horizontal="left" vertical="center"/>
    </xf>
    <xf numFmtId="167" fontId="49" fillId="11" borderId="6" xfId="0" applyNumberFormat="1" applyFont="1" applyFill="1" applyBorder="1" applyAlignment="1">
      <alignment horizontal="center" vertical="center" wrapText="1"/>
    </xf>
    <xf numFmtId="167" fontId="49" fillId="19" borderId="6" xfId="0" applyNumberFormat="1" applyFont="1" applyFill="1" applyBorder="1" applyAlignment="1">
      <alignment horizontal="center" vertical="center" wrapText="1"/>
    </xf>
    <xf numFmtId="0" fontId="81" fillId="12" borderId="6" xfId="0" applyFont="1" applyFill="1" applyBorder="1" applyAlignment="1">
      <alignment horizontal="center" vertical="center"/>
    </xf>
    <xf numFmtId="1" fontId="81" fillId="10" borderId="10" xfId="0" applyNumberFormat="1" applyFont="1" applyFill="1" applyBorder="1" applyAlignment="1">
      <alignment horizontal="center" vertical="center" wrapText="1"/>
    </xf>
    <xf numFmtId="165" fontId="49" fillId="11" borderId="138" xfId="0" applyNumberFormat="1" applyFont="1" applyFill="1" applyBorder="1" applyAlignment="1">
      <alignment horizontal="center" vertical="center"/>
    </xf>
    <xf numFmtId="165" fontId="49" fillId="19" borderId="125" xfId="0" applyNumberFormat="1" applyFont="1" applyFill="1" applyBorder="1" applyAlignment="1">
      <alignment horizontal="center" vertical="center"/>
    </xf>
    <xf numFmtId="0" fontId="57" fillId="7" borderId="117" xfId="0" applyFont="1" applyFill="1" applyBorder="1" applyAlignment="1">
      <alignment horizontal="left" vertical="center" wrapText="1"/>
    </xf>
    <xf numFmtId="0" fontId="49" fillId="20" borderId="134" xfId="0" applyFont="1" applyFill="1" applyBorder="1" applyAlignment="1">
      <alignment horizontal="left" vertical="center"/>
    </xf>
    <xf numFmtId="0" fontId="49" fillId="20" borderId="135" xfId="0" quotePrefix="1" applyFont="1" applyFill="1" applyBorder="1" applyAlignment="1">
      <alignment horizontal="left" vertical="center"/>
    </xf>
    <xf numFmtId="0" fontId="49" fillId="20" borderId="141" xfId="0" applyFont="1" applyFill="1" applyBorder="1" applyAlignment="1">
      <alignment horizontal="left" vertical="center"/>
    </xf>
    <xf numFmtId="0" fontId="56" fillId="7" borderId="147" xfId="0" applyFont="1" applyFill="1" applyBorder="1" applyAlignment="1">
      <alignment horizontal="left" vertical="center"/>
    </xf>
    <xf numFmtId="11" fontId="49" fillId="20" borderId="135" xfId="0" applyNumberFormat="1" applyFont="1" applyFill="1" applyBorder="1" applyAlignment="1">
      <alignment horizontal="left" vertical="center"/>
    </xf>
    <xf numFmtId="11" fontId="49" fillId="20" borderId="123" xfId="0" applyNumberFormat="1" applyFont="1" applyFill="1" applyBorder="1" applyAlignment="1">
      <alignment horizontal="left" vertical="center"/>
    </xf>
    <xf numFmtId="0" fontId="49" fillId="20" borderId="123" xfId="0" quotePrefix="1" applyFont="1" applyFill="1" applyBorder="1" applyAlignment="1">
      <alignment horizontal="left" vertical="center"/>
    </xf>
    <xf numFmtId="0" fontId="49" fillId="20" borderId="121" xfId="0" applyFont="1" applyFill="1" applyBorder="1" applyAlignment="1">
      <alignment horizontal="left" vertical="center"/>
    </xf>
    <xf numFmtId="11" fontId="49" fillId="20" borderId="96" xfId="0" applyNumberFormat="1" applyFont="1" applyFill="1" applyBorder="1" applyAlignment="1">
      <alignment horizontal="left" vertical="center"/>
    </xf>
    <xf numFmtId="0" fontId="49" fillId="20" borderId="96" xfId="0" quotePrefix="1" applyFont="1" applyFill="1" applyBorder="1" applyAlignment="1">
      <alignment horizontal="left" vertical="center"/>
    </xf>
    <xf numFmtId="0" fontId="49" fillId="15" borderId="135" xfId="0" applyFont="1" applyFill="1" applyBorder="1" applyAlignment="1">
      <alignment horizontal="center" vertical="center" wrapText="1"/>
    </xf>
    <xf numFmtId="2" fontId="49" fillId="20" borderId="138" xfId="0" applyNumberFormat="1" applyFont="1" applyFill="1" applyBorder="1" applyAlignment="1">
      <alignment horizontal="left" vertical="center"/>
    </xf>
    <xf numFmtId="0" fontId="57" fillId="7" borderId="145" xfId="0" applyFont="1" applyFill="1" applyBorder="1" applyAlignment="1">
      <alignment horizontal="left" vertical="center" wrapText="1"/>
    </xf>
    <xf numFmtId="0" fontId="57" fillId="7" borderId="145" xfId="0" applyFont="1" applyFill="1" applyBorder="1" applyAlignment="1">
      <alignment horizontal="center" vertical="center" wrapText="1"/>
    </xf>
    <xf numFmtId="0" fontId="49" fillId="0" borderId="96" xfId="0" applyFont="1" applyBorder="1" applyAlignment="1">
      <alignment horizontal="left" vertical="center" wrapText="1"/>
    </xf>
    <xf numFmtId="0" fontId="49" fillId="20" borderId="101" xfId="0" applyFont="1" applyFill="1" applyBorder="1" applyAlignment="1">
      <alignment horizontal="left" vertical="center"/>
    </xf>
    <xf numFmtId="0" fontId="49" fillId="20" borderId="98" xfId="0" applyFont="1" applyFill="1" applyBorder="1" applyAlignment="1">
      <alignment horizontal="left"/>
    </xf>
    <xf numFmtId="0" fontId="49" fillId="12" borderId="134" xfId="0" quotePrefix="1" applyFont="1" applyFill="1" applyBorder="1" applyAlignment="1">
      <alignment horizontal="left" vertical="center"/>
    </xf>
    <xf numFmtId="0" fontId="49" fillId="12" borderId="135" xfId="0" quotePrefix="1" applyFont="1" applyFill="1" applyBorder="1" applyAlignment="1">
      <alignment horizontal="left" vertical="center"/>
    </xf>
    <xf numFmtId="0" fontId="49" fillId="12" borderId="135" xfId="0" applyFont="1" applyFill="1" applyBorder="1" applyAlignment="1">
      <alignment horizontal="left" vertical="center" wrapText="1"/>
    </xf>
    <xf numFmtId="0" fontId="49" fillId="12" borderId="135" xfId="0" applyFont="1" applyFill="1" applyBorder="1" applyAlignment="1">
      <alignment horizontal="left" vertical="center"/>
    </xf>
    <xf numFmtId="0" fontId="49" fillId="12" borderId="139" xfId="0" quotePrefix="1" applyFont="1" applyFill="1" applyBorder="1" applyAlignment="1">
      <alignment horizontal="left" vertical="center"/>
    </xf>
    <xf numFmtId="0" fontId="49" fillId="12" borderId="123" xfId="0" quotePrefix="1" applyFont="1" applyFill="1" applyBorder="1" applyAlignment="1">
      <alignment horizontal="left" vertical="center"/>
    </xf>
    <xf numFmtId="0" fontId="49" fillId="12" borderId="123" xfId="0" applyFont="1" applyFill="1" applyBorder="1" applyAlignment="1">
      <alignment horizontal="left" vertical="center" wrapText="1"/>
    </xf>
    <xf numFmtId="0" fontId="49" fillId="12" borderId="123" xfId="0" applyFont="1" applyFill="1" applyBorder="1" applyAlignment="1">
      <alignment horizontal="left" vertical="center"/>
    </xf>
    <xf numFmtId="0" fontId="49" fillId="12" borderId="141" xfId="0" quotePrefix="1" applyFont="1" applyFill="1" applyBorder="1" applyAlignment="1">
      <alignment horizontal="left" vertical="center"/>
    </xf>
    <xf numFmtId="0" fontId="49" fillId="12" borderId="138" xfId="0" quotePrefix="1" applyFont="1" applyFill="1" applyBorder="1" applyAlignment="1">
      <alignment horizontal="left" vertical="center"/>
    </xf>
    <xf numFmtId="0" fontId="49" fillId="12" borderId="138" xfId="0" applyFont="1" applyFill="1" applyBorder="1" applyAlignment="1">
      <alignment horizontal="left" vertical="center" wrapText="1"/>
    </xf>
    <xf numFmtId="0" fontId="49" fillId="12" borderId="138" xfId="0" applyFont="1" applyFill="1" applyBorder="1" applyAlignment="1">
      <alignment horizontal="left" vertical="center"/>
    </xf>
    <xf numFmtId="0" fontId="57" fillId="7" borderId="150" xfId="0" applyFont="1" applyFill="1" applyBorder="1" applyAlignment="1">
      <alignment horizontal="center" vertical="center"/>
    </xf>
    <xf numFmtId="0" fontId="57" fillId="7" borderId="151" xfId="0" applyFont="1" applyFill="1" applyBorder="1" applyAlignment="1">
      <alignment horizontal="center" vertical="center" wrapText="1"/>
    </xf>
    <xf numFmtId="0" fontId="57" fillId="7" borderId="152" xfId="0" applyFont="1" applyFill="1" applyBorder="1" applyAlignment="1">
      <alignment horizontal="center" vertical="center" wrapText="1"/>
    </xf>
    <xf numFmtId="0" fontId="58" fillId="0" borderId="121" xfId="0" applyFont="1" applyBorder="1" applyAlignment="1">
      <alignment horizontal="left" vertical="center"/>
    </xf>
    <xf numFmtId="0" fontId="49" fillId="0" borderId="96" xfId="0" applyFont="1" applyBorder="1" applyAlignment="1">
      <alignment horizontal="center" vertical="center" wrapText="1"/>
    </xf>
    <xf numFmtId="0" fontId="49" fillId="0" borderId="96" xfId="0" quotePrefix="1" applyFont="1" applyBorder="1" applyAlignment="1">
      <alignment horizontal="center" vertical="center" wrapText="1"/>
    </xf>
    <xf numFmtId="0" fontId="57" fillId="0" borderId="120" xfId="0" applyFont="1" applyBorder="1" applyAlignment="1">
      <alignment horizontal="center" vertical="center"/>
    </xf>
    <xf numFmtId="0" fontId="49" fillId="0" borderId="139" xfId="0" applyFont="1" applyBorder="1" applyAlignment="1">
      <alignment horizontal="left" vertical="center"/>
    </xf>
    <xf numFmtId="0" fontId="49" fillId="0" borderId="153" xfId="0" applyFont="1" applyBorder="1" applyAlignment="1">
      <alignment horizontal="left" vertical="center"/>
    </xf>
    <xf numFmtId="2" fontId="49" fillId="19" borderId="153" xfId="0" applyNumberFormat="1" applyFont="1" applyFill="1" applyBorder="1" applyAlignment="1">
      <alignment horizontal="center" vertical="center" wrapText="1"/>
    </xf>
    <xf numFmtId="0" fontId="49" fillId="19" borderId="153" xfId="0" applyFont="1" applyFill="1" applyBorder="1" applyAlignment="1">
      <alignment horizontal="center" vertical="center" wrapText="1"/>
    </xf>
    <xf numFmtId="0" fontId="49" fillId="19" borderId="153" xfId="0" applyFont="1" applyFill="1" applyBorder="1" applyAlignment="1">
      <alignment horizontal="center" vertical="center"/>
    </xf>
    <xf numFmtId="0" fontId="0" fillId="19" borderId="153" xfId="0" applyFill="1" applyBorder="1" applyAlignment="1">
      <alignment horizontal="left"/>
    </xf>
    <xf numFmtId="0" fontId="49" fillId="19" borderId="138" xfId="0" applyFont="1" applyFill="1" applyBorder="1" applyAlignment="1">
      <alignment horizontal="center" vertical="center" wrapText="1"/>
    </xf>
    <xf numFmtId="0" fontId="49" fillId="19" borderId="138" xfId="0" applyFont="1" applyFill="1" applyBorder="1" applyAlignment="1">
      <alignment horizontal="center" vertical="center"/>
    </xf>
    <xf numFmtId="2" fontId="49" fillId="11" borderId="115" xfId="0" applyNumberFormat="1" applyFont="1" applyFill="1" applyBorder="1" applyAlignment="1">
      <alignment horizontal="center" vertical="center" wrapText="1"/>
    </xf>
    <xf numFmtId="0" fontId="49" fillId="11" borderId="115" xfId="0" applyFont="1" applyFill="1" applyBorder="1" applyAlignment="1">
      <alignment horizontal="center" vertical="center" wrapText="1"/>
    </xf>
    <xf numFmtId="0" fontId="49" fillId="11" borderId="153" xfId="0" applyFont="1" applyFill="1" applyBorder="1" applyAlignment="1">
      <alignment horizontal="left" vertical="center" wrapText="1"/>
    </xf>
    <xf numFmtId="2" fontId="49" fillId="11" borderId="153" xfId="0" applyNumberFormat="1" applyFont="1" applyFill="1" applyBorder="1" applyAlignment="1">
      <alignment horizontal="center" vertical="center"/>
    </xf>
    <xf numFmtId="0" fontId="49" fillId="11" borderId="153" xfId="0" applyFont="1" applyFill="1" applyBorder="1" applyAlignment="1">
      <alignment horizontal="center" vertical="center" wrapText="1"/>
    </xf>
    <xf numFmtId="2" fontId="49" fillId="11" borderId="153" xfId="0" applyNumberFormat="1" applyFont="1" applyFill="1" applyBorder="1" applyAlignment="1">
      <alignment horizontal="left" vertical="center"/>
    </xf>
    <xf numFmtId="0" fontId="49" fillId="11" borderId="153" xfId="0" applyFont="1" applyFill="1" applyBorder="1" applyAlignment="1">
      <alignment horizontal="center" vertical="center"/>
    </xf>
    <xf numFmtId="0" fontId="49" fillId="11" borderId="72" xfId="0" applyFont="1" applyFill="1" applyBorder="1" applyAlignment="1">
      <alignment horizontal="left" vertical="center"/>
    </xf>
    <xf numFmtId="2" fontId="49" fillId="11" borderId="153" xfId="0" applyNumberFormat="1" applyFont="1" applyFill="1" applyBorder="1" applyAlignment="1">
      <alignment horizontal="left" vertical="center" wrapText="1"/>
    </xf>
    <xf numFmtId="2" fontId="49" fillId="11" borderId="153" xfId="0" applyNumberFormat="1" applyFont="1" applyFill="1" applyBorder="1" applyAlignment="1">
      <alignment horizontal="center" vertical="center" wrapText="1"/>
    </xf>
    <xf numFmtId="165" fontId="49" fillId="11" borderId="153" xfId="0" applyNumberFormat="1" applyFont="1" applyFill="1" applyBorder="1" applyAlignment="1">
      <alignment horizontal="center" vertical="center"/>
    </xf>
    <xf numFmtId="0" fontId="49" fillId="11" borderId="153" xfId="0" applyFont="1" applyFill="1" applyBorder="1" applyAlignment="1">
      <alignment horizontal="left" vertical="center"/>
    </xf>
    <xf numFmtId="0" fontId="53" fillId="11" borderId="153" xfId="0" applyFont="1" applyFill="1" applyBorder="1" applyAlignment="1">
      <alignment horizontal="left" vertical="center" wrapText="1"/>
    </xf>
    <xf numFmtId="0" fontId="0" fillId="11" borderId="153" xfId="0" applyFill="1" applyBorder="1" applyAlignment="1">
      <alignment horizontal="left"/>
    </xf>
    <xf numFmtId="0" fontId="49" fillId="11" borderId="138" xfId="0" applyFont="1" applyFill="1" applyBorder="1" applyAlignment="1">
      <alignment horizontal="left" vertical="center"/>
    </xf>
    <xf numFmtId="0" fontId="49" fillId="11" borderId="138" xfId="0" applyFont="1" applyFill="1" applyBorder="1" applyAlignment="1">
      <alignment horizontal="center" vertical="center" wrapText="1"/>
    </xf>
    <xf numFmtId="0" fontId="49" fillId="11" borderId="142" xfId="0" applyFont="1" applyFill="1" applyBorder="1" applyAlignment="1">
      <alignment horizontal="left" vertical="center"/>
    </xf>
    <xf numFmtId="0" fontId="49" fillId="20" borderId="114" xfId="2" applyFont="1" applyFill="1" applyBorder="1" applyAlignment="1">
      <alignment horizontal="left" vertical="center" wrapText="1"/>
    </xf>
    <xf numFmtId="0" fontId="49" fillId="20" borderId="115" xfId="0" applyFont="1" applyFill="1" applyBorder="1" applyAlignment="1">
      <alignment horizontal="left" vertical="center" wrapText="1"/>
    </xf>
    <xf numFmtId="0" fontId="49" fillId="20" borderId="115" xfId="0" applyFont="1" applyFill="1" applyBorder="1" applyAlignment="1">
      <alignment horizontal="left" vertical="center"/>
    </xf>
    <xf numFmtId="0" fontId="49" fillId="20" borderId="116" xfId="0" applyFont="1" applyFill="1" applyBorder="1" applyAlignment="1">
      <alignment horizontal="left" vertical="center"/>
    </xf>
    <xf numFmtId="0" fontId="49" fillId="20" borderId="139" xfId="2" applyFont="1" applyFill="1" applyBorder="1" applyAlignment="1">
      <alignment horizontal="left" vertical="center" wrapText="1"/>
    </xf>
    <xf numFmtId="2" fontId="49" fillId="20" borderId="153" xfId="0" applyNumberFormat="1" applyFont="1" applyFill="1" applyBorder="1" applyAlignment="1">
      <alignment horizontal="left" vertical="center"/>
    </xf>
    <xf numFmtId="0" fontId="49" fillId="20" borderId="153" xfId="0" applyFont="1" applyFill="1" applyBorder="1" applyAlignment="1">
      <alignment horizontal="left" vertical="center" wrapText="1"/>
    </xf>
    <xf numFmtId="0" fontId="49" fillId="20" borderId="153" xfId="0" applyFont="1" applyFill="1" applyBorder="1" applyAlignment="1">
      <alignment horizontal="left" vertical="center"/>
    </xf>
    <xf numFmtId="0" fontId="49" fillId="20" borderId="141" xfId="2" applyFont="1" applyFill="1" applyBorder="1" applyAlignment="1">
      <alignment horizontal="left" vertical="center" wrapText="1"/>
    </xf>
    <xf numFmtId="0" fontId="49" fillId="20" borderId="138" xfId="0" applyFont="1" applyFill="1" applyBorder="1" applyAlignment="1">
      <alignment horizontal="left" vertical="center" wrapText="1"/>
    </xf>
    <xf numFmtId="0" fontId="30" fillId="0" borderId="0" xfId="0" applyFont="1" applyAlignment="1">
      <alignment horizontal="right"/>
    </xf>
    <xf numFmtId="0" fontId="0" fillId="0" borderId="153" xfId="0" applyBorder="1"/>
    <xf numFmtId="0" fontId="0" fillId="0" borderId="125" xfId="0" applyBorder="1"/>
    <xf numFmtId="0" fontId="0" fillId="14" borderId="114" xfId="0" applyFill="1" applyBorder="1"/>
    <xf numFmtId="0" fontId="0" fillId="14" borderId="115" xfId="0" applyFill="1" applyBorder="1"/>
    <xf numFmtId="2" fontId="0" fillId="14" borderId="116" xfId="0" applyNumberFormat="1" applyFill="1" applyBorder="1"/>
    <xf numFmtId="0" fontId="0" fillId="0" borderId="112" xfId="0" applyBorder="1"/>
    <xf numFmtId="0" fontId="0" fillId="14" borderId="139" xfId="0" applyFill="1" applyBorder="1"/>
    <xf numFmtId="0" fontId="0" fillId="14" borderId="153" xfId="0" applyFill="1" applyBorder="1"/>
    <xf numFmtId="2" fontId="0" fillId="14" borderId="140" xfId="0" applyNumberFormat="1" applyFill="1" applyBorder="1"/>
    <xf numFmtId="0" fontId="0" fillId="14" borderId="141" xfId="0" applyFill="1" applyBorder="1"/>
    <xf numFmtId="0" fontId="0" fillId="14" borderId="138" xfId="0" applyFill="1" applyBorder="1"/>
    <xf numFmtId="2" fontId="0" fillId="14" borderId="142" xfId="0" applyNumberFormat="1" applyFill="1" applyBorder="1"/>
    <xf numFmtId="0" fontId="57" fillId="7" borderId="150" xfId="0" applyFont="1" applyFill="1" applyBorder="1" applyAlignment="1">
      <alignment horizontal="left" vertical="center"/>
    </xf>
    <xf numFmtId="0" fontId="57" fillId="7" borderId="151" xfId="0" applyFont="1" applyFill="1" applyBorder="1" applyAlignment="1">
      <alignment horizontal="left" vertical="center" wrapText="1"/>
    </xf>
    <xf numFmtId="0" fontId="49" fillId="0" borderId="141" xfId="0" applyFont="1" applyBorder="1" applyAlignment="1">
      <alignment horizontal="left" vertical="center"/>
    </xf>
    <xf numFmtId="0" fontId="49" fillId="0" borderId="138" xfId="0" applyFont="1" applyBorder="1" applyAlignment="1">
      <alignment horizontal="left" vertical="center"/>
    </xf>
    <xf numFmtId="0" fontId="57" fillId="7" borderId="76" xfId="0" applyFont="1" applyFill="1" applyBorder="1" applyAlignment="1">
      <alignment vertical="center" wrapText="1"/>
    </xf>
    <xf numFmtId="0" fontId="49" fillId="0" borderId="114" xfId="0" applyFont="1" applyBorder="1" applyAlignment="1">
      <alignment vertical="center"/>
    </xf>
    <xf numFmtId="0" fontId="49" fillId="0" borderId="115" xfId="0" applyFont="1" applyBorder="1"/>
    <xf numFmtId="0" fontId="49" fillId="0" borderId="116" xfId="0" applyFont="1" applyBorder="1"/>
    <xf numFmtId="0" fontId="49" fillId="0" borderId="139" xfId="0" applyFont="1" applyBorder="1" applyAlignment="1">
      <alignment vertical="center"/>
    </xf>
    <xf numFmtId="0" fontId="49" fillId="0" borderId="153" xfId="0" applyFont="1" applyBorder="1"/>
    <xf numFmtId="0" fontId="49" fillId="0" borderId="140" xfId="0" applyFont="1" applyBorder="1"/>
    <xf numFmtId="0" fontId="49" fillId="0" borderId="153" xfId="0" applyFont="1" applyBorder="1" applyAlignment="1">
      <alignment vertical="center"/>
    </xf>
    <xf numFmtId="0" fontId="49" fillId="0" borderId="140" xfId="0" applyFont="1" applyBorder="1" applyAlignment="1">
      <alignment vertical="center"/>
    </xf>
    <xf numFmtId="0" fontId="49" fillId="0" borderId="141" xfId="0" applyFont="1" applyBorder="1" applyAlignment="1">
      <alignment vertical="center"/>
    </xf>
    <xf numFmtId="0" fontId="49" fillId="0" borderId="138" xfId="0" applyFont="1" applyBorder="1" applyAlignment="1">
      <alignment vertical="center"/>
    </xf>
    <xf numFmtId="0" fontId="49" fillId="0" borderId="142" xfId="0" applyFont="1" applyBorder="1" applyAlignment="1">
      <alignment vertical="center"/>
    </xf>
    <xf numFmtId="2" fontId="49" fillId="8" borderId="153" xfId="0" applyNumberFormat="1" applyFont="1" applyFill="1" applyBorder="1" applyAlignment="1">
      <alignment horizontal="center" vertical="center" wrapText="1"/>
    </xf>
    <xf numFmtId="0" fontId="46" fillId="8" borderId="83" xfId="0" quotePrefix="1" applyFont="1" applyFill="1" applyBorder="1" applyAlignment="1">
      <alignment horizontal="center" vertical="center"/>
    </xf>
    <xf numFmtId="0" fontId="46" fillId="8" borderId="153" xfId="0" quotePrefix="1" applyFont="1" applyFill="1" applyBorder="1" applyAlignment="1">
      <alignment horizontal="center" vertical="center"/>
    </xf>
    <xf numFmtId="0" fontId="46" fillId="8" borderId="153" xfId="0" applyFont="1" applyFill="1" applyBorder="1" applyAlignment="1">
      <alignment horizontal="center" vertical="center"/>
    </xf>
    <xf numFmtId="0" fontId="46" fillId="21" borderId="153" xfId="0" quotePrefix="1" applyFont="1" applyFill="1" applyBorder="1" applyAlignment="1">
      <alignment horizontal="center" vertical="center"/>
    </xf>
    <xf numFmtId="0" fontId="46" fillId="21" borderId="153" xfId="0" applyFont="1" applyFill="1" applyBorder="1" applyAlignment="1">
      <alignment horizontal="center" vertical="center"/>
    </xf>
    <xf numFmtId="0" fontId="46" fillId="11" borderId="153" xfId="0" quotePrefix="1" applyFont="1" applyFill="1" applyBorder="1" applyAlignment="1">
      <alignment horizontal="center" vertical="center"/>
    </xf>
    <xf numFmtId="0" fontId="46" fillId="11" borderId="153" xfId="0" applyFont="1" applyFill="1" applyBorder="1" applyAlignment="1">
      <alignment horizontal="center" vertical="center"/>
    </xf>
    <xf numFmtId="0" fontId="53" fillId="0" borderId="0" xfId="6" applyFont="1" applyAlignment="1">
      <alignment horizontal="center" vertical="center"/>
    </xf>
    <xf numFmtId="0" fontId="56" fillId="7" borderId="155" xfId="6" applyFont="1" applyFill="1" applyBorder="1" applyAlignment="1">
      <alignment horizontal="left" vertical="center" wrapText="1"/>
    </xf>
    <xf numFmtId="0" fontId="56" fillId="0" borderId="0" xfId="6" applyFont="1" applyAlignment="1">
      <alignment horizontal="center" vertical="center"/>
    </xf>
    <xf numFmtId="0" fontId="57" fillId="13" borderId="156" xfId="6" applyFont="1" applyFill="1" applyBorder="1" applyAlignment="1">
      <alignment horizontal="center" vertical="center"/>
    </xf>
    <xf numFmtId="0" fontId="57" fillId="13" borderId="157" xfId="6" applyFont="1" applyFill="1" applyBorder="1" applyAlignment="1">
      <alignment horizontal="left" vertical="center" wrapText="1"/>
    </xf>
    <xf numFmtId="0" fontId="57" fillId="13" borderId="157" xfId="6" applyFont="1" applyFill="1" applyBorder="1" applyAlignment="1">
      <alignment horizontal="center" vertical="center" wrapText="1"/>
    </xf>
    <xf numFmtId="0" fontId="57" fillId="13" borderId="158" xfId="6" applyFont="1" applyFill="1" applyBorder="1" applyAlignment="1">
      <alignment vertical="center"/>
    </xf>
    <xf numFmtId="0" fontId="46" fillId="0" borderId="159" xfId="6" applyFont="1" applyBorder="1" applyAlignment="1">
      <alignment horizontal="left"/>
    </xf>
    <xf numFmtId="0" fontId="49" fillId="0" borderId="160" xfId="6" applyFont="1" applyBorder="1" applyAlignment="1">
      <alignment horizontal="left" vertical="center" wrapText="1"/>
    </xf>
    <xf numFmtId="0" fontId="49" fillId="0" borderId="160" xfId="6" applyFont="1" applyBorder="1" applyAlignment="1">
      <alignment horizontal="center" vertical="center" wrapText="1"/>
    </xf>
    <xf numFmtId="0" fontId="46" fillId="0" borderId="160" xfId="6" applyFont="1" applyBorder="1" applyAlignment="1">
      <alignment horizontal="center"/>
    </xf>
    <xf numFmtId="0" fontId="49" fillId="0" borderId="161" xfId="6" applyFont="1" applyBorder="1" applyAlignment="1">
      <alignment horizontal="center" vertical="center" wrapText="1"/>
    </xf>
    <xf numFmtId="0" fontId="46" fillId="0" borderId="139" xfId="6" applyFont="1" applyBorder="1" applyAlignment="1">
      <alignment horizontal="left"/>
    </xf>
    <xf numFmtId="0" fontId="49" fillId="0" borderId="153" xfId="6" applyFont="1" applyBorder="1" applyAlignment="1">
      <alignment horizontal="left" vertical="center" wrapText="1"/>
    </xf>
    <xf numFmtId="0" fontId="49" fillId="0" borderId="153" xfId="6" applyFont="1" applyBorder="1" applyAlignment="1">
      <alignment horizontal="center" vertical="center" wrapText="1"/>
    </xf>
    <xf numFmtId="0" fontId="46" fillId="0" borderId="153" xfId="6" applyFont="1" applyBorder="1" applyAlignment="1">
      <alignment horizontal="center"/>
    </xf>
    <xf numFmtId="0" fontId="49" fillId="0" borderId="140" xfId="6" applyFont="1" applyBorder="1" applyAlignment="1">
      <alignment horizontal="center" vertical="center" wrapText="1"/>
    </xf>
    <xf numFmtId="0" fontId="46" fillId="0" borderId="153" xfId="6" applyFont="1" applyBorder="1" applyAlignment="1">
      <alignment horizontal="center" vertical="center" wrapText="1"/>
    </xf>
    <xf numFmtId="0" fontId="46" fillId="0" borderId="141" xfId="6" applyFont="1" applyBorder="1" applyAlignment="1">
      <alignment horizontal="left"/>
    </xf>
    <xf numFmtId="0" fontId="49" fillId="0" borderId="138" xfId="6" applyFont="1" applyBorder="1" applyAlignment="1">
      <alignment horizontal="left" vertical="center" wrapText="1"/>
    </xf>
    <xf numFmtId="0" fontId="49" fillId="0" borderId="138" xfId="6" applyFont="1" applyBorder="1" applyAlignment="1">
      <alignment horizontal="center" vertical="center" wrapText="1"/>
    </xf>
    <xf numFmtId="0" fontId="46" fillId="0" borderId="138" xfId="6" applyFont="1" applyBorder="1" applyAlignment="1">
      <alignment horizontal="center"/>
    </xf>
    <xf numFmtId="0" fontId="49" fillId="0" borderId="142" xfId="6" applyFont="1" applyBorder="1" applyAlignment="1">
      <alignment horizontal="center" vertical="center" wrapText="1"/>
    </xf>
    <xf numFmtId="0" fontId="46" fillId="8" borderId="98" xfId="0" quotePrefix="1" applyNumberFormat="1" applyFont="1" applyFill="1" applyBorder="1" applyAlignment="1">
      <alignment horizontal="center" vertical="center"/>
    </xf>
    <xf numFmtId="0" fontId="46" fillId="8" borderId="123" xfId="0" quotePrefix="1" applyNumberFormat="1" applyFont="1" applyFill="1" applyBorder="1" applyAlignment="1">
      <alignment horizontal="center" vertical="center"/>
    </xf>
    <xf numFmtId="0" fontId="46" fillId="8" borderId="123" xfId="0" applyNumberFormat="1" applyFont="1" applyFill="1" applyBorder="1" applyAlignment="1">
      <alignment horizontal="center" vertical="center"/>
    </xf>
    <xf numFmtId="0" fontId="46" fillId="21" borderId="123" xfId="0" applyNumberFormat="1" applyFont="1" applyFill="1" applyBorder="1" applyAlignment="1">
      <alignment horizontal="center" vertical="center"/>
    </xf>
    <xf numFmtId="0" fontId="46" fillId="11" borderId="123" xfId="0" applyNumberFormat="1" applyFont="1" applyFill="1" applyBorder="1" applyAlignment="1">
      <alignment horizontal="center" vertical="center"/>
    </xf>
    <xf numFmtId="0" fontId="46" fillId="11" borderId="123" xfId="0" quotePrefix="1" applyNumberFormat="1" applyFont="1" applyFill="1" applyBorder="1" applyAlignment="1">
      <alignment horizontal="center" vertical="center"/>
    </xf>
    <xf numFmtId="0" fontId="46" fillId="10" borderId="123" xfId="0" quotePrefix="1" applyNumberFormat="1" applyFont="1" applyFill="1" applyBorder="1" applyAlignment="1">
      <alignment horizontal="center" vertical="center"/>
    </xf>
    <xf numFmtId="0" fontId="46" fillId="22" borderId="123" xfId="0" applyNumberFormat="1" applyFont="1" applyFill="1" applyBorder="1" applyAlignment="1">
      <alignment horizontal="center" vertical="center"/>
    </xf>
    <xf numFmtId="0" fontId="46" fillId="20" borderId="123" xfId="0" quotePrefix="1" applyNumberFormat="1" applyFont="1" applyFill="1" applyBorder="1" applyAlignment="1">
      <alignment horizontal="center" vertical="center"/>
    </xf>
    <xf numFmtId="0" fontId="46" fillId="20" borderId="123" xfId="0" applyNumberFormat="1" applyFont="1" applyFill="1" applyBorder="1" applyAlignment="1">
      <alignment horizontal="center" vertical="center"/>
    </xf>
    <xf numFmtId="0" fontId="46" fillId="12" borderId="123" xfId="0" quotePrefix="1" applyNumberFormat="1" applyFont="1" applyFill="1" applyBorder="1" applyAlignment="1">
      <alignment horizontal="center" vertical="center"/>
    </xf>
    <xf numFmtId="0" fontId="46" fillId="12" borderId="123" xfId="0" applyNumberFormat="1" applyFont="1" applyFill="1" applyBorder="1" applyAlignment="1">
      <alignment horizontal="center" vertical="center"/>
    </xf>
    <xf numFmtId="0" fontId="46" fillId="18" borderId="123" xfId="0" applyNumberFormat="1" applyFont="1" applyFill="1" applyBorder="1" applyAlignment="1">
      <alignment horizontal="center" vertical="center"/>
    </xf>
    <xf numFmtId="0" fontId="46" fillId="9" borderId="123" xfId="0" applyNumberFormat="1" applyFont="1" applyFill="1" applyBorder="1" applyAlignment="1">
      <alignment horizontal="center" vertical="center"/>
    </xf>
    <xf numFmtId="0" fontId="46" fillId="9" borderId="123" xfId="0" quotePrefix="1" applyNumberFormat="1" applyFont="1" applyFill="1" applyBorder="1" applyAlignment="1">
      <alignment horizontal="center" vertical="center"/>
    </xf>
    <xf numFmtId="0" fontId="46" fillId="7" borderId="123" xfId="0" applyNumberFormat="1" applyFont="1" applyFill="1" applyBorder="1" applyAlignment="1">
      <alignment horizontal="center" vertical="center"/>
    </xf>
    <xf numFmtId="0" fontId="46" fillId="16" borderId="123" xfId="0" quotePrefix="1" applyNumberFormat="1" applyFont="1" applyFill="1" applyBorder="1" applyAlignment="1">
      <alignment horizontal="center" vertical="center"/>
    </xf>
    <xf numFmtId="0" fontId="46" fillId="16" borderId="123" xfId="0" applyNumberFormat="1" applyFont="1" applyFill="1" applyBorder="1" applyAlignment="1">
      <alignment horizontal="center" vertical="center"/>
    </xf>
    <xf numFmtId="0" fontId="46" fillId="15" borderId="123" xfId="0" applyNumberFormat="1" applyFont="1" applyFill="1" applyBorder="1" applyAlignment="1">
      <alignment horizontal="center" vertical="center"/>
    </xf>
    <xf numFmtId="0" fontId="46" fillId="4" borderId="123" xfId="0" applyNumberFormat="1" applyFont="1" applyFill="1" applyBorder="1" applyAlignment="1">
      <alignment horizontal="center" vertical="center"/>
    </xf>
    <xf numFmtId="0" fontId="46" fillId="18" borderId="137" xfId="0" applyNumberFormat="1" applyFont="1" applyFill="1" applyBorder="1" applyAlignment="1">
      <alignment horizontal="center" vertical="center"/>
    </xf>
    <xf numFmtId="0" fontId="46" fillId="8" borderId="98" xfId="0" applyNumberFormat="1" applyFont="1" applyFill="1" applyBorder="1" applyAlignment="1">
      <alignment horizontal="center" vertical="center"/>
    </xf>
    <xf numFmtId="0" fontId="46" fillId="10" borderId="123" xfId="0" applyNumberFormat="1" applyFont="1" applyFill="1" applyBorder="1" applyAlignment="1">
      <alignment horizontal="center" vertical="center"/>
    </xf>
    <xf numFmtId="0" fontId="46" fillId="21" borderId="123" xfId="0" quotePrefix="1" applyNumberFormat="1" applyFont="1" applyFill="1" applyBorder="1" applyAlignment="1">
      <alignment horizontal="center" vertical="center"/>
    </xf>
    <xf numFmtId="0" fontId="46" fillId="7" borderId="123" xfId="0" quotePrefix="1" applyNumberFormat="1" applyFont="1" applyFill="1" applyBorder="1" applyAlignment="1">
      <alignment horizontal="center" vertical="center"/>
    </xf>
    <xf numFmtId="0" fontId="46" fillId="15" borderId="123" xfId="0" quotePrefix="1" applyNumberFormat="1" applyFont="1" applyFill="1" applyBorder="1" applyAlignment="1">
      <alignment horizontal="center" vertical="center"/>
    </xf>
    <xf numFmtId="0" fontId="46" fillId="4" borderId="123" xfId="0" quotePrefix="1" applyNumberFormat="1" applyFont="1" applyFill="1" applyBorder="1" applyAlignment="1">
      <alignment horizontal="center" vertical="center"/>
    </xf>
    <xf numFmtId="0" fontId="46" fillId="18" borderId="123" xfId="0" quotePrefix="1" applyNumberFormat="1" applyFont="1" applyFill="1" applyBorder="1" applyAlignment="1">
      <alignment horizontal="center" vertical="center"/>
    </xf>
    <xf numFmtId="0" fontId="46" fillId="8" borderId="83" xfId="0" quotePrefix="1" applyNumberFormat="1" applyFont="1" applyFill="1" applyBorder="1" applyAlignment="1">
      <alignment horizontal="center" vertical="center"/>
    </xf>
    <xf numFmtId="0" fontId="46" fillId="8" borderId="153" xfId="0" quotePrefix="1" applyNumberFormat="1" applyFont="1" applyFill="1" applyBorder="1" applyAlignment="1">
      <alignment horizontal="center" vertical="center"/>
    </xf>
    <xf numFmtId="0" fontId="46" fillId="8" borderId="153" xfId="0" applyNumberFormat="1" applyFont="1" applyFill="1" applyBorder="1" applyAlignment="1">
      <alignment horizontal="center" vertical="center"/>
    </xf>
    <xf numFmtId="0" fontId="46" fillId="21" borderId="153" xfId="0" quotePrefix="1" applyNumberFormat="1" applyFont="1" applyFill="1" applyBorder="1" applyAlignment="1">
      <alignment horizontal="center" vertical="center"/>
    </xf>
    <xf numFmtId="0" fontId="46" fillId="21" borderId="153" xfId="0" applyNumberFormat="1" applyFont="1" applyFill="1" applyBorder="1" applyAlignment="1">
      <alignment horizontal="center" vertical="center"/>
    </xf>
    <xf numFmtId="0" fontId="46" fillId="11" borderId="153" xfId="0" quotePrefix="1" applyNumberFormat="1" applyFont="1" applyFill="1" applyBorder="1" applyAlignment="1">
      <alignment horizontal="center" vertical="center"/>
    </xf>
    <xf numFmtId="0" fontId="46" fillId="11" borderId="153" xfId="0" applyNumberFormat="1" applyFont="1" applyFill="1" applyBorder="1" applyAlignment="1">
      <alignment horizontal="center" vertical="center"/>
    </xf>
    <xf numFmtId="0" fontId="46" fillId="18" borderId="137" xfId="0" quotePrefix="1" applyNumberFormat="1" applyFont="1" applyFill="1" applyBorder="1" applyAlignment="1">
      <alignment horizontal="center" vertical="center"/>
    </xf>
    <xf numFmtId="0" fontId="56" fillId="7" borderId="162" xfId="0" applyFont="1" applyFill="1" applyBorder="1" applyAlignment="1">
      <alignment horizontal="left" vertical="center" wrapText="1"/>
    </xf>
    <xf numFmtId="0" fontId="57" fillId="7" borderId="163" xfId="0" applyFont="1" applyFill="1" applyBorder="1" applyAlignment="1">
      <alignment horizontal="left" vertical="center"/>
    </xf>
    <xf numFmtId="0" fontId="57" fillId="7" borderId="164" xfId="0" applyFont="1" applyFill="1" applyBorder="1" applyAlignment="1">
      <alignment horizontal="left" vertical="center" wrapText="1"/>
    </xf>
    <xf numFmtId="0" fontId="57" fillId="7" borderId="164" xfId="0" applyFont="1" applyFill="1" applyBorder="1" applyAlignment="1">
      <alignment horizontal="center" vertical="center" wrapText="1"/>
    </xf>
    <xf numFmtId="0" fontId="46" fillId="0" borderId="166" xfId="6" applyFont="1" applyBorder="1" applyAlignment="1">
      <alignment horizontal="center"/>
    </xf>
    <xf numFmtId="0" fontId="46" fillId="0" borderId="166" xfId="6" applyFont="1" applyBorder="1" applyAlignment="1">
      <alignment horizontal="center" vertical="center" wrapText="1"/>
    </xf>
    <xf numFmtId="0" fontId="57" fillId="7" borderId="164" xfId="6" applyFont="1" applyFill="1" applyBorder="1" applyAlignment="1">
      <alignment horizontal="center" vertical="center" wrapText="1"/>
    </xf>
    <xf numFmtId="0" fontId="46" fillId="0" borderId="98" xfId="6" applyFont="1" applyBorder="1" applyAlignment="1">
      <alignment horizontal="center"/>
    </xf>
    <xf numFmtId="0" fontId="53" fillId="8" borderId="138" xfId="0" applyFont="1" applyFill="1" applyBorder="1" applyAlignment="1">
      <alignment horizontal="left" vertical="center" wrapText="1"/>
    </xf>
    <xf numFmtId="165" fontId="53" fillId="8" borderId="138" xfId="0" applyNumberFormat="1" applyFont="1" applyFill="1" applyBorder="1" applyAlignment="1">
      <alignment horizontal="center" vertical="center" wrapText="1"/>
    </xf>
    <xf numFmtId="0" fontId="49" fillId="8" borderId="138" xfId="0" applyFont="1" applyFill="1" applyBorder="1" applyAlignment="1">
      <alignment horizontal="center" vertical="center" wrapText="1"/>
    </xf>
    <xf numFmtId="0" fontId="53" fillId="8" borderId="138" xfId="0" applyFont="1" applyFill="1" applyBorder="1" applyAlignment="1">
      <alignment horizontal="center" vertical="center" wrapText="1"/>
    </xf>
    <xf numFmtId="0" fontId="49" fillId="8" borderId="166" xfId="0" applyFont="1" applyFill="1" applyBorder="1" applyAlignment="1">
      <alignment horizontal="left" vertical="center" wrapText="1"/>
    </xf>
    <xf numFmtId="165" fontId="49" fillId="8" borderId="166" xfId="0" applyNumberFormat="1" applyFont="1" applyFill="1" applyBorder="1" applyAlignment="1">
      <alignment horizontal="center" vertical="center" wrapText="1"/>
    </xf>
    <xf numFmtId="0" fontId="49" fillId="8" borderId="166" xfId="0" applyFont="1" applyFill="1" applyBorder="1" applyAlignment="1">
      <alignment horizontal="center" vertical="center" wrapText="1"/>
    </xf>
    <xf numFmtId="2" fontId="49" fillId="11" borderId="98" xfId="0" applyNumberFormat="1" applyFont="1" applyFill="1" applyBorder="1" applyAlignment="1">
      <alignment horizontal="center" vertical="center" wrapText="1"/>
    </xf>
    <xf numFmtId="0" fontId="49" fillId="11" borderId="166" xfId="0" applyFont="1" applyFill="1" applyBorder="1" applyAlignment="1">
      <alignment horizontal="center" vertical="center" wrapText="1"/>
    </xf>
    <xf numFmtId="0" fontId="49" fillId="15" borderId="166" xfId="0" applyFont="1" applyFill="1" applyBorder="1" applyAlignment="1">
      <alignment horizontal="left" vertical="center" wrapText="1"/>
    </xf>
    <xf numFmtId="0" fontId="49" fillId="15" borderId="166" xfId="0" applyFont="1" applyFill="1" applyBorder="1" applyAlignment="1">
      <alignment horizontal="center" vertical="center" wrapText="1"/>
    </xf>
    <xf numFmtId="1" fontId="49" fillId="15" borderId="166" xfId="0" applyNumberFormat="1" applyFont="1" applyFill="1" applyBorder="1" applyAlignment="1">
      <alignment horizontal="center" vertical="center" wrapText="1"/>
    </xf>
    <xf numFmtId="0" fontId="56" fillId="7" borderId="167" xfId="0" applyFont="1" applyFill="1" applyBorder="1" applyAlignment="1">
      <alignment horizontal="left" vertical="center" wrapText="1"/>
    </xf>
    <xf numFmtId="0" fontId="49" fillId="9" borderId="168" xfId="0" applyFont="1" applyFill="1" applyBorder="1" applyAlignment="1">
      <alignment horizontal="left" vertical="center"/>
    </xf>
    <xf numFmtId="0" fontId="49" fillId="9" borderId="169" xfId="0" applyFont="1" applyFill="1" applyBorder="1" applyAlignment="1">
      <alignment horizontal="left" vertical="center" wrapText="1"/>
    </xf>
    <xf numFmtId="0" fontId="49" fillId="9" borderId="169" xfId="0" applyFont="1" applyFill="1" applyBorder="1" applyAlignment="1">
      <alignment horizontal="center" vertical="center" wrapText="1"/>
    </xf>
    <xf numFmtId="0" fontId="53" fillId="9" borderId="169" xfId="0" applyFont="1" applyFill="1" applyBorder="1" applyAlignment="1">
      <alignment horizontal="center" vertical="center" wrapText="1"/>
    </xf>
    <xf numFmtId="0" fontId="49" fillId="9" borderId="169" xfId="0" applyFont="1" applyFill="1" applyBorder="1" applyAlignment="1">
      <alignment horizontal="center" vertical="center"/>
    </xf>
    <xf numFmtId="0" fontId="49" fillId="9" borderId="170" xfId="0" applyFont="1" applyFill="1" applyBorder="1" applyAlignment="1">
      <alignment horizontal="left" vertical="center"/>
    </xf>
    <xf numFmtId="2" fontId="49" fillId="9" borderId="166" xfId="0" applyNumberFormat="1" applyFont="1" applyFill="1" applyBorder="1" applyAlignment="1">
      <alignment horizontal="left" vertical="center" wrapText="1"/>
    </xf>
    <xf numFmtId="2" fontId="49" fillId="9" borderId="166" xfId="0" applyNumberFormat="1" applyFont="1" applyFill="1" applyBorder="1" applyAlignment="1">
      <alignment horizontal="center" vertical="center" wrapText="1"/>
    </xf>
    <xf numFmtId="0" fontId="49" fillId="9" borderId="166" xfId="0" applyFont="1" applyFill="1" applyBorder="1" applyAlignment="1">
      <alignment horizontal="center" vertical="center"/>
    </xf>
    <xf numFmtId="0" fontId="49" fillId="9" borderId="166" xfId="0" applyFont="1" applyFill="1" applyBorder="1" applyAlignment="1">
      <alignment horizontal="center" vertical="center" wrapText="1"/>
    </xf>
    <xf numFmtId="0" fontId="53" fillId="9" borderId="166" xfId="0" applyFont="1" applyFill="1" applyBorder="1" applyAlignment="1">
      <alignment horizontal="center" vertical="center" wrapText="1"/>
    </xf>
    <xf numFmtId="0" fontId="49" fillId="9" borderId="140" xfId="0" applyFont="1" applyFill="1" applyBorder="1" applyAlignment="1">
      <alignment horizontal="left" vertical="center"/>
    </xf>
    <xf numFmtId="0" fontId="49" fillId="9" borderId="166" xfId="0" applyFont="1" applyFill="1" applyBorder="1" applyAlignment="1">
      <alignment horizontal="left" vertical="center" wrapText="1"/>
    </xf>
    <xf numFmtId="167" fontId="49" fillId="9" borderId="166" xfId="0" applyNumberFormat="1" applyFont="1" applyFill="1" applyBorder="1" applyAlignment="1">
      <alignment horizontal="left" vertical="center" wrapText="1"/>
    </xf>
    <xf numFmtId="167" fontId="49" fillId="9" borderId="166" xfId="0" applyNumberFormat="1" applyFont="1" applyFill="1" applyBorder="1" applyAlignment="1">
      <alignment horizontal="center" vertical="center" wrapText="1"/>
    </xf>
    <xf numFmtId="0" fontId="49" fillId="9" borderId="141" xfId="0" applyFont="1" applyFill="1" applyBorder="1" applyAlignment="1">
      <alignment horizontal="left" vertical="center"/>
    </xf>
    <xf numFmtId="167" fontId="49" fillId="9" borderId="138" xfId="0" applyNumberFormat="1" applyFont="1" applyFill="1" applyBorder="1" applyAlignment="1">
      <alignment horizontal="left" vertical="center" wrapText="1"/>
    </xf>
    <xf numFmtId="167" fontId="49" fillId="9" borderId="138" xfId="0" applyNumberFormat="1" applyFont="1" applyFill="1" applyBorder="1" applyAlignment="1">
      <alignment horizontal="center" vertical="center" wrapText="1"/>
    </xf>
    <xf numFmtId="0" fontId="53" fillId="9" borderId="138" xfId="0" applyFont="1" applyFill="1" applyBorder="1" applyAlignment="1">
      <alignment horizontal="center" vertical="center" wrapText="1"/>
    </xf>
    <xf numFmtId="0" fontId="49" fillId="9" borderId="138" xfId="0" applyFont="1" applyFill="1" applyBorder="1" applyAlignment="1">
      <alignment horizontal="center" vertical="center"/>
    </xf>
    <xf numFmtId="0" fontId="49" fillId="9" borderId="142" xfId="0" applyFont="1" applyFill="1" applyBorder="1" applyAlignment="1">
      <alignment horizontal="left" vertical="center"/>
    </xf>
    <xf numFmtId="0" fontId="53" fillId="11" borderId="166" xfId="0" applyFont="1" applyFill="1" applyBorder="1" applyAlignment="1">
      <alignment horizontal="left" vertical="center" wrapText="1"/>
    </xf>
    <xf numFmtId="167" fontId="53" fillId="11" borderId="166" xfId="0" applyNumberFormat="1" applyFont="1" applyFill="1" applyBorder="1" applyAlignment="1">
      <alignment horizontal="center" vertical="center" wrapText="1"/>
    </xf>
    <xf numFmtId="0" fontId="53" fillId="11" borderId="166" xfId="0" quotePrefix="1" applyFont="1" applyFill="1" applyBorder="1" applyAlignment="1">
      <alignment horizontal="center" vertical="center" wrapText="1"/>
    </xf>
    <xf numFmtId="0" fontId="53" fillId="11" borderId="139" xfId="0" applyFont="1" applyFill="1" applyBorder="1" applyAlignment="1">
      <alignment horizontal="left" vertical="center"/>
    </xf>
    <xf numFmtId="167" fontId="49" fillId="11" borderId="166" xfId="0" applyNumberFormat="1" applyFont="1" applyFill="1" applyBorder="1" applyAlignment="1">
      <alignment horizontal="center" vertical="center" wrapText="1"/>
    </xf>
    <xf numFmtId="2" fontId="49" fillId="24" borderId="166" xfId="0" applyNumberFormat="1" applyFont="1" applyFill="1" applyBorder="1" applyAlignment="1">
      <alignment horizontal="left" vertical="center" wrapText="1"/>
    </xf>
    <xf numFmtId="2" fontId="49" fillId="24" borderId="166" xfId="0" applyNumberFormat="1" applyFont="1" applyFill="1" applyBorder="1" applyAlignment="1">
      <alignment horizontal="center" vertical="center" wrapText="1"/>
    </xf>
    <xf numFmtId="0" fontId="49" fillId="24" borderId="166" xfId="0" applyFont="1" applyFill="1" applyBorder="1" applyAlignment="1">
      <alignment horizontal="center" vertical="center" wrapText="1"/>
    </xf>
    <xf numFmtId="0" fontId="49" fillId="9" borderId="169" xfId="0" applyFont="1" applyFill="1" applyBorder="1" applyAlignment="1">
      <alignment horizontal="left" vertical="center"/>
    </xf>
    <xf numFmtId="0" fontId="49" fillId="9" borderId="166" xfId="0" applyFont="1" applyFill="1" applyBorder="1" applyAlignment="1">
      <alignment horizontal="left" vertical="center"/>
    </xf>
    <xf numFmtId="0" fontId="49" fillId="9" borderId="101" xfId="0" applyFont="1" applyFill="1" applyBorder="1" applyAlignment="1">
      <alignment horizontal="left" vertical="center"/>
    </xf>
    <xf numFmtId="0" fontId="49" fillId="9" borderId="98" xfId="0" applyFont="1" applyFill="1" applyBorder="1" applyAlignment="1">
      <alignment horizontal="left" vertical="center"/>
    </xf>
    <xf numFmtId="0" fontId="49" fillId="9" borderId="98" xfId="0" applyFont="1" applyFill="1" applyBorder="1" applyAlignment="1">
      <alignment horizontal="center" vertical="center"/>
    </xf>
    <xf numFmtId="0" fontId="56" fillId="2" borderId="0" xfId="0" applyFont="1" applyFill="1" applyAlignment="1">
      <alignment horizontal="left" vertical="center"/>
    </xf>
    <xf numFmtId="0" fontId="49" fillId="9" borderId="138" xfId="0" applyFont="1" applyFill="1" applyBorder="1" applyAlignment="1">
      <alignment horizontal="left" vertical="center"/>
    </xf>
    <xf numFmtId="166" fontId="56" fillId="2" borderId="0" xfId="0" applyNumberFormat="1" applyFont="1" applyFill="1" applyAlignment="1">
      <alignment horizontal="center" vertical="center"/>
    </xf>
    <xf numFmtId="0" fontId="49" fillId="20" borderId="168" xfId="0" applyFont="1" applyFill="1" applyBorder="1" applyAlignment="1">
      <alignment horizontal="left" vertical="center" wrapText="1"/>
    </xf>
    <xf numFmtId="0" fontId="49" fillId="20" borderId="169" xfId="0" applyFont="1" applyFill="1" applyBorder="1" applyAlignment="1">
      <alignment horizontal="left" vertical="center"/>
    </xf>
    <xf numFmtId="0" fontId="49" fillId="20" borderId="169" xfId="0" applyFont="1" applyFill="1" applyBorder="1" applyAlignment="1">
      <alignment horizontal="center" vertical="center"/>
    </xf>
    <xf numFmtId="167" fontId="49" fillId="20" borderId="169" xfId="0" applyNumberFormat="1" applyFont="1" applyFill="1" applyBorder="1" applyAlignment="1">
      <alignment horizontal="center" vertical="center"/>
    </xf>
    <xf numFmtId="0" fontId="49" fillId="20" borderId="169" xfId="0" quotePrefix="1" applyFont="1" applyFill="1" applyBorder="1" applyAlignment="1">
      <alignment horizontal="center" vertical="center"/>
    </xf>
    <xf numFmtId="0" fontId="49" fillId="20" borderId="170" xfId="0" applyFont="1" applyFill="1" applyBorder="1" applyAlignment="1">
      <alignment horizontal="left" vertical="center"/>
    </xf>
    <xf numFmtId="0" fontId="48" fillId="11" borderId="166" xfId="0" applyFont="1" applyFill="1" applyBorder="1" applyAlignment="1">
      <alignment horizontal="center" vertical="center"/>
    </xf>
    <xf numFmtId="0" fontId="46" fillId="11" borderId="166" xfId="0" applyFont="1" applyFill="1" applyBorder="1" applyAlignment="1">
      <alignment horizontal="left" vertical="center"/>
    </xf>
    <xf numFmtId="0" fontId="46" fillId="11" borderId="166" xfId="0" quotePrefix="1" applyFont="1" applyFill="1" applyBorder="1" applyAlignment="1">
      <alignment horizontal="center" vertical="center"/>
    </xf>
    <xf numFmtId="0" fontId="46" fillId="11" borderId="140" xfId="0" applyFont="1" applyFill="1" applyBorder="1" applyAlignment="1">
      <alignment horizontal="left" vertical="center"/>
    </xf>
    <xf numFmtId="167" fontId="0" fillId="0" borderId="0" xfId="0" applyNumberFormat="1" applyAlignment="1">
      <alignment horizontal="left"/>
    </xf>
    <xf numFmtId="0" fontId="57" fillId="7" borderId="164" xfId="3" applyFont="1" applyFill="1" applyBorder="1" applyAlignment="1">
      <alignment horizontal="center" vertical="center" wrapText="1"/>
    </xf>
    <xf numFmtId="0" fontId="0" fillId="9" borderId="166" xfId="0" applyFill="1" applyBorder="1" applyAlignment="1">
      <alignment horizontal="left" vertical="center"/>
    </xf>
    <xf numFmtId="0" fontId="46" fillId="15" borderId="166" xfId="0" quotePrefix="1" applyFont="1" applyFill="1" applyBorder="1" applyAlignment="1">
      <alignment horizontal="center" vertical="center"/>
    </xf>
    <xf numFmtId="0" fontId="46" fillId="11" borderId="166" xfId="0" quotePrefix="1" applyNumberFormat="1" applyFont="1" applyFill="1" applyBorder="1" applyAlignment="1">
      <alignment horizontal="center" vertical="center"/>
    </xf>
    <xf numFmtId="0" fontId="46" fillId="15" borderId="166" xfId="0" quotePrefix="1" applyNumberFormat="1" applyFont="1" applyFill="1" applyBorder="1" applyAlignment="1">
      <alignment horizontal="center" vertical="center"/>
    </xf>
    <xf numFmtId="0" fontId="61" fillId="7" borderId="164" xfId="3" applyFont="1" applyFill="1" applyBorder="1" applyAlignment="1">
      <alignment horizontal="left" vertical="center" wrapText="1"/>
    </xf>
    <xf numFmtId="0" fontId="46" fillId="7" borderId="166" xfId="0" quotePrefix="1" applyFont="1" applyFill="1" applyBorder="1" applyAlignment="1">
      <alignment horizontal="left" vertical="center"/>
    </xf>
    <xf numFmtId="0" fontId="46" fillId="9" borderId="166" xfId="0" quotePrefix="1" applyFont="1" applyFill="1" applyBorder="1" applyAlignment="1">
      <alignment horizontal="left" vertical="center"/>
    </xf>
    <xf numFmtId="0" fontId="46" fillId="15" borderId="166" xfId="0" quotePrefix="1" applyFont="1" applyFill="1" applyBorder="1" applyAlignment="1">
      <alignment horizontal="left" vertical="center"/>
    </xf>
    <xf numFmtId="0" fontId="29" fillId="9" borderId="166" xfId="0" applyFont="1" applyFill="1" applyBorder="1" applyAlignment="1">
      <alignment horizontal="center" vertical="center"/>
    </xf>
    <xf numFmtId="0" fontId="0" fillId="9" borderId="166" xfId="0" quotePrefix="1" applyFill="1" applyBorder="1" applyAlignment="1">
      <alignment horizontal="center" vertical="center"/>
    </xf>
    <xf numFmtId="0" fontId="0" fillId="9" borderId="166" xfId="0" applyFill="1" applyBorder="1" applyAlignment="1">
      <alignment horizontal="center" vertical="center"/>
    </xf>
    <xf numFmtId="0" fontId="46" fillId="15" borderId="140" xfId="0" applyFont="1" applyFill="1" applyBorder="1" applyAlignment="1">
      <alignment horizontal="left" vertical="center"/>
    </xf>
    <xf numFmtId="0" fontId="49" fillId="8" borderId="166" xfId="0" quotePrefix="1" applyFont="1" applyFill="1" applyBorder="1" applyAlignment="1">
      <alignment horizontal="left" vertical="center"/>
    </xf>
    <xf numFmtId="0" fontId="49" fillId="8" borderId="166" xfId="0" applyFont="1" applyFill="1" applyBorder="1" applyAlignment="1">
      <alignment horizontal="left" vertical="center"/>
    </xf>
    <xf numFmtId="0" fontId="49" fillId="8" borderId="139" xfId="0" quotePrefix="1" applyFont="1" applyFill="1" applyBorder="1" applyAlignment="1">
      <alignment horizontal="left" vertical="center"/>
    </xf>
    <xf numFmtId="1" fontId="49" fillId="8" borderId="166" xfId="0" applyNumberFormat="1" applyFont="1" applyFill="1" applyBorder="1" applyAlignment="1">
      <alignment horizontal="left" vertical="center"/>
    </xf>
    <xf numFmtId="2" fontId="49" fillId="8" borderId="166" xfId="0" applyNumberFormat="1" applyFont="1" applyFill="1" applyBorder="1" applyAlignment="1">
      <alignment horizontal="left" vertical="center"/>
    </xf>
    <xf numFmtId="0" fontId="49" fillId="8" borderId="141" xfId="0" quotePrefix="1" applyFont="1" applyFill="1" applyBorder="1" applyAlignment="1">
      <alignment horizontal="left" vertical="center"/>
    </xf>
    <xf numFmtId="0" fontId="49" fillId="8" borderId="138" xfId="0" quotePrefix="1" applyFont="1" applyFill="1" applyBorder="1" applyAlignment="1">
      <alignment horizontal="left" vertical="center"/>
    </xf>
    <xf numFmtId="1" fontId="49" fillId="8" borderId="138" xfId="0" applyNumberFormat="1" applyFont="1" applyFill="1" applyBorder="1" applyAlignment="1">
      <alignment horizontal="left" vertical="center"/>
    </xf>
    <xf numFmtId="0" fontId="49" fillId="8" borderId="138" xfId="0" applyFont="1" applyFill="1" applyBorder="1" applyAlignment="1">
      <alignment horizontal="left" vertical="center"/>
    </xf>
    <xf numFmtId="0" fontId="49" fillId="9" borderId="166" xfId="0" quotePrefix="1" applyFont="1" applyFill="1" applyBorder="1" applyAlignment="1">
      <alignment horizontal="left" vertical="center"/>
    </xf>
    <xf numFmtId="0" fontId="49" fillId="20" borderId="141" xfId="24" applyFont="1" applyFill="1" applyBorder="1" applyAlignment="1">
      <alignment horizontal="left" vertical="center"/>
    </xf>
    <xf numFmtId="168" fontId="49" fillId="20" borderId="138" xfId="0" applyNumberFormat="1" applyFont="1" applyFill="1" applyBorder="1" applyAlignment="1">
      <alignment horizontal="left" vertical="center"/>
    </xf>
    <xf numFmtId="0" fontId="53" fillId="11" borderId="166" xfId="0" applyFont="1" applyFill="1" applyBorder="1" applyAlignment="1">
      <alignment horizontal="left" vertical="center"/>
    </xf>
    <xf numFmtId="0" fontId="49" fillId="11" borderId="166" xfId="0" applyFont="1" applyFill="1" applyBorder="1" applyAlignment="1">
      <alignment horizontal="left" vertical="center"/>
    </xf>
    <xf numFmtId="0" fontId="53" fillId="11" borderId="140" xfId="0" applyFont="1" applyFill="1" applyBorder="1" applyAlignment="1">
      <alignment horizontal="left" vertical="center"/>
    </xf>
    <xf numFmtId="0" fontId="49" fillId="7" borderId="168" xfId="0" applyFont="1" applyFill="1" applyBorder="1" applyAlignment="1">
      <alignment horizontal="left" vertical="center"/>
    </xf>
    <xf numFmtId="0" fontId="18" fillId="0" borderId="0" xfId="24" applyAlignment="1">
      <alignment horizontal="left" vertical="center"/>
    </xf>
    <xf numFmtId="0" fontId="46" fillId="0" borderId="95" xfId="0" applyFont="1" applyBorder="1" applyAlignment="1">
      <alignment horizontal="left" vertical="center"/>
    </xf>
    <xf numFmtId="0" fontId="49" fillId="0" borderId="95" xfId="0" applyFont="1" applyBorder="1" applyAlignment="1">
      <alignment horizontal="left" vertical="center"/>
    </xf>
    <xf numFmtId="0" fontId="49" fillId="0" borderId="95" xfId="0" applyFont="1" applyBorder="1" applyAlignment="1">
      <alignment horizontal="left"/>
    </xf>
    <xf numFmtId="0" fontId="49" fillId="0" borderId="95" xfId="0" applyFont="1" applyBorder="1" applyAlignment="1">
      <alignment horizontal="center" vertical="center"/>
    </xf>
    <xf numFmtId="0" fontId="80" fillId="23" borderId="171" xfId="24" applyFont="1" applyFill="1" applyBorder="1" applyAlignment="1">
      <alignment horizontal="left" vertical="center"/>
    </xf>
    <xf numFmtId="0" fontId="80" fillId="23" borderId="172" xfId="24" applyFont="1" applyFill="1" applyBorder="1" applyAlignment="1">
      <alignment horizontal="left" vertical="center"/>
    </xf>
    <xf numFmtId="0" fontId="80" fillId="23" borderId="173" xfId="24" applyFont="1" applyFill="1" applyBorder="1" applyAlignment="1">
      <alignment horizontal="left" vertical="center"/>
    </xf>
    <xf numFmtId="0" fontId="80" fillId="23" borderId="174" xfId="24" applyFont="1" applyFill="1" applyBorder="1" applyAlignment="1">
      <alignment horizontal="left" vertical="center"/>
    </xf>
    <xf numFmtId="0" fontId="53" fillId="15" borderId="175" xfId="0" applyFont="1" applyFill="1" applyBorder="1" applyAlignment="1">
      <alignment horizontal="left" vertical="center" wrapText="1"/>
    </xf>
    <xf numFmtId="0" fontId="53" fillId="15" borderId="175" xfId="0" applyFont="1" applyFill="1" applyBorder="1" applyAlignment="1">
      <alignment horizontal="center" vertical="center" wrapText="1"/>
    </xf>
    <xf numFmtId="0" fontId="49" fillId="15" borderId="175" xfId="0" applyFont="1" applyFill="1" applyBorder="1" applyAlignment="1">
      <alignment horizontal="center" vertical="center"/>
    </xf>
    <xf numFmtId="0" fontId="53" fillId="15" borderId="140" xfId="0" applyFont="1" applyFill="1" applyBorder="1" applyAlignment="1">
      <alignment horizontal="left" vertical="center" wrapText="1"/>
    </xf>
    <xf numFmtId="0" fontId="0" fillId="9" borderId="166" xfId="0" quotePrefix="1" applyNumberFormat="1" applyFill="1" applyBorder="1" applyAlignment="1">
      <alignment horizontal="center" vertical="center"/>
    </xf>
    <xf numFmtId="0" fontId="46" fillId="11" borderId="175" xfId="0" quotePrefix="1" applyFont="1" applyFill="1" applyBorder="1" applyAlignment="1">
      <alignment horizontal="left" vertical="center"/>
    </xf>
    <xf numFmtId="0" fontId="0" fillId="9" borderId="166" xfId="0" applyNumberFormat="1" applyFill="1" applyBorder="1" applyAlignment="1">
      <alignment horizontal="center" vertical="center"/>
    </xf>
    <xf numFmtId="0" fontId="18" fillId="0" borderId="0" xfId="24" applyAlignment="1">
      <alignment horizontal="left" vertical="center" wrapText="1"/>
    </xf>
    <xf numFmtId="0" fontId="80" fillId="23" borderId="174" xfId="24" applyFont="1" applyFill="1" applyBorder="1" applyAlignment="1">
      <alignment horizontal="left" vertical="center" wrapText="1"/>
    </xf>
    <xf numFmtId="0" fontId="49" fillId="0" borderId="95" xfId="0" applyFont="1" applyBorder="1" applyAlignment="1">
      <alignment horizontal="left" vertical="center" wrapText="1"/>
    </xf>
    <xf numFmtId="0" fontId="0" fillId="0" borderId="0" xfId="0" applyAlignment="1">
      <alignment wrapText="1"/>
    </xf>
    <xf numFmtId="0" fontId="46" fillId="15" borderId="175" xfId="0" applyFont="1" applyFill="1" applyBorder="1" applyAlignment="1">
      <alignment horizontal="left" vertical="center"/>
    </xf>
    <xf numFmtId="0" fontId="49" fillId="11" borderId="177" xfId="0" applyFont="1" applyFill="1" applyBorder="1" applyAlignment="1">
      <alignment horizontal="left" vertical="center" wrapText="1"/>
    </xf>
    <xf numFmtId="0" fontId="49" fillId="11" borderId="175" xfId="0" applyFont="1" applyFill="1" applyBorder="1" applyAlignment="1">
      <alignment horizontal="center" vertical="center" wrapText="1"/>
    </xf>
    <xf numFmtId="0" fontId="57" fillId="7" borderId="80" xfId="0" applyFont="1" applyFill="1" applyBorder="1" applyAlignment="1">
      <alignment horizontal="left"/>
    </xf>
    <xf numFmtId="0" fontId="49" fillId="8" borderId="139" xfId="0" applyFont="1" applyFill="1" applyBorder="1" applyAlignment="1">
      <alignment horizontal="left" vertical="center"/>
    </xf>
    <xf numFmtId="0" fontId="53" fillId="8" borderId="141" xfId="0" applyFont="1" applyFill="1" applyBorder="1" applyAlignment="1">
      <alignment horizontal="left"/>
    </xf>
    <xf numFmtId="0" fontId="49" fillId="21" borderId="107" xfId="0" applyFont="1" applyFill="1" applyBorder="1" applyAlignment="1">
      <alignment horizontal="left" vertical="center"/>
    </xf>
    <xf numFmtId="0" fontId="49" fillId="21" borderId="105" xfId="0" applyFont="1" applyFill="1" applyBorder="1" applyAlignment="1">
      <alignment horizontal="left" vertical="center"/>
    </xf>
    <xf numFmtId="0" fontId="53" fillId="21" borderId="105" xfId="0" applyFont="1" applyFill="1" applyBorder="1" applyAlignment="1">
      <alignment horizontal="left" vertical="center"/>
    </xf>
    <xf numFmtId="0" fontId="49" fillId="21" borderId="101" xfId="0" applyFont="1" applyFill="1" applyBorder="1" applyAlignment="1">
      <alignment horizontal="left" vertical="center"/>
    </xf>
    <xf numFmtId="0" fontId="49" fillId="21" borderId="9" xfId="0" applyFont="1" applyFill="1" applyBorder="1" applyAlignment="1">
      <alignment horizontal="left" vertical="center"/>
    </xf>
    <xf numFmtId="0" fontId="49" fillId="11" borderId="114" xfId="0" applyFont="1" applyFill="1" applyBorder="1" applyAlignment="1">
      <alignment horizontal="left" vertical="center"/>
    </xf>
    <xf numFmtId="0" fontId="49" fillId="11" borderId="101" xfId="0" applyFont="1" applyFill="1" applyBorder="1" applyAlignment="1">
      <alignment horizontal="left" vertical="center"/>
    </xf>
    <xf numFmtId="0" fontId="49" fillId="11" borderId="139" xfId="0" applyFont="1" applyFill="1" applyBorder="1" applyAlignment="1">
      <alignment horizontal="left" vertical="center"/>
    </xf>
    <xf numFmtId="0" fontId="49" fillId="11" borderId="141" xfId="0" applyFont="1" applyFill="1" applyBorder="1" applyAlignment="1">
      <alignment horizontal="left" vertical="center"/>
    </xf>
    <xf numFmtId="0" fontId="49" fillId="19" borderId="139" xfId="0" applyFont="1" applyFill="1" applyBorder="1" applyAlignment="1">
      <alignment horizontal="left" vertical="center"/>
    </xf>
    <xf numFmtId="0" fontId="56" fillId="7" borderId="77" xfId="0" applyFont="1" applyFill="1" applyBorder="1" applyAlignment="1">
      <alignment horizontal="left" vertical="center"/>
    </xf>
    <xf numFmtId="0" fontId="53" fillId="10" borderId="82" xfId="0" applyFont="1" applyFill="1" applyBorder="1" applyAlignment="1">
      <alignment horizontal="left"/>
    </xf>
    <xf numFmtId="0" fontId="53" fillId="10" borderId="101" xfId="0" applyFont="1" applyFill="1" applyBorder="1" applyAlignment="1">
      <alignment horizontal="left"/>
    </xf>
    <xf numFmtId="0" fontId="53" fillId="10" borderId="7" xfId="0" applyFont="1" applyFill="1" applyBorder="1" applyAlignment="1">
      <alignment horizontal="left"/>
    </xf>
    <xf numFmtId="0" fontId="53" fillId="10" borderId="7" xfId="0" applyFont="1" applyFill="1" applyBorder="1" applyAlignment="1">
      <alignment horizontal="left" vertical="center"/>
    </xf>
    <xf numFmtId="0" fontId="53" fillId="10" borderId="9" xfId="0" applyFont="1" applyFill="1" applyBorder="1" applyAlignment="1">
      <alignment horizontal="left"/>
    </xf>
    <xf numFmtId="0" fontId="53" fillId="20" borderId="82" xfId="0" applyFont="1" applyFill="1" applyBorder="1" applyAlignment="1">
      <alignment horizontal="left"/>
    </xf>
    <xf numFmtId="0" fontId="53" fillId="20" borderId="7" xfId="0" applyFont="1" applyFill="1" applyBorder="1" applyAlignment="1">
      <alignment horizontal="left"/>
    </xf>
    <xf numFmtId="0" fontId="53" fillId="20" borderId="7" xfId="0" applyFont="1" applyFill="1" applyBorder="1" applyAlignment="1">
      <alignment horizontal="left" vertical="center"/>
    </xf>
    <xf numFmtId="0" fontId="53" fillId="20" borderId="9" xfId="0" applyFont="1" applyFill="1" applyBorder="1" applyAlignment="1">
      <alignment horizontal="left"/>
    </xf>
    <xf numFmtId="0" fontId="49" fillId="12" borderId="68" xfId="0" applyFont="1" applyFill="1" applyBorder="1" applyAlignment="1">
      <alignment horizontal="left" vertical="center"/>
    </xf>
    <xf numFmtId="0" fontId="49" fillId="12" borderId="105" xfId="0" applyFont="1" applyFill="1" applyBorder="1" applyAlignment="1">
      <alignment horizontal="left" vertical="center"/>
    </xf>
    <xf numFmtId="0" fontId="49" fillId="12" borderId="9" xfId="0" applyFont="1" applyFill="1" applyBorder="1" applyAlignment="1">
      <alignment horizontal="left" vertical="center"/>
    </xf>
    <xf numFmtId="0" fontId="56" fillId="7" borderId="43" xfId="0" applyFont="1" applyFill="1" applyBorder="1" applyAlignment="1">
      <alignment horizontal="left" vertical="center"/>
    </xf>
    <xf numFmtId="0" fontId="53" fillId="18" borderId="37" xfId="0" applyFont="1" applyFill="1" applyBorder="1" applyAlignment="1">
      <alignment horizontal="left" vertical="center"/>
    </xf>
    <xf numFmtId="0" fontId="53" fillId="18" borderId="7" xfId="0" applyFont="1" applyFill="1" applyBorder="1" applyAlignment="1">
      <alignment horizontal="left" vertical="center"/>
    </xf>
    <xf numFmtId="0" fontId="49" fillId="18" borderId="9" xfId="0" applyFont="1" applyFill="1" applyBorder="1" applyAlignment="1">
      <alignment horizontal="left" vertical="center"/>
    </xf>
    <xf numFmtId="0" fontId="49" fillId="15" borderId="68" xfId="0" applyFont="1" applyFill="1" applyBorder="1" applyAlignment="1">
      <alignment horizontal="left" vertical="center"/>
    </xf>
    <xf numFmtId="0" fontId="49" fillId="15" borderId="7" xfId="0" applyFont="1" applyFill="1" applyBorder="1" applyAlignment="1">
      <alignment horizontal="left" vertical="center"/>
    </xf>
    <xf numFmtId="0" fontId="49" fillId="15" borderId="139" xfId="0" applyFont="1" applyFill="1" applyBorder="1" applyAlignment="1">
      <alignment horizontal="left" vertical="center"/>
    </xf>
    <xf numFmtId="0" fontId="53" fillId="15" borderId="105" xfId="0" applyFont="1" applyFill="1" applyBorder="1" applyAlignment="1">
      <alignment horizontal="left" vertical="center" wrapText="1"/>
    </xf>
    <xf numFmtId="0" fontId="53" fillId="15" borderId="139" xfId="0" applyFont="1" applyFill="1" applyBorder="1" applyAlignment="1">
      <alignment horizontal="left" vertical="center" wrapText="1"/>
    </xf>
    <xf numFmtId="0" fontId="53" fillId="15" borderId="9" xfId="0" applyFont="1" applyFill="1" applyBorder="1" applyAlignment="1">
      <alignment horizontal="left" vertical="center" wrapText="1"/>
    </xf>
    <xf numFmtId="0" fontId="57" fillId="7" borderId="50" xfId="0" applyFont="1" applyFill="1" applyBorder="1" applyAlignment="1">
      <alignment horizontal="left" vertical="center"/>
    </xf>
    <xf numFmtId="0" fontId="53" fillId="9" borderId="86" xfId="0" applyFont="1" applyFill="1" applyBorder="1" applyAlignment="1">
      <alignment horizontal="left" vertical="center" wrapText="1"/>
    </xf>
    <xf numFmtId="0" fontId="53" fillId="9" borderId="37" xfId="0" applyFont="1" applyFill="1" applyBorder="1" applyAlignment="1">
      <alignment horizontal="left" vertical="center" wrapText="1"/>
    </xf>
    <xf numFmtId="0" fontId="53" fillId="9" borderId="7" xfId="0" applyFont="1" applyFill="1" applyBorder="1" applyAlignment="1">
      <alignment horizontal="left" vertical="center" wrapText="1"/>
    </xf>
    <xf numFmtId="0" fontId="53" fillId="9" borderId="9" xfId="0" applyFont="1" applyFill="1" applyBorder="1" applyAlignment="1">
      <alignment horizontal="left" vertical="center" wrapText="1"/>
    </xf>
    <xf numFmtId="0" fontId="56" fillId="7" borderId="71" xfId="0" applyFont="1" applyFill="1" applyBorder="1" applyAlignment="1">
      <alignment horizontal="left" vertical="center"/>
    </xf>
    <xf numFmtId="0" fontId="51" fillId="8" borderId="68" xfId="0" applyFont="1" applyFill="1" applyBorder="1" applyAlignment="1">
      <alignment horizontal="left" vertical="center"/>
    </xf>
    <xf numFmtId="0" fontId="49" fillId="8" borderId="82" xfId="0" applyFont="1" applyFill="1" applyBorder="1" applyAlignment="1">
      <alignment horizontal="left" vertical="center"/>
    </xf>
    <xf numFmtId="0" fontId="49" fillId="11" borderId="7" xfId="0" applyFont="1" applyFill="1" applyBorder="1" applyAlignment="1">
      <alignment horizontal="left" vertical="center" wrapText="1"/>
    </xf>
    <xf numFmtId="0" fontId="49" fillId="19" borderId="7" xfId="0" applyFont="1" applyFill="1" applyBorder="1" applyAlignment="1">
      <alignment horizontal="left" vertical="center" wrapText="1"/>
    </xf>
    <xf numFmtId="0" fontId="49" fillId="10" borderId="101" xfId="0" applyFont="1" applyFill="1" applyBorder="1" applyAlignment="1">
      <alignment horizontal="left" vertical="center"/>
    </xf>
    <xf numFmtId="0" fontId="49" fillId="20" borderId="7" xfId="0" applyFont="1" applyFill="1" applyBorder="1" applyAlignment="1">
      <alignment horizontal="left" vertical="center" wrapText="1"/>
    </xf>
    <xf numFmtId="0" fontId="57" fillId="7" borderId="46" xfId="0" applyFont="1" applyFill="1" applyBorder="1" applyAlignment="1">
      <alignment horizontal="left" vertical="center"/>
    </xf>
    <xf numFmtId="0" fontId="49" fillId="24" borderId="105" xfId="0" applyFont="1" applyFill="1" applyBorder="1" applyAlignment="1">
      <alignment horizontal="left" vertical="center"/>
    </xf>
    <xf numFmtId="0" fontId="49" fillId="24" borderId="139" xfId="0" applyFont="1" applyFill="1" applyBorder="1" applyAlignment="1">
      <alignment horizontal="left" vertical="center"/>
    </xf>
    <xf numFmtId="0" fontId="49" fillId="9" borderId="105" xfId="0" applyFont="1" applyFill="1" applyBorder="1" applyAlignment="1">
      <alignment horizontal="left" vertical="center" wrapText="1"/>
    </xf>
    <xf numFmtId="0" fontId="49" fillId="24" borderId="105" xfId="0" applyFont="1" applyFill="1" applyBorder="1" applyAlignment="1">
      <alignment horizontal="left" vertical="center" wrapText="1"/>
    </xf>
    <xf numFmtId="0" fontId="57" fillId="7" borderId="63" xfId="0" applyFont="1" applyFill="1" applyBorder="1" applyAlignment="1">
      <alignment horizontal="left" vertical="center"/>
    </xf>
    <xf numFmtId="0" fontId="49" fillId="20" borderId="134" xfId="0" applyFont="1" applyFill="1" applyBorder="1" applyAlignment="1">
      <alignment horizontal="left" vertical="center" wrapText="1"/>
    </xf>
    <xf numFmtId="0" fontId="56" fillId="0" borderId="0" xfId="0" applyFont="1" applyFill="1" applyAlignment="1">
      <alignment horizontal="center" vertical="center"/>
    </xf>
    <xf numFmtId="0" fontId="56" fillId="0" borderId="0" xfId="0" applyFont="1" applyFill="1"/>
    <xf numFmtId="0" fontId="53" fillId="0" borderId="0" xfId="0" applyFont="1" applyFill="1"/>
    <xf numFmtId="0" fontId="53" fillId="0" borderId="0" xfId="0" applyFont="1" applyFill="1" applyAlignment="1">
      <alignment horizontal="center" vertical="center"/>
    </xf>
    <xf numFmtId="0" fontId="44" fillId="0" borderId="0" xfId="0" applyFont="1" applyFill="1" applyAlignment="1">
      <alignment horizontal="center" vertical="center"/>
    </xf>
    <xf numFmtId="0" fontId="53" fillId="0" borderId="0" xfId="0" applyFont="1" applyFill="1" applyAlignment="1">
      <alignment horizontal="left" vertical="center"/>
    </xf>
    <xf numFmtId="0" fontId="56" fillId="0" borderId="0" xfId="0" applyFont="1" applyFill="1" applyAlignment="1">
      <alignment horizontal="left" vertical="center"/>
    </xf>
    <xf numFmtId="0" fontId="53" fillId="0" borderId="0" xfId="0" applyFont="1" applyFill="1" applyAlignment="1">
      <alignment horizontal="left"/>
    </xf>
    <xf numFmtId="0" fontId="49" fillId="0" borderId="68" xfId="0" applyFont="1" applyFill="1" applyBorder="1" applyAlignment="1">
      <alignment horizontal="left" vertical="center"/>
    </xf>
    <xf numFmtId="0" fontId="49" fillId="0" borderId="7" xfId="0" applyFont="1" applyFill="1" applyBorder="1" applyAlignment="1">
      <alignment horizontal="left" vertical="center"/>
    </xf>
    <xf numFmtId="0" fontId="53" fillId="0" borderId="7" xfId="0" applyFont="1" applyFill="1" applyBorder="1" applyAlignment="1">
      <alignment horizontal="left" vertical="center"/>
    </xf>
    <xf numFmtId="0" fontId="49" fillId="0" borderId="9" xfId="0" applyFont="1" applyFill="1" applyBorder="1" applyAlignment="1">
      <alignment horizontal="left" vertical="center"/>
    </xf>
    <xf numFmtId="0" fontId="58" fillId="0" borderId="30" xfId="0" applyFont="1" applyFill="1" applyBorder="1" applyAlignment="1">
      <alignment horizontal="left" vertical="center"/>
    </xf>
    <xf numFmtId="0" fontId="49" fillId="0" borderId="30" xfId="0" applyFont="1" applyFill="1" applyBorder="1" applyAlignment="1">
      <alignment horizontal="left" vertical="center"/>
    </xf>
    <xf numFmtId="0" fontId="49" fillId="0" borderId="37" xfId="0" applyFont="1" applyFill="1" applyBorder="1" applyAlignment="1">
      <alignment horizontal="left" vertical="center"/>
    </xf>
    <xf numFmtId="0" fontId="49" fillId="0" borderId="139" xfId="0" applyFont="1" applyFill="1" applyBorder="1" applyAlignment="1">
      <alignment horizontal="left" vertical="center"/>
    </xf>
    <xf numFmtId="0" fontId="49" fillId="0" borderId="134" xfId="0" applyFont="1" applyFill="1" applyBorder="1" applyAlignment="1">
      <alignment horizontal="left" vertical="center" wrapText="1"/>
    </xf>
    <xf numFmtId="0" fontId="49" fillId="0" borderId="101" xfId="0" applyFont="1" applyFill="1" applyBorder="1" applyAlignment="1">
      <alignment horizontal="left" vertical="center" wrapText="1"/>
    </xf>
    <xf numFmtId="0" fontId="49" fillId="0" borderId="121" xfId="0" applyFont="1" applyFill="1" applyBorder="1" applyAlignment="1">
      <alignment horizontal="left" vertical="center" wrapText="1"/>
    </xf>
    <xf numFmtId="0" fontId="49" fillId="0" borderId="168" xfId="0" applyFont="1" applyFill="1" applyBorder="1" applyAlignment="1">
      <alignment horizontal="left" vertical="center"/>
    </xf>
    <xf numFmtId="0" fontId="49" fillId="0" borderId="101" xfId="0" applyFont="1" applyFill="1" applyBorder="1" applyAlignment="1">
      <alignment horizontal="left" vertical="center"/>
    </xf>
    <xf numFmtId="0" fontId="49" fillId="0" borderId="141" xfId="0" applyFont="1" applyFill="1" applyBorder="1" applyAlignment="1">
      <alignment horizontal="left" vertical="center"/>
    </xf>
    <xf numFmtId="0" fontId="46" fillId="0" borderId="114" xfId="0" applyFont="1" applyFill="1" applyBorder="1" applyAlignment="1">
      <alignment horizontal="left"/>
    </xf>
    <xf numFmtId="0" fontId="46" fillId="0" borderId="139" xfId="0" applyFont="1" applyFill="1" applyBorder="1" applyAlignment="1">
      <alignment horizontal="left"/>
    </xf>
    <xf numFmtId="0" fontId="49" fillId="0" borderId="37" xfId="2" applyFont="1" applyFill="1" applyBorder="1" applyAlignment="1">
      <alignment horizontal="left" vertical="center" wrapText="1"/>
    </xf>
    <xf numFmtId="0" fontId="49" fillId="0" borderId="105" xfId="2" applyFont="1" applyFill="1" applyBorder="1" applyAlignment="1">
      <alignment horizontal="left" vertical="center" wrapText="1"/>
    </xf>
    <xf numFmtId="0" fontId="49" fillId="0" borderId="0" xfId="0" applyFont="1" applyFill="1" applyAlignment="1">
      <alignment horizontal="left" vertical="center"/>
    </xf>
    <xf numFmtId="0" fontId="49" fillId="0" borderId="86" xfId="0" applyFont="1" applyFill="1" applyBorder="1" applyAlignment="1">
      <alignment horizontal="left" vertical="center"/>
    </xf>
    <xf numFmtId="0" fontId="53" fillId="0" borderId="0" xfId="0" applyFont="1" applyFill="1" applyAlignment="1">
      <alignment horizontal="left" vertical="center" wrapText="1"/>
    </xf>
    <xf numFmtId="167" fontId="49" fillId="0" borderId="108" xfId="0" applyNumberFormat="1" applyFont="1" applyFill="1" applyBorder="1" applyAlignment="1">
      <alignment horizontal="left" vertical="center" wrapText="1"/>
    </xf>
    <xf numFmtId="167" fontId="49" fillId="0" borderId="97" xfId="0" applyNumberFormat="1" applyFont="1" applyFill="1" applyBorder="1" applyAlignment="1">
      <alignment horizontal="left" vertical="center" wrapText="1"/>
    </xf>
    <xf numFmtId="165" fontId="53" fillId="0" borderId="97" xfId="0" applyNumberFormat="1" applyFont="1" applyFill="1" applyBorder="1" applyAlignment="1">
      <alignment horizontal="left" vertical="center"/>
    </xf>
    <xf numFmtId="0" fontId="49" fillId="0" borderId="97" xfId="0" applyFont="1" applyFill="1" applyBorder="1" applyAlignment="1">
      <alignment horizontal="left" vertical="center"/>
    </xf>
    <xf numFmtId="2" fontId="49" fillId="0" borderId="97" xfId="0" applyNumberFormat="1" applyFont="1" applyFill="1" applyBorder="1" applyAlignment="1">
      <alignment horizontal="left" vertical="center" wrapText="1"/>
    </xf>
    <xf numFmtId="0" fontId="49" fillId="0" borderId="10" xfId="0" applyFont="1" applyFill="1" applyBorder="1" applyAlignment="1">
      <alignment horizontal="left" vertical="center"/>
    </xf>
    <xf numFmtId="0" fontId="49" fillId="0" borderId="36" xfId="0" applyFont="1" applyFill="1" applyBorder="1" applyAlignment="1">
      <alignment horizontal="left" vertical="center" wrapText="1"/>
    </xf>
    <xf numFmtId="0" fontId="49" fillId="0" borderId="98" xfId="0" applyFont="1" applyFill="1" applyBorder="1" applyAlignment="1">
      <alignment horizontal="left" vertical="center" wrapText="1"/>
    </xf>
    <xf numFmtId="167" fontId="49" fillId="0" borderId="153" xfId="0" applyNumberFormat="1" applyFont="1" applyFill="1" applyBorder="1" applyAlignment="1">
      <alignment horizontal="left" vertical="center"/>
    </xf>
    <xf numFmtId="167" fontId="49" fillId="0" borderId="98" xfId="0" applyNumberFormat="1" applyFont="1" applyFill="1" applyBorder="1" applyAlignment="1">
      <alignment horizontal="left" vertical="center"/>
    </xf>
    <xf numFmtId="167" fontId="49" fillId="0" borderId="96" xfId="0" applyNumberFormat="1" applyFont="1" applyFill="1" applyBorder="1" applyAlignment="1">
      <alignment horizontal="left" vertical="center"/>
    </xf>
    <xf numFmtId="2" fontId="49" fillId="0" borderId="135" xfId="0" applyNumberFormat="1" applyFont="1" applyFill="1" applyBorder="1" applyAlignment="1">
      <alignment horizontal="left" vertical="center" wrapText="1"/>
    </xf>
    <xf numFmtId="0" fontId="49" fillId="0" borderId="96" xfId="0" applyFont="1" applyFill="1" applyBorder="1" applyAlignment="1">
      <alignment horizontal="left" vertical="center" wrapText="1"/>
    </xf>
    <xf numFmtId="0" fontId="49" fillId="0" borderId="69" xfId="0" applyFont="1" applyFill="1" applyBorder="1" applyAlignment="1">
      <alignment horizontal="left" vertical="center"/>
    </xf>
    <xf numFmtId="0" fontId="49" fillId="0" borderId="104" xfId="0" applyFont="1" applyFill="1" applyBorder="1" applyAlignment="1">
      <alignment horizontal="left" vertical="center"/>
    </xf>
    <xf numFmtId="0" fontId="49" fillId="0" borderId="98" xfId="0" applyFont="1" applyFill="1" applyBorder="1" applyAlignment="1">
      <alignment horizontal="left" vertical="center"/>
    </xf>
    <xf numFmtId="0" fontId="49" fillId="0" borderId="111" xfId="0" applyFont="1" applyFill="1" applyBorder="1" applyAlignment="1">
      <alignment horizontal="left" vertical="center"/>
    </xf>
    <xf numFmtId="0" fontId="49" fillId="0" borderId="115" xfId="0" applyFont="1" applyFill="1" applyBorder="1" applyAlignment="1">
      <alignment horizontal="left" vertical="center" wrapText="1"/>
    </xf>
    <xf numFmtId="0" fontId="49" fillId="0" borderId="153" xfId="0" applyFont="1" applyFill="1" applyBorder="1" applyAlignment="1">
      <alignment horizontal="left" vertical="center" wrapText="1"/>
    </xf>
    <xf numFmtId="0" fontId="49" fillId="0" borderId="15" xfId="0" applyFont="1" applyFill="1" applyBorder="1" applyAlignment="1">
      <alignment horizontal="left" vertical="center" wrapText="1"/>
    </xf>
    <xf numFmtId="0" fontId="49" fillId="0" borderId="123" xfId="0" applyFont="1" applyFill="1" applyBorder="1" applyAlignment="1">
      <alignment horizontal="left" vertical="center" wrapText="1"/>
    </xf>
    <xf numFmtId="0" fontId="49" fillId="0" borderId="87" xfId="0" applyFont="1" applyFill="1" applyBorder="1" applyAlignment="1">
      <alignment horizontal="left" vertical="center"/>
    </xf>
    <xf numFmtId="0" fontId="49" fillId="0" borderId="6" xfId="0" applyFont="1" applyFill="1" applyBorder="1" applyAlignment="1">
      <alignment horizontal="left" vertical="center"/>
    </xf>
    <xf numFmtId="2" fontId="53" fillId="0" borderId="0" xfId="0" applyNumberFormat="1" applyFont="1" applyFill="1" applyAlignment="1">
      <alignment horizontal="center" vertical="center" wrapText="1"/>
    </xf>
    <xf numFmtId="167" fontId="53" fillId="0" borderId="0" xfId="0" applyNumberFormat="1" applyFont="1" applyFill="1" applyAlignment="1">
      <alignment horizontal="center" vertical="center" wrapText="1"/>
    </xf>
    <xf numFmtId="167" fontId="49" fillId="0" borderId="69" xfId="0" applyNumberFormat="1" applyFont="1" applyFill="1" applyBorder="1" applyAlignment="1">
      <alignment horizontal="center" vertical="center" wrapText="1"/>
    </xf>
    <xf numFmtId="167" fontId="49" fillId="0" borderId="6" xfId="0" applyNumberFormat="1" applyFont="1" applyFill="1" applyBorder="1" applyAlignment="1">
      <alignment horizontal="center" vertical="center" wrapText="1"/>
    </xf>
    <xf numFmtId="165" fontId="53" fillId="0" borderId="6" xfId="0" applyNumberFormat="1" applyFont="1" applyFill="1" applyBorder="1" applyAlignment="1">
      <alignment horizontal="center" vertical="center"/>
    </xf>
    <xf numFmtId="0" fontId="49" fillId="0" borderId="6" xfId="0" applyFont="1" applyFill="1" applyBorder="1" applyAlignment="1">
      <alignment horizontal="center" vertical="center"/>
    </xf>
    <xf numFmtId="2" fontId="49" fillId="0" borderId="6" xfId="0" applyNumberFormat="1" applyFont="1" applyFill="1" applyBorder="1" applyAlignment="1">
      <alignment horizontal="center" vertical="center" wrapText="1"/>
    </xf>
    <xf numFmtId="0" fontId="49" fillId="0" borderId="10" xfId="0" applyFont="1" applyFill="1" applyBorder="1" applyAlignment="1">
      <alignment horizontal="center" vertical="center"/>
    </xf>
    <xf numFmtId="0" fontId="49" fillId="0" borderId="36" xfId="0" applyFont="1" applyFill="1" applyBorder="1" applyAlignment="1">
      <alignment horizontal="center" vertical="center" wrapText="1"/>
    </xf>
    <xf numFmtId="165" fontId="49" fillId="0" borderId="36" xfId="0" applyNumberFormat="1" applyFont="1" applyFill="1" applyBorder="1" applyAlignment="1">
      <alignment horizontal="center" vertical="center" wrapText="1"/>
    </xf>
    <xf numFmtId="0" fontId="53" fillId="0" borderId="0" xfId="0" applyFont="1" applyFill="1" applyAlignment="1">
      <alignment horizontal="center" vertical="center" wrapText="1"/>
    </xf>
    <xf numFmtId="0" fontId="49" fillId="0" borderId="15" xfId="0" applyFont="1" applyFill="1" applyBorder="1" applyAlignment="1">
      <alignment horizontal="center" vertical="center" wrapText="1"/>
    </xf>
    <xf numFmtId="167" fontId="49" fillId="0" borderId="153" xfId="0" applyNumberFormat="1" applyFont="1" applyFill="1" applyBorder="1" applyAlignment="1">
      <alignment horizontal="center" vertical="center"/>
    </xf>
    <xf numFmtId="167" fontId="49" fillId="0" borderId="98" xfId="0" applyNumberFormat="1" applyFont="1" applyFill="1" applyBorder="1" applyAlignment="1">
      <alignment horizontal="center" vertical="center"/>
    </xf>
    <xf numFmtId="167" fontId="49" fillId="0" borderId="96" xfId="0" applyNumberFormat="1" applyFont="1" applyFill="1" applyBorder="1" applyAlignment="1">
      <alignment horizontal="center" vertical="center"/>
    </xf>
    <xf numFmtId="166" fontId="53" fillId="0" borderId="0" xfId="0" applyNumberFormat="1" applyFont="1" applyFill="1" applyAlignment="1">
      <alignment horizontal="center" vertical="center" wrapText="1"/>
    </xf>
    <xf numFmtId="2" fontId="49" fillId="0" borderId="135" xfId="0" applyNumberFormat="1" applyFont="1" applyFill="1" applyBorder="1" applyAlignment="1">
      <alignment horizontal="center" vertical="center" wrapText="1"/>
    </xf>
    <xf numFmtId="2" fontId="49" fillId="0" borderId="98" xfId="0" applyNumberFormat="1" applyFont="1" applyFill="1" applyBorder="1" applyAlignment="1">
      <alignment horizontal="center" vertical="center" wrapText="1"/>
    </xf>
    <xf numFmtId="2" fontId="49" fillId="0" borderId="96" xfId="0" applyNumberFormat="1" applyFont="1" applyFill="1" applyBorder="1" applyAlignment="1">
      <alignment horizontal="center" vertical="center" wrapText="1"/>
    </xf>
    <xf numFmtId="0" fontId="49" fillId="0" borderId="69" xfId="0" applyFont="1" applyFill="1" applyBorder="1" applyAlignment="1">
      <alignment horizontal="center" vertical="center"/>
    </xf>
    <xf numFmtId="0" fontId="49" fillId="0" borderId="104" xfId="0" applyFont="1" applyFill="1" applyBorder="1" applyAlignment="1">
      <alignment horizontal="center" vertical="center"/>
    </xf>
    <xf numFmtId="0" fontId="49" fillId="0" borderId="98" xfId="0" applyFont="1" applyFill="1" applyBorder="1" applyAlignment="1">
      <alignment horizontal="center" vertical="center"/>
    </xf>
    <xf numFmtId="0" fontId="49" fillId="0" borderId="111" xfId="0" applyFont="1" applyFill="1" applyBorder="1" applyAlignment="1">
      <alignment horizontal="center" vertical="center"/>
    </xf>
    <xf numFmtId="0" fontId="49" fillId="0" borderId="115" xfId="0" applyFont="1" applyFill="1" applyBorder="1" applyAlignment="1">
      <alignment horizontal="center" vertical="center" wrapText="1"/>
    </xf>
    <xf numFmtId="0" fontId="49" fillId="0" borderId="153" xfId="0" applyFont="1" applyFill="1" applyBorder="1" applyAlignment="1">
      <alignment horizontal="center" vertical="center" wrapText="1"/>
    </xf>
    <xf numFmtId="0" fontId="49" fillId="0" borderId="123" xfId="0" applyFont="1" applyFill="1" applyBorder="1" applyAlignment="1">
      <alignment horizontal="center" vertical="center" wrapText="1"/>
    </xf>
    <xf numFmtId="0" fontId="49" fillId="0" borderId="87" xfId="0" applyFont="1" applyFill="1" applyBorder="1" applyAlignment="1">
      <alignment horizontal="center" vertical="center"/>
    </xf>
    <xf numFmtId="0" fontId="49" fillId="0" borderId="69" xfId="0" applyFont="1" applyFill="1" applyBorder="1" applyAlignment="1">
      <alignment horizontal="center" vertical="center" wrapText="1"/>
    </xf>
    <xf numFmtId="0" fontId="49" fillId="0" borderId="6" xfId="0" applyFont="1" applyFill="1" applyBorder="1" applyAlignment="1">
      <alignment horizontal="center" vertical="center" wrapText="1"/>
    </xf>
    <xf numFmtId="0" fontId="49" fillId="0" borderId="135" xfId="0" applyFont="1" applyFill="1" applyBorder="1" applyAlignment="1">
      <alignment horizontal="center" vertical="center" wrapText="1"/>
    </xf>
    <xf numFmtId="0" fontId="49" fillId="0" borderId="138" xfId="0" applyFont="1" applyFill="1" applyBorder="1" applyAlignment="1">
      <alignment horizontal="center" vertical="center" wrapText="1"/>
    </xf>
    <xf numFmtId="0" fontId="49" fillId="0" borderId="53" xfId="0" applyFont="1" applyFill="1" applyBorder="1" applyAlignment="1">
      <alignment horizontal="center" vertical="center" wrapText="1"/>
    </xf>
    <xf numFmtId="0" fontId="53" fillId="0" borderId="6" xfId="0" applyFont="1" applyFill="1" applyBorder="1" applyAlignment="1">
      <alignment horizontal="center" vertical="center"/>
    </xf>
    <xf numFmtId="0" fontId="49" fillId="0" borderId="153" xfId="0" applyFont="1" applyFill="1" applyBorder="1" applyAlignment="1">
      <alignment horizontal="center" vertical="center"/>
    </xf>
    <xf numFmtId="0" fontId="49" fillId="0" borderId="96" xfId="0" applyFont="1" applyFill="1" applyBorder="1" applyAlignment="1">
      <alignment horizontal="center" vertical="center"/>
    </xf>
    <xf numFmtId="0" fontId="49" fillId="0" borderId="6" xfId="0" quotePrefix="1" applyFont="1" applyFill="1" applyBorder="1" applyAlignment="1">
      <alignment horizontal="center" vertical="center" wrapText="1"/>
    </xf>
    <xf numFmtId="0" fontId="49" fillId="0" borderId="36" xfId="0" quotePrefix="1" applyFont="1" applyFill="1" applyBorder="1" applyAlignment="1">
      <alignment horizontal="center" vertical="center" wrapText="1"/>
    </xf>
    <xf numFmtId="0" fontId="49" fillId="0" borderId="104" xfId="0" quotePrefix="1" applyFont="1" applyFill="1" applyBorder="1" applyAlignment="1">
      <alignment horizontal="center" vertical="center" wrapText="1"/>
    </xf>
    <xf numFmtId="0" fontId="0" fillId="0" borderId="148" xfId="0" applyFill="1" applyBorder="1" applyAlignment="1">
      <alignment horizontal="center"/>
    </xf>
    <xf numFmtId="0" fontId="49" fillId="0" borderId="123" xfId="0" quotePrefix="1" applyFont="1" applyFill="1" applyBorder="1" applyAlignment="1">
      <alignment horizontal="center" vertical="center" wrapText="1"/>
    </xf>
    <xf numFmtId="0" fontId="49" fillId="0" borderId="138" xfId="0" quotePrefix="1" applyFont="1" applyFill="1" applyBorder="1" applyAlignment="1">
      <alignment horizontal="center" vertical="center" wrapText="1"/>
    </xf>
    <xf numFmtId="0" fontId="49" fillId="0" borderId="83" xfId="0" applyFont="1" applyFill="1" applyBorder="1" applyAlignment="1">
      <alignment horizontal="center" vertical="center"/>
    </xf>
    <xf numFmtId="166" fontId="53" fillId="0" borderId="0" xfId="0" applyNumberFormat="1" applyFont="1" applyFill="1" applyAlignment="1">
      <alignment horizontal="center" vertical="center"/>
    </xf>
    <xf numFmtId="166" fontId="76" fillId="0" borderId="0" xfId="0" applyNumberFormat="1" applyFont="1" applyFill="1" applyAlignment="1">
      <alignment horizontal="center" vertical="center"/>
    </xf>
    <xf numFmtId="0" fontId="57" fillId="0" borderId="0" xfId="0" applyFont="1" applyFill="1" applyAlignment="1">
      <alignment horizontal="center" vertical="center"/>
    </xf>
    <xf numFmtId="0" fontId="53" fillId="0" borderId="123" xfId="0" applyFont="1" applyFill="1" applyBorder="1" applyAlignment="1">
      <alignment horizontal="center" vertical="center"/>
    </xf>
    <xf numFmtId="0" fontId="29" fillId="0" borderId="0" xfId="0" applyFont="1" applyFill="1"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Alignment="1">
      <alignment horizontal="left"/>
    </xf>
    <xf numFmtId="0" fontId="29" fillId="0" borderId="0" xfId="0" applyFont="1" applyFill="1" applyAlignment="1">
      <alignment horizontal="left" vertical="center"/>
    </xf>
    <xf numFmtId="0" fontId="0" fillId="0" borderId="0" xfId="0" applyFill="1" applyAlignment="1">
      <alignment horizontal="left" vertical="center"/>
    </xf>
    <xf numFmtId="0" fontId="29" fillId="0" borderId="0" xfId="0" applyFont="1" applyFill="1" applyAlignment="1">
      <alignment horizontal="center" vertical="center" wrapText="1"/>
    </xf>
    <xf numFmtId="0" fontId="29" fillId="0" borderId="0" xfId="0" applyFont="1" applyFill="1" applyAlignment="1">
      <alignment horizontal="left" vertical="center" wrapText="1"/>
    </xf>
    <xf numFmtId="0" fontId="46" fillId="0" borderId="0" xfId="0" applyFont="1" applyFill="1"/>
    <xf numFmtId="0" fontId="48" fillId="0" borderId="0" xfId="0" applyFont="1" applyFill="1"/>
    <xf numFmtId="0" fontId="29" fillId="0" borderId="0" xfId="0" applyFont="1" applyFill="1"/>
    <xf numFmtId="0" fontId="55" fillId="0" borderId="0" xfId="0" applyFont="1" applyFill="1"/>
    <xf numFmtId="0" fontId="46" fillId="0" borderId="0" xfId="0" applyFont="1" applyFill="1" applyAlignment="1">
      <alignment horizontal="left"/>
    </xf>
    <xf numFmtId="0" fontId="46" fillId="0" borderId="0" xfId="0" applyFont="1" applyFill="1" applyAlignment="1">
      <alignment horizontal="center"/>
    </xf>
    <xf numFmtId="0" fontId="0" fillId="0" borderId="0" xfId="0" applyFill="1" applyAlignment="1">
      <alignment horizontal="center" vertical="center"/>
    </xf>
    <xf numFmtId="0" fontId="34" fillId="0" borderId="0" xfId="0" applyFont="1" applyFill="1" applyAlignment="1">
      <alignment horizontal="left"/>
    </xf>
    <xf numFmtId="0" fontId="76" fillId="0" borderId="0" xfId="0" applyFont="1" applyFill="1" applyAlignment="1">
      <alignment horizontal="left"/>
    </xf>
    <xf numFmtId="0" fontId="34" fillId="0" borderId="0" xfId="0" applyFont="1" applyFill="1"/>
    <xf numFmtId="0" fontId="53" fillId="0" borderId="0" xfId="0" applyFont="1" applyFill="1" applyAlignment="1">
      <alignment vertical="center"/>
    </xf>
    <xf numFmtId="0" fontId="49" fillId="0" borderId="107" xfId="0" applyFont="1" applyFill="1" applyBorder="1" applyAlignment="1">
      <alignment horizontal="left" vertical="center"/>
    </xf>
    <xf numFmtId="0" fontId="49" fillId="0" borderId="105" xfId="0" applyFont="1" applyFill="1" applyBorder="1" applyAlignment="1">
      <alignment horizontal="left" vertical="center"/>
    </xf>
    <xf numFmtId="0" fontId="46" fillId="0" borderId="105" xfId="0" applyFont="1" applyFill="1" applyBorder="1" applyAlignment="1">
      <alignment horizontal="left" vertical="center"/>
    </xf>
    <xf numFmtId="0" fontId="49" fillId="0" borderId="124" xfId="0" applyFont="1" applyFill="1" applyBorder="1" applyAlignment="1">
      <alignment horizontal="left" vertical="center"/>
    </xf>
    <xf numFmtId="0" fontId="46" fillId="0" borderId="139" xfId="0" applyFont="1" applyFill="1" applyBorder="1" applyAlignment="1">
      <alignment horizontal="left" vertical="center"/>
    </xf>
    <xf numFmtId="0" fontId="46" fillId="0" borderId="141" xfId="0" applyFont="1" applyFill="1" applyBorder="1" applyAlignment="1">
      <alignment horizontal="left" vertical="center"/>
    </xf>
    <xf numFmtId="0" fontId="46" fillId="0" borderId="7" xfId="0" applyFont="1" applyFill="1" applyBorder="1" applyAlignment="1">
      <alignment horizontal="left" vertical="center"/>
    </xf>
    <xf numFmtId="0" fontId="11" fillId="0" borderId="105" xfId="0" applyFont="1" applyFill="1" applyBorder="1" applyAlignment="1">
      <alignment horizontal="left" vertical="center"/>
    </xf>
    <xf numFmtId="0" fontId="11" fillId="0" borderId="101" xfId="0" applyFont="1" applyFill="1" applyBorder="1" applyAlignment="1">
      <alignment horizontal="left" vertical="center"/>
    </xf>
    <xf numFmtId="0" fontId="6" fillId="0" borderId="101" xfId="0" applyFont="1" applyFill="1" applyBorder="1" applyAlignment="1">
      <alignment horizontal="left" vertical="center"/>
    </xf>
    <xf numFmtId="0" fontId="6" fillId="0" borderId="139" xfId="0" applyFont="1" applyFill="1" applyBorder="1" applyAlignment="1">
      <alignment horizontal="left" vertical="center"/>
    </xf>
    <xf numFmtId="0" fontId="11" fillId="0" borderId="9" xfId="0" applyFont="1" applyFill="1" applyBorder="1" applyAlignment="1">
      <alignment horizontal="left" vertical="center"/>
    </xf>
    <xf numFmtId="0" fontId="49" fillId="0" borderId="139" xfId="0" quotePrefix="1" applyFont="1" applyFill="1" applyBorder="1" applyAlignment="1">
      <alignment horizontal="left" vertical="center"/>
    </xf>
    <xf numFmtId="0" fontId="49" fillId="0" borderId="139" xfId="0" applyFont="1" applyFill="1" applyBorder="1" applyAlignment="1">
      <alignment horizontal="left" vertical="center" wrapText="1"/>
    </xf>
    <xf numFmtId="0" fontId="49" fillId="0" borderId="108" xfId="0" applyFont="1" applyFill="1" applyBorder="1" applyAlignment="1">
      <alignment horizontal="left" vertical="center"/>
    </xf>
    <xf numFmtId="0" fontId="46" fillId="0" borderId="97" xfId="0" applyFont="1" applyFill="1" applyBorder="1" applyAlignment="1">
      <alignment horizontal="left" vertical="center"/>
    </xf>
    <xf numFmtId="0" fontId="49" fillId="0" borderId="166" xfId="0" applyFont="1" applyFill="1" applyBorder="1" applyAlignment="1">
      <alignment horizontal="left" vertical="center"/>
    </xf>
    <xf numFmtId="0" fontId="49" fillId="0" borderId="153" xfId="0" applyFont="1" applyFill="1" applyBorder="1" applyAlignment="1">
      <alignment horizontal="left" vertical="center"/>
    </xf>
    <xf numFmtId="0" fontId="49" fillId="0" borderId="154" xfId="0" applyFont="1" applyFill="1" applyBorder="1" applyAlignment="1">
      <alignment horizontal="left" vertical="center"/>
    </xf>
    <xf numFmtId="0" fontId="46" fillId="0" borderId="166" xfId="0" applyFont="1" applyFill="1" applyBorder="1" applyAlignment="1">
      <alignment horizontal="left" vertical="center"/>
    </xf>
    <xf numFmtId="0" fontId="46" fillId="0" borderId="138" xfId="0" applyFont="1" applyFill="1" applyBorder="1" applyAlignment="1">
      <alignment horizontal="left" vertical="center"/>
    </xf>
    <xf numFmtId="0" fontId="46" fillId="0" borderId="6" xfId="0" applyFont="1" applyFill="1" applyBorder="1" applyAlignment="1">
      <alignment horizontal="left" vertical="center"/>
    </xf>
    <xf numFmtId="0" fontId="11" fillId="0" borderId="97" xfId="0" applyFont="1" applyFill="1" applyBorder="1" applyAlignment="1">
      <alignment horizontal="left" vertical="center" wrapText="1"/>
    </xf>
    <xf numFmtId="0" fontId="6" fillId="0" borderId="175" xfId="0" applyFont="1" applyFill="1" applyBorder="1" applyAlignment="1">
      <alignment horizontal="left" vertical="center" wrapText="1"/>
    </xf>
    <xf numFmtId="0" fontId="6" fillId="0" borderId="166" xfId="0" applyFont="1" applyFill="1" applyBorder="1" applyAlignment="1">
      <alignment horizontal="left" vertical="center" wrapText="1"/>
    </xf>
    <xf numFmtId="0" fontId="11" fillId="0" borderId="10" xfId="0" applyFont="1" applyFill="1" applyBorder="1" applyAlignment="1">
      <alignment horizontal="left" vertical="center" wrapText="1"/>
    </xf>
    <xf numFmtId="0" fontId="49" fillId="0" borderId="108" xfId="0" applyFont="1" applyFill="1" applyBorder="1" applyAlignment="1">
      <alignment horizontal="left" vertical="center" wrapText="1"/>
    </xf>
    <xf numFmtId="0" fontId="49" fillId="0" borderId="10" xfId="0" applyFont="1" applyFill="1" applyBorder="1" applyAlignment="1">
      <alignment horizontal="left" vertical="center" wrapText="1"/>
    </xf>
    <xf numFmtId="0" fontId="49" fillId="0" borderId="149" xfId="0" quotePrefix="1" applyFont="1" applyFill="1" applyBorder="1" applyAlignment="1">
      <alignment horizontal="left" vertical="center"/>
    </xf>
    <xf numFmtId="0" fontId="49" fillId="0" borderId="149" xfId="0" applyFont="1" applyFill="1" applyBorder="1" applyAlignment="1">
      <alignment horizontal="left" vertical="center"/>
    </xf>
    <xf numFmtId="0" fontId="49" fillId="0" borderId="149" xfId="0" applyFont="1" applyFill="1" applyBorder="1" applyAlignment="1">
      <alignment horizontal="left" vertical="center" wrapText="1"/>
    </xf>
    <xf numFmtId="0" fontId="49" fillId="0" borderId="138" xfId="0" applyFont="1" applyFill="1" applyBorder="1" applyAlignment="1">
      <alignment horizontal="left" vertical="center" wrapText="1"/>
    </xf>
    <xf numFmtId="0" fontId="49" fillId="0" borderId="98" xfId="0" quotePrefix="1" applyFont="1" applyFill="1" applyBorder="1" applyAlignment="1">
      <alignment horizontal="left" vertical="center"/>
    </xf>
    <xf numFmtId="0" fontId="49" fillId="0" borderId="153" xfId="0" quotePrefix="1" applyFont="1" applyFill="1" applyBorder="1" applyAlignment="1">
      <alignment horizontal="left" vertical="center"/>
    </xf>
    <xf numFmtId="0" fontId="49" fillId="0" borderId="97" xfId="0" applyFont="1" applyFill="1" applyBorder="1" applyAlignment="1">
      <alignment horizontal="left" vertical="center" wrapText="1"/>
    </xf>
    <xf numFmtId="0" fontId="49" fillId="0" borderId="166" xfId="0" applyFont="1" applyFill="1" applyBorder="1" applyAlignment="1">
      <alignment horizontal="left" vertical="center" wrapText="1"/>
    </xf>
    <xf numFmtId="0" fontId="35" fillId="0" borderId="0" xfId="0" applyFont="1" applyFill="1" applyAlignment="1">
      <alignment horizontal="left" vertical="center"/>
    </xf>
    <xf numFmtId="0" fontId="49" fillId="0" borderId="98" xfId="0" quotePrefix="1" applyFont="1" applyFill="1" applyBorder="1" applyAlignment="1">
      <alignment horizontal="left" vertical="center" wrapText="1"/>
    </xf>
    <xf numFmtId="0" fontId="49" fillId="0" borderId="6" xfId="0" quotePrefix="1" applyFont="1" applyFill="1" applyBorder="1" applyAlignment="1">
      <alignment horizontal="left" vertical="center" wrapText="1"/>
    </xf>
    <xf numFmtId="0" fontId="49" fillId="0" borderId="6" xfId="0" quotePrefix="1" applyFont="1" applyFill="1" applyBorder="1" applyAlignment="1">
      <alignment horizontal="left" vertical="center"/>
    </xf>
    <xf numFmtId="165" fontId="49" fillId="0" borderId="108" xfId="0" applyNumberFormat="1" applyFont="1" applyFill="1" applyBorder="1" applyAlignment="1">
      <alignment horizontal="left" vertical="center"/>
    </xf>
    <xf numFmtId="165" fontId="49" fillId="0" borderId="97" xfId="0" applyNumberFormat="1" applyFont="1" applyFill="1" applyBorder="1" applyAlignment="1">
      <alignment horizontal="left" vertical="center"/>
    </xf>
    <xf numFmtId="165" fontId="46" fillId="0" borderId="97" xfId="0" applyNumberFormat="1" applyFont="1" applyFill="1" applyBorder="1" applyAlignment="1">
      <alignment horizontal="left" vertical="center"/>
    </xf>
    <xf numFmtId="165" fontId="49" fillId="0" borderId="166" xfId="0" applyNumberFormat="1" applyFont="1" applyFill="1" applyBorder="1" applyAlignment="1">
      <alignment horizontal="left" vertical="center"/>
    </xf>
    <xf numFmtId="165" fontId="49" fillId="0" borderId="104" xfId="0" applyNumberFormat="1" applyFont="1" applyFill="1" applyBorder="1" applyAlignment="1">
      <alignment horizontal="left" vertical="center"/>
    </xf>
    <xf numFmtId="165" fontId="49" fillId="0" borderId="153" xfId="0" applyNumberFormat="1" applyFont="1" applyFill="1" applyBorder="1" applyAlignment="1">
      <alignment horizontal="left" vertical="center"/>
    </xf>
    <xf numFmtId="165" fontId="49" fillId="0" borderId="154" xfId="0" applyNumberFormat="1" applyFont="1" applyFill="1" applyBorder="1" applyAlignment="1">
      <alignment horizontal="left" vertical="center"/>
    </xf>
    <xf numFmtId="165" fontId="46" fillId="0" borderId="166" xfId="0" applyNumberFormat="1" applyFont="1" applyFill="1" applyBorder="1" applyAlignment="1">
      <alignment horizontal="left" vertical="center"/>
    </xf>
    <xf numFmtId="165" fontId="46" fillId="0" borderId="138" xfId="0" applyNumberFormat="1" applyFont="1" applyFill="1" applyBorder="1" applyAlignment="1">
      <alignment horizontal="left" vertical="center"/>
    </xf>
    <xf numFmtId="165" fontId="49" fillId="0" borderId="15" xfId="0" quotePrefix="1" applyNumberFormat="1" applyFont="1" applyFill="1" applyBorder="1" applyAlignment="1">
      <alignment horizontal="left" vertical="center"/>
    </xf>
    <xf numFmtId="165" fontId="46" fillId="0" borderId="6" xfId="0" applyNumberFormat="1" applyFont="1" applyFill="1" applyBorder="1" applyAlignment="1">
      <alignment horizontal="left" vertical="center"/>
    </xf>
    <xf numFmtId="0" fontId="14" fillId="0" borderId="6" xfId="0" applyFont="1" applyFill="1" applyBorder="1" applyAlignment="1">
      <alignment horizontal="left" vertical="center" wrapText="1"/>
    </xf>
    <xf numFmtId="2" fontId="14" fillId="0" borderId="15" xfId="0" applyNumberFormat="1" applyFont="1" applyFill="1" applyBorder="1" applyAlignment="1">
      <alignment horizontal="left" vertical="center" wrapText="1"/>
    </xf>
    <xf numFmtId="2" fontId="6" fillId="0" borderId="98" xfId="0" applyNumberFormat="1" applyFont="1" applyFill="1" applyBorder="1" applyAlignment="1">
      <alignment horizontal="left" vertical="center" wrapText="1"/>
    </xf>
    <xf numFmtId="0" fontId="14" fillId="0" borderId="10" xfId="0" applyFont="1" applyFill="1" applyBorder="1" applyAlignment="1">
      <alignment horizontal="left" vertical="center" wrapText="1"/>
    </xf>
    <xf numFmtId="165" fontId="53" fillId="0" borderId="0" xfId="0" applyNumberFormat="1" applyFont="1" applyFill="1" applyAlignment="1">
      <alignment horizontal="left" vertical="center"/>
    </xf>
    <xf numFmtId="165" fontId="49" fillId="0" borderId="69" xfId="0" quotePrefix="1" applyNumberFormat="1" applyFont="1" applyFill="1" applyBorder="1" applyAlignment="1">
      <alignment horizontal="left" vertical="center"/>
    </xf>
    <xf numFmtId="165" fontId="49" fillId="0" borderId="98" xfId="0" quotePrefix="1" applyNumberFormat="1" applyFont="1" applyFill="1" applyBorder="1" applyAlignment="1">
      <alignment horizontal="left" vertical="center"/>
    </xf>
    <xf numFmtId="165" fontId="49" fillId="0" borderId="6" xfId="0" applyNumberFormat="1" applyFont="1" applyFill="1" applyBorder="1" applyAlignment="1">
      <alignment horizontal="left" vertical="center"/>
    </xf>
    <xf numFmtId="165" fontId="49" fillId="0" borderId="13" xfId="0" applyNumberFormat="1" applyFont="1" applyFill="1" applyBorder="1" applyAlignment="1">
      <alignment horizontal="left" vertical="center"/>
    </xf>
    <xf numFmtId="0" fontId="49" fillId="0" borderId="83" xfId="0" applyFont="1" applyFill="1" applyBorder="1" applyAlignment="1">
      <alignment horizontal="left" vertical="center" wrapText="1"/>
    </xf>
    <xf numFmtId="2" fontId="49" fillId="0" borderId="97" xfId="0" applyNumberFormat="1" applyFont="1" applyFill="1" applyBorder="1" applyAlignment="1">
      <alignment horizontal="left" vertical="center"/>
    </xf>
    <xf numFmtId="0" fontId="49" fillId="0" borderId="15" xfId="0" applyFont="1" applyFill="1" applyBorder="1" applyAlignment="1">
      <alignment horizontal="left" vertical="center"/>
    </xf>
    <xf numFmtId="0" fontId="49" fillId="0" borderId="75" xfId="0" applyFont="1" applyFill="1" applyBorder="1" applyAlignment="1">
      <alignment horizontal="left" vertical="center"/>
    </xf>
    <xf numFmtId="0" fontId="14" fillId="0" borderId="69" xfId="0" applyFont="1" applyFill="1" applyBorder="1" applyAlignment="1">
      <alignment horizontal="left" vertical="center" wrapText="1"/>
    </xf>
    <xf numFmtId="0" fontId="14" fillId="0" borderId="15" xfId="0" applyFont="1" applyFill="1" applyBorder="1" applyAlignment="1">
      <alignment horizontal="left" vertical="center" wrapText="1"/>
    </xf>
    <xf numFmtId="0" fontId="6" fillId="0" borderId="98" xfId="0" applyFont="1" applyFill="1" applyBorder="1" applyAlignment="1">
      <alignment horizontal="left" vertical="center" wrapText="1"/>
    </xf>
    <xf numFmtId="0" fontId="12" fillId="0" borderId="98" xfId="0" applyFont="1" applyFill="1" applyBorder="1" applyAlignment="1">
      <alignment horizontal="left" vertical="center" wrapText="1"/>
    </xf>
    <xf numFmtId="0" fontId="12" fillId="0" borderId="97" xfId="0" applyFont="1" applyFill="1" applyBorder="1" applyAlignment="1">
      <alignment horizontal="left" vertical="center" wrapText="1"/>
    </xf>
    <xf numFmtId="0" fontId="49" fillId="0" borderId="83" xfId="0" quotePrefix="1" applyFont="1" applyFill="1" applyBorder="1" applyAlignment="1">
      <alignment horizontal="left" vertical="center" wrapText="1"/>
    </xf>
    <xf numFmtId="0" fontId="49" fillId="0" borderId="10" xfId="0" quotePrefix="1" applyFont="1" applyFill="1" applyBorder="1" applyAlignment="1">
      <alignment horizontal="left" vertical="center" wrapText="1"/>
    </xf>
    <xf numFmtId="0" fontId="49" fillId="0" borderId="115" xfId="0" quotePrefix="1" applyFont="1" applyFill="1" applyBorder="1" applyAlignment="1">
      <alignment horizontal="left" vertical="center"/>
    </xf>
    <xf numFmtId="0" fontId="49" fillId="0" borderId="138" xfId="0" quotePrefix="1" applyFont="1" applyFill="1" applyBorder="1" applyAlignment="1">
      <alignment horizontal="left" vertical="center"/>
    </xf>
    <xf numFmtId="0" fontId="49" fillId="0" borderId="115" xfId="0" applyFont="1" applyFill="1" applyBorder="1" applyAlignment="1">
      <alignment horizontal="left" vertical="center"/>
    </xf>
    <xf numFmtId="0" fontId="49" fillId="0" borderId="109" xfId="0" applyFont="1" applyFill="1" applyBorder="1" applyAlignment="1">
      <alignment horizontal="left" vertical="center"/>
    </xf>
    <xf numFmtId="0" fontId="49" fillId="0" borderId="106" xfId="0" applyFont="1" applyFill="1" applyBorder="1" applyAlignment="1">
      <alignment horizontal="left" vertical="center"/>
    </xf>
    <xf numFmtId="0" fontId="49" fillId="0" borderId="140" xfId="0" applyFont="1" applyFill="1" applyBorder="1" applyAlignment="1">
      <alignment horizontal="left" vertical="center"/>
    </xf>
    <xf numFmtId="0" fontId="49" fillId="0" borderId="126" xfId="0" applyFont="1" applyFill="1" applyBorder="1" applyAlignment="1">
      <alignment horizontal="left" vertical="center"/>
    </xf>
    <xf numFmtId="0" fontId="49" fillId="0" borderId="70" xfId="0" quotePrefix="1" applyFont="1" applyFill="1" applyBorder="1" applyAlignment="1">
      <alignment horizontal="left" vertical="center"/>
    </xf>
    <xf numFmtId="0" fontId="49" fillId="0" borderId="102" xfId="0" applyFont="1" applyFill="1" applyBorder="1" applyAlignment="1">
      <alignment horizontal="left" vertical="center"/>
    </xf>
    <xf numFmtId="0" fontId="49" fillId="0" borderId="8" xfId="0" applyFont="1" applyFill="1" applyBorder="1" applyAlignment="1">
      <alignment horizontal="left" vertical="center"/>
    </xf>
    <xf numFmtId="0" fontId="49" fillId="0" borderId="0" xfId="0" applyFont="1" applyFill="1" applyAlignment="1">
      <alignment horizontal="center" vertical="center" wrapText="1"/>
    </xf>
    <xf numFmtId="0" fontId="57" fillId="7" borderId="79" xfId="0" applyFont="1" applyFill="1" applyBorder="1" applyAlignment="1">
      <alignment horizontal="left" vertical="center"/>
    </xf>
    <xf numFmtId="0" fontId="49" fillId="11" borderId="177" xfId="0" applyFont="1" applyFill="1" applyBorder="1" applyAlignment="1">
      <alignment horizontal="left" vertical="center"/>
    </xf>
    <xf numFmtId="0" fontId="49" fillId="11" borderId="166" xfId="0" quotePrefix="1" applyFont="1" applyFill="1" applyBorder="1" applyAlignment="1">
      <alignment horizontal="left" vertical="center"/>
    </xf>
    <xf numFmtId="0" fontId="49" fillId="11" borderId="140" xfId="0" applyFont="1" applyFill="1" applyBorder="1" applyAlignment="1">
      <alignment horizontal="left" vertical="center"/>
    </xf>
    <xf numFmtId="2" fontId="49" fillId="11" borderId="166" xfId="0" applyNumberFormat="1" applyFont="1" applyFill="1" applyBorder="1" applyAlignment="1">
      <alignment horizontal="center" vertical="center" wrapText="1"/>
    </xf>
    <xf numFmtId="0" fontId="49" fillId="11" borderId="166" xfId="0" applyFont="1" applyFill="1" applyBorder="1" applyAlignment="1">
      <alignment horizontal="left" vertical="center" wrapText="1"/>
    </xf>
    <xf numFmtId="0" fontId="49" fillId="0" borderId="182" xfId="2" applyFont="1" applyFill="1" applyBorder="1" applyAlignment="1">
      <alignment horizontal="left" vertical="center" wrapText="1"/>
    </xf>
    <xf numFmtId="0" fontId="49" fillId="0" borderId="183" xfId="0" applyFont="1" applyFill="1" applyBorder="1" applyAlignment="1">
      <alignment horizontal="left" vertical="center" wrapText="1"/>
    </xf>
    <xf numFmtId="0" fontId="49" fillId="0" borderId="183" xfId="0" applyFont="1" applyFill="1" applyBorder="1" applyAlignment="1">
      <alignment horizontal="center" vertical="center" wrapText="1"/>
    </xf>
    <xf numFmtId="0" fontId="29" fillId="7" borderId="185" xfId="0" applyFont="1" applyFill="1" applyBorder="1" applyAlignment="1">
      <alignment horizontal="left" vertical="center" wrapText="1"/>
    </xf>
    <xf numFmtId="0" fontId="49" fillId="27" borderId="101" xfId="2" applyFont="1" applyFill="1" applyBorder="1" applyAlignment="1">
      <alignment horizontal="left" vertical="center" wrapText="1"/>
    </xf>
    <xf numFmtId="0" fontId="99" fillId="27" borderId="179" xfId="2" applyFont="1" applyFill="1" applyBorder="1" applyAlignment="1">
      <alignment horizontal="left" vertical="center" wrapText="1"/>
    </xf>
    <xf numFmtId="0" fontId="46" fillId="8" borderId="175" xfId="0" quotePrefix="1" applyFont="1" applyFill="1" applyBorder="1" applyAlignment="1">
      <alignment horizontal="center" vertical="center"/>
    </xf>
    <xf numFmtId="0" fontId="46" fillId="21" borderId="175" xfId="0" quotePrefix="1" applyFont="1" applyFill="1" applyBorder="1" applyAlignment="1">
      <alignment horizontal="center" vertical="center"/>
    </xf>
    <xf numFmtId="0" fontId="46" fillId="11" borderId="175" xfId="0" quotePrefix="1" applyFont="1" applyFill="1" applyBorder="1" applyAlignment="1">
      <alignment horizontal="center" vertical="center"/>
    </xf>
    <xf numFmtId="0" fontId="46" fillId="11" borderId="175" xfId="0" applyFont="1" applyFill="1" applyBorder="1" applyAlignment="1">
      <alignment horizontal="center" vertical="center"/>
    </xf>
    <xf numFmtId="0" fontId="46" fillId="10" borderId="175" xfId="0" applyFont="1" applyFill="1" applyBorder="1" applyAlignment="1">
      <alignment horizontal="center" vertical="center"/>
    </xf>
    <xf numFmtId="0" fontId="46" fillId="22" borderId="175" xfId="0" applyFont="1" applyFill="1" applyBorder="1" applyAlignment="1">
      <alignment horizontal="center" vertical="center"/>
    </xf>
    <xf numFmtId="0" fontId="46" fillId="20" borderId="175" xfId="0" quotePrefix="1" applyFont="1" applyFill="1" applyBorder="1" applyAlignment="1">
      <alignment horizontal="center" vertical="center"/>
    </xf>
    <xf numFmtId="0" fontId="46" fillId="20" borderId="175" xfId="0" applyFont="1" applyFill="1" applyBorder="1" applyAlignment="1">
      <alignment horizontal="center" vertical="center"/>
    </xf>
    <xf numFmtId="0" fontId="46" fillId="12" borderId="175" xfId="0" quotePrefix="1" applyFont="1" applyFill="1" applyBorder="1" applyAlignment="1">
      <alignment horizontal="center" vertical="center"/>
    </xf>
    <xf numFmtId="0" fontId="46" fillId="12" borderId="175" xfId="0" applyFont="1" applyFill="1" applyBorder="1" applyAlignment="1">
      <alignment horizontal="center" vertical="center"/>
    </xf>
    <xf numFmtId="0" fontId="46" fillId="18" borderId="175" xfId="0" quotePrefix="1" applyFont="1" applyFill="1" applyBorder="1" applyAlignment="1">
      <alignment horizontal="center" vertical="center"/>
    </xf>
    <xf numFmtId="0" fontId="46" fillId="18" borderId="175" xfId="0" applyFont="1" applyFill="1" applyBorder="1" applyAlignment="1">
      <alignment horizontal="center" vertical="center"/>
    </xf>
    <xf numFmtId="0" fontId="46" fillId="9" borderId="175" xfId="0" applyFont="1" applyFill="1" applyBorder="1" applyAlignment="1">
      <alignment horizontal="center" vertical="center"/>
    </xf>
    <xf numFmtId="0" fontId="46" fillId="7" borderId="175" xfId="0" applyFont="1" applyFill="1" applyBorder="1" applyAlignment="1">
      <alignment horizontal="center" vertical="center"/>
    </xf>
    <xf numFmtId="0" fontId="46" fillId="7" borderId="175" xfId="0" quotePrefix="1" applyFont="1" applyFill="1" applyBorder="1" applyAlignment="1">
      <alignment horizontal="center" vertical="center"/>
    </xf>
    <xf numFmtId="0" fontId="46" fillId="16" borderId="175" xfId="0" quotePrefix="1" applyFont="1" applyFill="1" applyBorder="1" applyAlignment="1">
      <alignment horizontal="center" vertical="center"/>
    </xf>
    <xf numFmtId="0" fontId="46" fillId="15" borderId="175" xfId="0" quotePrefix="1" applyFont="1" applyFill="1" applyBorder="1" applyAlignment="1">
      <alignment horizontal="center" vertical="center"/>
    </xf>
    <xf numFmtId="0" fontId="46" fillId="4" borderId="175" xfId="0" quotePrefix="1" applyFont="1" applyFill="1" applyBorder="1" applyAlignment="1">
      <alignment horizontal="center" vertical="center"/>
    </xf>
    <xf numFmtId="0" fontId="46" fillId="5" borderId="189" xfId="0" applyFont="1" applyFill="1" applyBorder="1" applyAlignment="1">
      <alignment horizontal="center" vertical="center"/>
    </xf>
    <xf numFmtId="0" fontId="46" fillId="5" borderId="175" xfId="0" applyFont="1" applyFill="1" applyBorder="1" applyAlignment="1">
      <alignment horizontal="center" vertical="center"/>
    </xf>
    <xf numFmtId="0" fontId="49" fillId="5" borderId="175" xfId="0" applyFont="1" applyFill="1" applyBorder="1" applyAlignment="1">
      <alignment horizontal="center" vertical="center"/>
    </xf>
    <xf numFmtId="0" fontId="46" fillId="5" borderId="180" xfId="0" applyFont="1" applyFill="1" applyBorder="1" applyAlignment="1">
      <alignment horizontal="center" vertical="center"/>
    </xf>
    <xf numFmtId="0" fontId="46" fillId="8" borderId="175" xfId="0" quotePrefix="1" applyNumberFormat="1" applyFont="1" applyFill="1" applyBorder="1" applyAlignment="1">
      <alignment horizontal="center" vertical="center"/>
    </xf>
    <xf numFmtId="0" fontId="46" fillId="21" borderId="175" xfId="0" quotePrefix="1" applyNumberFormat="1" applyFont="1" applyFill="1" applyBorder="1" applyAlignment="1">
      <alignment horizontal="center" vertical="center"/>
    </xf>
    <xf numFmtId="0" fontId="46" fillId="11" borderId="175" xfId="0" quotePrefix="1" applyNumberFormat="1" applyFont="1" applyFill="1" applyBorder="1" applyAlignment="1">
      <alignment horizontal="center" vertical="center"/>
    </xf>
    <xf numFmtId="0" fontId="46" fillId="11" borderId="175" xfId="0" applyNumberFormat="1" applyFont="1" applyFill="1" applyBorder="1" applyAlignment="1">
      <alignment horizontal="center" vertical="center"/>
    </xf>
    <xf numFmtId="0" fontId="46" fillId="10" borderId="175" xfId="0" applyNumberFormat="1" applyFont="1" applyFill="1" applyBorder="1" applyAlignment="1">
      <alignment horizontal="center" vertical="center"/>
    </xf>
    <xf numFmtId="0" fontId="46" fillId="22" borderId="175" xfId="0" applyNumberFormat="1" applyFont="1" applyFill="1" applyBorder="1" applyAlignment="1">
      <alignment horizontal="center" vertical="center"/>
    </xf>
    <xf numFmtId="0" fontId="46" fillId="20" borderId="175" xfId="0" quotePrefix="1" applyNumberFormat="1" applyFont="1" applyFill="1" applyBorder="1" applyAlignment="1">
      <alignment horizontal="center" vertical="center"/>
    </xf>
    <xf numFmtId="0" fontId="46" fillId="20" borderId="175" xfId="0" applyNumberFormat="1" applyFont="1" applyFill="1" applyBorder="1" applyAlignment="1">
      <alignment horizontal="center" vertical="center"/>
    </xf>
    <xf numFmtId="0" fontId="46" fillId="12" borderId="175" xfId="0" quotePrefix="1" applyNumberFormat="1" applyFont="1" applyFill="1" applyBorder="1" applyAlignment="1">
      <alignment horizontal="center" vertical="center"/>
    </xf>
    <xf numFmtId="0" fontId="46" fillId="12" borderId="175" xfId="0" applyNumberFormat="1" applyFont="1" applyFill="1" applyBorder="1" applyAlignment="1">
      <alignment horizontal="center" vertical="center"/>
    </xf>
    <xf numFmtId="0" fontId="46" fillId="18" borderId="175" xfId="0" quotePrefix="1" applyNumberFormat="1" applyFont="1" applyFill="1" applyBorder="1" applyAlignment="1">
      <alignment horizontal="center" vertical="center"/>
    </xf>
    <xf numFmtId="0" fontId="46" fillId="18" borderId="175" xfId="0" applyNumberFormat="1" applyFont="1" applyFill="1" applyBorder="1" applyAlignment="1">
      <alignment horizontal="center" vertical="center"/>
    </xf>
    <xf numFmtId="0" fontId="46" fillId="9" borderId="175" xfId="0" applyNumberFormat="1" applyFont="1" applyFill="1" applyBorder="1" applyAlignment="1">
      <alignment horizontal="center" vertical="center"/>
    </xf>
    <xf numFmtId="0" fontId="46" fillId="7" borderId="175" xfId="0" applyNumberFormat="1" applyFont="1" applyFill="1" applyBorder="1" applyAlignment="1">
      <alignment horizontal="center" vertical="center"/>
    </xf>
    <xf numFmtId="0" fontId="46" fillId="7" borderId="175" xfId="0" quotePrefix="1" applyNumberFormat="1" applyFont="1" applyFill="1" applyBorder="1" applyAlignment="1">
      <alignment horizontal="center" vertical="center"/>
    </xf>
    <xf numFmtId="0" fontId="46" fillId="16" borderId="175" xfId="0" quotePrefix="1" applyNumberFormat="1" applyFont="1" applyFill="1" applyBorder="1" applyAlignment="1">
      <alignment horizontal="center" vertical="center"/>
    </xf>
    <xf numFmtId="0" fontId="46" fillId="15" borderId="175" xfId="0" quotePrefix="1" applyNumberFormat="1" applyFont="1" applyFill="1" applyBorder="1" applyAlignment="1">
      <alignment horizontal="center" vertical="center"/>
    </xf>
    <xf numFmtId="0" fontId="46" fillId="4" borderId="175" xfId="0" quotePrefix="1" applyNumberFormat="1" applyFont="1" applyFill="1" applyBorder="1" applyAlignment="1">
      <alignment horizontal="center" vertical="center"/>
    </xf>
    <xf numFmtId="0" fontId="0" fillId="28" borderId="175" xfId="0" applyFill="1" applyBorder="1" applyAlignment="1">
      <alignment horizontal="left" vertical="center"/>
    </xf>
    <xf numFmtId="0" fontId="46" fillId="28" borderId="175" xfId="0" applyFont="1" applyFill="1" applyBorder="1" applyAlignment="1">
      <alignment horizontal="left" vertical="center"/>
    </xf>
    <xf numFmtId="0" fontId="61" fillId="7" borderId="187" xfId="3" applyFont="1" applyFill="1" applyBorder="1" applyAlignment="1">
      <alignment horizontal="center" vertical="center" wrapText="1"/>
    </xf>
    <xf numFmtId="0" fontId="49" fillId="11" borderId="15" xfId="0" applyFont="1" applyFill="1" applyBorder="1" applyAlignment="1">
      <alignment horizontal="left" vertical="center" wrapText="1"/>
    </xf>
    <xf numFmtId="2" fontId="49" fillId="11" borderId="166" xfId="0" applyNumberFormat="1" applyFont="1" applyFill="1" applyBorder="1" applyAlignment="1">
      <alignment horizontal="left" vertical="center" wrapText="1"/>
    </xf>
    <xf numFmtId="165" fontId="49" fillId="11" borderId="166" xfId="0" applyNumberFormat="1" applyFont="1" applyFill="1" applyBorder="1" applyAlignment="1">
      <alignment horizontal="left" vertical="center"/>
    </xf>
    <xf numFmtId="165" fontId="49" fillId="11" borderId="166" xfId="0" applyNumberFormat="1" applyFont="1" applyFill="1" applyBorder="1" applyAlignment="1">
      <alignment horizontal="center" vertical="center"/>
    </xf>
    <xf numFmtId="0" fontId="49" fillId="11" borderId="166" xfId="0" applyFont="1" applyFill="1" applyBorder="1" applyAlignment="1">
      <alignment horizontal="center" vertical="center"/>
    </xf>
    <xf numFmtId="0" fontId="49" fillId="11" borderId="15" xfId="0" applyFont="1" applyFill="1" applyBorder="1" applyAlignment="1">
      <alignment horizontal="center" vertical="center"/>
    </xf>
    <xf numFmtId="0" fontId="49" fillId="11" borderId="166" xfId="0" quotePrefix="1" applyFont="1" applyFill="1" applyBorder="1" applyAlignment="1">
      <alignment horizontal="center" vertical="center" wrapText="1"/>
    </xf>
    <xf numFmtId="0" fontId="49" fillId="19" borderId="166" xfId="0" applyFont="1" applyFill="1" applyBorder="1" applyAlignment="1">
      <alignment horizontal="center" vertical="center"/>
    </xf>
    <xf numFmtId="1" fontId="49" fillId="19" borderId="154" xfId="0" applyNumberFormat="1" applyFont="1" applyFill="1" applyBorder="1" applyAlignment="1">
      <alignment horizontal="center" vertical="center"/>
    </xf>
    <xf numFmtId="0" fontId="49" fillId="19" borderId="166" xfId="0" quotePrefix="1" applyFont="1" applyFill="1" applyBorder="1" applyAlignment="1">
      <alignment horizontal="center" vertical="center" wrapText="1"/>
    </xf>
    <xf numFmtId="0" fontId="49" fillId="19" borderId="166" xfId="0" applyFont="1" applyFill="1" applyBorder="1" applyAlignment="1">
      <alignment horizontal="center" vertical="center" wrapText="1"/>
    </xf>
    <xf numFmtId="0" fontId="91" fillId="19" borderId="139" xfId="0" applyFont="1" applyFill="1" applyBorder="1" applyAlignment="1">
      <alignment horizontal="left" vertical="center"/>
    </xf>
    <xf numFmtId="0" fontId="49" fillId="19" borderId="179" xfId="0" applyFont="1" applyFill="1" applyBorder="1" applyAlignment="1">
      <alignment horizontal="left" vertical="center"/>
    </xf>
    <xf numFmtId="167" fontId="49" fillId="19" borderId="138" xfId="0" applyNumberFormat="1" applyFont="1" applyFill="1" applyBorder="1" applyAlignment="1">
      <alignment horizontal="center" vertical="center"/>
    </xf>
    <xf numFmtId="0" fontId="56" fillId="7" borderId="190" xfId="0" applyFont="1" applyFill="1" applyBorder="1" applyAlignment="1">
      <alignment horizontal="left" vertical="center" wrapText="1"/>
    </xf>
    <xf numFmtId="0" fontId="49" fillId="19" borderId="166" xfId="0" applyFont="1" applyFill="1" applyBorder="1" applyAlignment="1">
      <alignment horizontal="left" vertical="center" wrapText="1"/>
    </xf>
    <xf numFmtId="0" fontId="57" fillId="7" borderId="191" xfId="0" applyFont="1" applyFill="1" applyBorder="1" applyAlignment="1">
      <alignment horizontal="left" vertical="center"/>
    </xf>
    <xf numFmtId="0" fontId="49" fillId="0" borderId="177" xfId="0" applyFont="1" applyFill="1" applyBorder="1" applyAlignment="1">
      <alignment horizontal="left" vertical="center"/>
    </xf>
    <xf numFmtId="0" fontId="49" fillId="0" borderId="175" xfId="0" applyFont="1" applyFill="1" applyBorder="1" applyAlignment="1">
      <alignment horizontal="left" vertical="center"/>
    </xf>
    <xf numFmtId="0" fontId="49" fillId="0" borderId="175" xfId="0" applyFont="1" applyFill="1" applyBorder="1" applyAlignment="1">
      <alignment horizontal="left" vertical="center" wrapText="1"/>
    </xf>
    <xf numFmtId="165" fontId="49" fillId="0" borderId="175" xfId="0" applyNumberFormat="1" applyFont="1" applyFill="1" applyBorder="1" applyAlignment="1">
      <alignment horizontal="left" vertical="center"/>
    </xf>
    <xf numFmtId="0" fontId="49" fillId="0" borderId="178" xfId="0" applyFont="1" applyFill="1" applyBorder="1" applyAlignment="1">
      <alignment horizontal="left" vertical="center"/>
    </xf>
    <xf numFmtId="0" fontId="46" fillId="0" borderId="177" xfId="0" applyFont="1" applyFill="1" applyBorder="1" applyAlignment="1">
      <alignment horizontal="left" vertical="center"/>
    </xf>
    <xf numFmtId="0" fontId="46" fillId="0" borderId="175" xfId="0" applyFont="1" applyFill="1" applyBorder="1" applyAlignment="1">
      <alignment horizontal="left" vertical="center"/>
    </xf>
    <xf numFmtId="165" fontId="46" fillId="0" borderId="175" xfId="0" applyNumberFormat="1" applyFont="1" applyFill="1" applyBorder="1" applyAlignment="1">
      <alignment horizontal="left" vertical="center"/>
    </xf>
    <xf numFmtId="0" fontId="5" fillId="0" borderId="15" xfId="0" applyFont="1" applyFill="1" applyBorder="1" applyAlignment="1">
      <alignment horizontal="left" vertical="center" wrapText="1"/>
    </xf>
    <xf numFmtId="0" fontId="49" fillId="0" borderId="177" xfId="0" applyFont="1" applyFill="1" applyBorder="1" applyAlignment="1">
      <alignment horizontal="left" vertical="center" wrapText="1"/>
    </xf>
    <xf numFmtId="0" fontId="49" fillId="0" borderId="179" xfId="0" applyFont="1" applyFill="1" applyBorder="1" applyAlignment="1">
      <alignment horizontal="left" vertical="center" wrapText="1"/>
    </xf>
    <xf numFmtId="0" fontId="49" fillId="0" borderId="180" xfId="0" applyFont="1" applyFill="1" applyBorder="1" applyAlignment="1">
      <alignment horizontal="left" vertical="center" wrapText="1"/>
    </xf>
    <xf numFmtId="0" fontId="49" fillId="0" borderId="180" xfId="0" applyFont="1" applyFill="1" applyBorder="1" applyAlignment="1">
      <alignment horizontal="left" vertical="center"/>
    </xf>
    <xf numFmtId="0" fontId="46" fillId="0" borderId="179" xfId="0" applyFont="1" applyFill="1" applyBorder="1" applyAlignment="1">
      <alignment horizontal="left" vertical="center"/>
    </xf>
    <xf numFmtId="0" fontId="46" fillId="0" borderId="180" xfId="0" applyFont="1" applyFill="1" applyBorder="1" applyAlignment="1">
      <alignment horizontal="left" vertical="center"/>
    </xf>
    <xf numFmtId="165" fontId="46" fillId="0" borderId="180" xfId="0" applyNumberFormat="1" applyFont="1" applyFill="1" applyBorder="1" applyAlignment="1">
      <alignment horizontal="left" vertical="center"/>
    </xf>
    <xf numFmtId="0" fontId="46" fillId="0" borderId="175" xfId="0" quotePrefix="1" applyFont="1" applyFill="1" applyBorder="1" applyAlignment="1">
      <alignment horizontal="left" vertical="center"/>
    </xf>
    <xf numFmtId="2" fontId="46" fillId="0" borderId="175" xfId="0" applyNumberFormat="1" applyFont="1" applyFill="1" applyBorder="1" applyAlignment="1">
      <alignment horizontal="left" vertical="center"/>
    </xf>
    <xf numFmtId="0" fontId="46" fillId="0" borderId="180" xfId="0" quotePrefix="1" applyFont="1" applyFill="1" applyBorder="1" applyAlignment="1">
      <alignment horizontal="left" vertical="center"/>
    </xf>
    <xf numFmtId="2" fontId="46" fillId="0" borderId="180" xfId="0" applyNumberFormat="1" applyFont="1" applyFill="1" applyBorder="1" applyAlignment="1">
      <alignment horizontal="left" vertical="center"/>
    </xf>
    <xf numFmtId="0" fontId="49" fillId="20" borderId="175" xfId="0" applyFont="1" applyFill="1" applyBorder="1" applyAlignment="1">
      <alignment horizontal="left" vertical="center"/>
    </xf>
    <xf numFmtId="0" fontId="49" fillId="20" borderId="180" xfId="0" applyFont="1" applyFill="1" applyBorder="1" applyAlignment="1">
      <alignment horizontal="left" vertical="center"/>
    </xf>
    <xf numFmtId="0" fontId="49" fillId="11" borderId="175" xfId="0" quotePrefix="1" applyFont="1" applyFill="1" applyBorder="1" applyAlignment="1">
      <alignment horizontal="left" vertical="center"/>
    </xf>
    <xf numFmtId="0" fontId="49" fillId="11" borderId="175" xfId="0" applyFont="1" applyFill="1" applyBorder="1" applyAlignment="1">
      <alignment horizontal="left" vertical="center"/>
    </xf>
    <xf numFmtId="0" fontId="49" fillId="11" borderId="178" xfId="0" applyFont="1" applyFill="1" applyBorder="1" applyAlignment="1">
      <alignment horizontal="left" vertical="center"/>
    </xf>
    <xf numFmtId="0" fontId="46" fillId="11" borderId="166" xfId="0" applyFont="1" applyFill="1" applyBorder="1" applyAlignment="1">
      <alignment horizontal="center" vertical="center"/>
    </xf>
    <xf numFmtId="0" fontId="46" fillId="11" borderId="166" xfId="0" applyNumberFormat="1" applyFont="1" applyFill="1" applyBorder="1" applyAlignment="1">
      <alignment horizontal="center" vertical="center"/>
    </xf>
    <xf numFmtId="2" fontId="49" fillId="9" borderId="166" xfId="0" applyNumberFormat="1" applyFont="1" applyFill="1" applyBorder="1" applyAlignment="1">
      <alignment horizontal="left" vertical="center"/>
    </xf>
    <xf numFmtId="0" fontId="46" fillId="0" borderId="104" xfId="0" applyFont="1" applyFill="1" applyBorder="1" applyAlignment="1">
      <alignment horizontal="left" vertical="center" wrapText="1"/>
    </xf>
    <xf numFmtId="0" fontId="46" fillId="0" borderId="97" xfId="0" applyFont="1" applyFill="1" applyBorder="1" applyAlignment="1">
      <alignment horizontal="left" vertical="center" wrapText="1"/>
    </xf>
    <xf numFmtId="0" fontId="49" fillId="0" borderId="104" xfId="0" applyFont="1" applyFill="1" applyBorder="1" applyAlignment="1">
      <alignment horizontal="left" vertical="center" wrapText="1"/>
    </xf>
    <xf numFmtId="0" fontId="49" fillId="0" borderId="154" xfId="0" applyFont="1" applyFill="1" applyBorder="1" applyAlignment="1">
      <alignment horizontal="left" vertical="center" wrapText="1"/>
    </xf>
    <xf numFmtId="164" fontId="49" fillId="0" borderId="166" xfId="0" applyNumberFormat="1" applyFont="1" applyFill="1" applyBorder="1" applyAlignment="1">
      <alignment horizontal="left" vertical="center" wrapText="1"/>
    </xf>
    <xf numFmtId="164" fontId="49" fillId="0" borderId="138" xfId="0" applyNumberFormat="1" applyFont="1" applyFill="1" applyBorder="1" applyAlignment="1">
      <alignment horizontal="left" vertical="center" wrapText="1"/>
    </xf>
    <xf numFmtId="0" fontId="11" fillId="0" borderId="107" xfId="0" applyFont="1" applyFill="1" applyBorder="1" applyAlignment="1">
      <alignment horizontal="left" vertical="center"/>
    </xf>
    <xf numFmtId="2" fontId="14" fillId="0" borderId="69" xfId="0" applyNumberFormat="1" applyFont="1" applyFill="1" applyBorder="1" applyAlignment="1">
      <alignment horizontal="left" vertical="center"/>
    </xf>
    <xf numFmtId="0" fontId="14" fillId="0" borderId="6" xfId="0" applyFont="1" applyFill="1" applyBorder="1" applyAlignment="1">
      <alignment horizontal="left" vertical="center"/>
    </xf>
    <xf numFmtId="0" fontId="6" fillId="0" borderId="98" xfId="0" applyFont="1" applyFill="1" applyBorder="1" applyAlignment="1">
      <alignment horizontal="left" vertical="center"/>
    </xf>
    <xf numFmtId="2" fontId="12" fillId="0" borderId="98" xfId="0" applyNumberFormat="1" applyFont="1" applyFill="1" applyBorder="1" applyAlignment="1">
      <alignment horizontal="left" vertical="center"/>
    </xf>
    <xf numFmtId="0" fontId="12" fillId="0" borderId="97" xfId="0" applyFont="1" applyFill="1" applyBorder="1" applyAlignment="1">
      <alignment horizontal="left" vertical="center"/>
    </xf>
    <xf numFmtId="0" fontId="49" fillId="0" borderId="82" xfId="0" applyFont="1" applyFill="1" applyBorder="1" applyAlignment="1">
      <alignment horizontal="left" vertical="center"/>
    </xf>
    <xf numFmtId="0" fontId="49" fillId="10" borderId="98" xfId="0" applyFont="1" applyFill="1" applyBorder="1" applyAlignment="1">
      <alignment horizontal="left" vertical="center"/>
    </xf>
    <xf numFmtId="0" fontId="49" fillId="10" borderId="105" xfId="0" applyFont="1" applyFill="1" applyBorder="1" applyAlignment="1">
      <alignment horizontal="left" vertical="center"/>
    </xf>
    <xf numFmtId="0" fontId="49" fillId="10" borderId="9" xfId="0" applyFont="1" applyFill="1" applyBorder="1" applyAlignment="1">
      <alignment horizontal="left" vertical="center"/>
    </xf>
    <xf numFmtId="0" fontId="49" fillId="7" borderId="101" xfId="0" applyFont="1" applyFill="1" applyBorder="1" applyAlignment="1">
      <alignment horizontal="left" vertical="center"/>
    </xf>
    <xf numFmtId="0" fontId="49" fillId="7" borderId="98" xfId="0" applyFont="1" applyFill="1" applyBorder="1" applyAlignment="1">
      <alignment horizontal="left" vertical="center"/>
    </xf>
    <xf numFmtId="0" fontId="49" fillId="7" borderId="9" xfId="0" applyFont="1" applyFill="1" applyBorder="1" applyAlignment="1">
      <alignment horizontal="left" vertical="center"/>
    </xf>
    <xf numFmtId="165" fontId="49" fillId="11" borderId="6" xfId="0" applyNumberFormat="1" applyFont="1" applyFill="1" applyBorder="1" applyAlignment="1">
      <alignment horizontal="left" vertical="center"/>
    </xf>
    <xf numFmtId="167" fontId="49" fillId="11" borderId="6" xfId="0" applyNumberFormat="1" applyFont="1" applyFill="1" applyBorder="1" applyAlignment="1">
      <alignment horizontal="left" vertical="center"/>
    </xf>
    <xf numFmtId="0" fontId="49" fillId="0" borderId="114" xfId="0" applyFont="1" applyFill="1" applyBorder="1" applyAlignment="1">
      <alignment horizontal="left" vertical="center"/>
    </xf>
    <xf numFmtId="0" fontId="49" fillId="0" borderId="138" xfId="0" applyFont="1" applyFill="1" applyBorder="1" applyAlignment="1">
      <alignment horizontal="left" vertical="center"/>
    </xf>
    <xf numFmtId="0" fontId="46" fillId="9" borderId="7" xfId="0" applyFont="1" applyFill="1" applyBorder="1" applyAlignment="1">
      <alignment horizontal="left" vertical="center"/>
    </xf>
    <xf numFmtId="0" fontId="46" fillId="8" borderId="7" xfId="0" applyFont="1" applyFill="1" applyBorder="1" applyAlignment="1">
      <alignment horizontal="left" vertical="center"/>
    </xf>
    <xf numFmtId="0" fontId="46" fillId="21" borderId="7" xfId="0" applyFont="1" applyFill="1" applyBorder="1" applyAlignment="1">
      <alignment horizontal="left" vertical="center"/>
    </xf>
    <xf numFmtId="0" fontId="46" fillId="10" borderId="7" xfId="0" applyFont="1" applyFill="1" applyBorder="1" applyAlignment="1">
      <alignment horizontal="left" vertical="center"/>
    </xf>
    <xf numFmtId="0" fontId="46" fillId="22" borderId="7" xfId="0" applyFont="1" applyFill="1" applyBorder="1" applyAlignment="1">
      <alignment horizontal="left" vertical="center"/>
    </xf>
    <xf numFmtId="0" fontId="46" fillId="20" borderId="7" xfId="0" applyFont="1" applyFill="1" applyBorder="1" applyAlignment="1">
      <alignment horizontal="left" vertical="center"/>
    </xf>
    <xf numFmtId="0" fontId="46" fillId="11" borderId="7" xfId="0" applyFont="1" applyFill="1" applyBorder="1" applyAlignment="1">
      <alignment horizontal="left" vertical="center"/>
    </xf>
    <xf numFmtId="0" fontId="0" fillId="10" borderId="6" xfId="0" applyFill="1" applyBorder="1" applyAlignment="1">
      <alignment horizontal="left" vertical="center"/>
    </xf>
    <xf numFmtId="0" fontId="0" fillId="20" borderId="6" xfId="0" applyFill="1" applyBorder="1" applyAlignment="1">
      <alignment horizontal="left" vertical="center"/>
    </xf>
    <xf numFmtId="0" fontId="0" fillId="10" borderId="103" xfId="0" applyFill="1" applyBorder="1" applyAlignment="1">
      <alignment horizontal="left" vertical="center"/>
    </xf>
    <xf numFmtId="0" fontId="0" fillId="20" borderId="103" xfId="0" applyFill="1" applyBorder="1" applyAlignment="1">
      <alignment horizontal="left" vertical="center"/>
    </xf>
    <xf numFmtId="0" fontId="49" fillId="20" borderId="177" xfId="0" applyFont="1" applyFill="1" applyBorder="1" applyAlignment="1">
      <alignment horizontal="left" vertical="center" wrapText="1"/>
    </xf>
    <xf numFmtId="167" fontId="49" fillId="20" borderId="175" xfId="0" applyNumberFormat="1" applyFont="1" applyFill="1" applyBorder="1" applyAlignment="1">
      <alignment horizontal="left" vertical="center"/>
    </xf>
    <xf numFmtId="0" fontId="49" fillId="20" borderId="175" xfId="0" quotePrefix="1" applyFont="1" applyFill="1" applyBorder="1" applyAlignment="1">
      <alignment horizontal="left" vertical="center"/>
    </xf>
    <xf numFmtId="0" fontId="49" fillId="20" borderId="178" xfId="0" applyFont="1" applyFill="1" applyBorder="1" applyAlignment="1">
      <alignment horizontal="left" vertical="center"/>
    </xf>
    <xf numFmtId="0" fontId="46" fillId="11" borderId="175" xfId="0" applyFont="1" applyFill="1" applyBorder="1" applyAlignment="1">
      <alignment horizontal="left" vertical="center"/>
    </xf>
    <xf numFmtId="0" fontId="49" fillId="7" borderId="123" xfId="3" quotePrefix="1" applyFont="1" applyFill="1" applyBorder="1" applyAlignment="1">
      <alignment horizontal="center" vertical="center"/>
    </xf>
    <xf numFmtId="0" fontId="49" fillId="16" borderId="123" xfId="3" quotePrefix="1" applyFont="1" applyFill="1" applyBorder="1" applyAlignment="1">
      <alignment horizontal="center" vertical="center"/>
    </xf>
    <xf numFmtId="0" fontId="48" fillId="8" borderId="98" xfId="0" applyFont="1" applyFill="1" applyBorder="1" applyAlignment="1">
      <alignment horizontal="center" vertical="center"/>
    </xf>
    <xf numFmtId="0" fontId="48" fillId="8" borderId="123" xfId="0" applyFont="1" applyFill="1" applyBorder="1" applyAlignment="1">
      <alignment horizontal="center" vertical="center"/>
    </xf>
    <xf numFmtId="0" fontId="48" fillId="21" borderId="123" xfId="0" applyFont="1" applyFill="1" applyBorder="1" applyAlignment="1">
      <alignment horizontal="center" vertical="center"/>
    </xf>
    <xf numFmtId="0" fontId="48" fillId="10" borderId="123" xfId="0" applyFont="1" applyFill="1" applyBorder="1" applyAlignment="1">
      <alignment horizontal="center" vertical="center"/>
    </xf>
    <xf numFmtId="0" fontId="48" fillId="22" borderId="123" xfId="0" applyFont="1" applyFill="1" applyBorder="1" applyAlignment="1">
      <alignment horizontal="center" vertical="center"/>
    </xf>
    <xf numFmtId="0" fontId="48" fillId="20" borderId="123" xfId="0" applyFont="1" applyFill="1" applyBorder="1" applyAlignment="1">
      <alignment horizontal="center" vertical="center"/>
    </xf>
    <xf numFmtId="0" fontId="48" fillId="12" borderId="123" xfId="0" applyFont="1" applyFill="1" applyBorder="1" applyAlignment="1">
      <alignment horizontal="center" vertical="center"/>
    </xf>
    <xf numFmtId="0" fontId="48" fillId="18" borderId="123" xfId="0" applyFont="1" applyFill="1" applyBorder="1" applyAlignment="1">
      <alignment horizontal="center" vertical="center"/>
    </xf>
    <xf numFmtId="0" fontId="48" fillId="9" borderId="123" xfId="0" applyFont="1" applyFill="1" applyBorder="1" applyAlignment="1">
      <alignment horizontal="center" vertical="center"/>
    </xf>
    <xf numFmtId="0" fontId="48" fillId="9" borderId="137" xfId="0" applyFont="1" applyFill="1" applyBorder="1" applyAlignment="1">
      <alignment horizontal="center" vertical="center"/>
    </xf>
    <xf numFmtId="0" fontId="57" fillId="7" borderId="123" xfId="0" applyFont="1" applyFill="1" applyBorder="1" applyAlignment="1">
      <alignment horizontal="center" vertical="center"/>
    </xf>
    <xf numFmtId="0" fontId="57" fillId="16" borderId="123" xfId="0" applyFont="1" applyFill="1" applyBorder="1" applyAlignment="1">
      <alignment horizontal="center" vertical="center"/>
    </xf>
    <xf numFmtId="0" fontId="57" fillId="15" borderId="123" xfId="0" applyFont="1" applyFill="1" applyBorder="1" applyAlignment="1">
      <alignment horizontal="center" vertical="center"/>
    </xf>
    <xf numFmtId="0" fontId="57" fillId="15" borderId="166" xfId="0" applyFont="1" applyFill="1" applyBorder="1" applyAlignment="1">
      <alignment horizontal="center" vertical="center"/>
    </xf>
    <xf numFmtId="0" fontId="57" fillId="28" borderId="175" xfId="0" applyFont="1" applyFill="1" applyBorder="1" applyAlignment="1">
      <alignment horizontal="center" vertical="center"/>
    </xf>
    <xf numFmtId="0" fontId="49" fillId="7" borderId="123" xfId="0" applyFont="1" applyFill="1" applyBorder="1" applyAlignment="1">
      <alignment horizontal="left" vertical="center"/>
    </xf>
    <xf numFmtId="0" fontId="49" fillId="16" borderId="123" xfId="0" applyFont="1" applyFill="1" applyBorder="1" applyAlignment="1">
      <alignment horizontal="left" vertical="center"/>
    </xf>
    <xf numFmtId="0" fontId="49" fillId="15" borderId="123" xfId="0" applyFont="1" applyFill="1" applyBorder="1" applyAlignment="1">
      <alignment horizontal="left" vertical="center"/>
    </xf>
    <xf numFmtId="0" fontId="49" fillId="15" borderId="166" xfId="0" applyFont="1" applyFill="1" applyBorder="1" applyAlignment="1">
      <alignment horizontal="left" vertical="center"/>
    </xf>
    <xf numFmtId="0" fontId="46" fillId="8" borderId="169" xfId="0" quotePrefix="1" applyFont="1" applyFill="1" applyBorder="1" applyAlignment="1">
      <alignment horizontal="center" vertical="center"/>
    </xf>
    <xf numFmtId="0" fontId="46" fillId="8" borderId="166" xfId="0" quotePrefix="1" applyFont="1" applyFill="1" applyBorder="1" applyAlignment="1">
      <alignment horizontal="center" vertical="center"/>
    </xf>
    <xf numFmtId="0" fontId="46" fillId="21" borderId="166" xfId="0" quotePrefix="1" applyFont="1" applyFill="1" applyBorder="1" applyAlignment="1">
      <alignment horizontal="center" vertical="center"/>
    </xf>
    <xf numFmtId="0" fontId="46" fillId="10" borderId="166" xfId="0" applyFont="1" applyFill="1" applyBorder="1" applyAlignment="1">
      <alignment horizontal="center" vertical="center"/>
    </xf>
    <xf numFmtId="0" fontId="46" fillId="12" borderId="166" xfId="0" quotePrefix="1" applyFont="1" applyFill="1" applyBorder="1" applyAlignment="1">
      <alignment horizontal="center" vertical="center"/>
    </xf>
    <xf numFmtId="0" fontId="46" fillId="12" borderId="166" xfId="0" applyFont="1" applyFill="1" applyBorder="1" applyAlignment="1">
      <alignment horizontal="center" vertical="center"/>
    </xf>
    <xf numFmtId="0" fontId="46" fillId="18" borderId="166" xfId="0" quotePrefix="1" applyFont="1" applyFill="1" applyBorder="1" applyAlignment="1">
      <alignment horizontal="center" vertical="center"/>
    </xf>
    <xf numFmtId="0" fontId="46" fillId="18" borderId="166" xfId="0" applyFont="1" applyFill="1" applyBorder="1" applyAlignment="1">
      <alignment horizontal="center" vertical="center"/>
    </xf>
    <xf numFmtId="0" fontId="46" fillId="9" borderId="166" xfId="0" applyFont="1" applyFill="1" applyBorder="1" applyAlignment="1">
      <alignment horizontal="center" vertical="center"/>
    </xf>
    <xf numFmtId="0" fontId="49" fillId="7" borderId="166" xfId="3" quotePrefix="1" applyFont="1" applyFill="1" applyBorder="1" applyAlignment="1">
      <alignment horizontal="center" vertical="center"/>
    </xf>
    <xf numFmtId="0" fontId="46" fillId="7" borderId="166" xfId="0" applyFont="1" applyFill="1" applyBorder="1" applyAlignment="1">
      <alignment horizontal="center" vertical="center"/>
    </xf>
    <xf numFmtId="0" fontId="46" fillId="7" borderId="166" xfId="0" quotePrefix="1" applyFont="1" applyFill="1" applyBorder="1" applyAlignment="1">
      <alignment horizontal="center" vertical="center"/>
    </xf>
    <xf numFmtId="0" fontId="46" fillId="16" borderId="166" xfId="0" quotePrefix="1" applyFont="1" applyFill="1" applyBorder="1" applyAlignment="1">
      <alignment horizontal="center" vertical="center"/>
    </xf>
    <xf numFmtId="0" fontId="46" fillId="9" borderId="166" xfId="0" quotePrefix="1" applyFont="1" applyFill="1" applyBorder="1" applyAlignment="1">
      <alignment horizontal="center" vertical="center"/>
    </xf>
    <xf numFmtId="0" fontId="49" fillId="9" borderId="166" xfId="3" quotePrefix="1" applyFont="1" applyFill="1" applyBorder="1" applyAlignment="1">
      <alignment horizontal="center" vertical="center"/>
    </xf>
    <xf numFmtId="0" fontId="46" fillId="9" borderId="175" xfId="0" quotePrefix="1" applyFont="1" applyFill="1" applyBorder="1" applyAlignment="1">
      <alignment horizontal="center" vertical="center"/>
    </xf>
    <xf numFmtId="0" fontId="46" fillId="15" borderId="166" xfId="0" applyFont="1" applyFill="1" applyBorder="1" applyAlignment="1">
      <alignment horizontal="center" vertical="center"/>
    </xf>
    <xf numFmtId="0" fontId="46" fillId="4" borderId="166" xfId="0" applyFont="1" applyFill="1" applyBorder="1" applyAlignment="1">
      <alignment horizontal="center" vertical="center"/>
    </xf>
    <xf numFmtId="0" fontId="91" fillId="28" borderId="175" xfId="0" applyFont="1" applyFill="1" applyBorder="1" applyAlignment="1">
      <alignment horizontal="center" vertical="center"/>
    </xf>
    <xf numFmtId="0" fontId="0" fillId="28" borderId="175" xfId="0" applyFill="1" applyBorder="1" applyAlignment="1">
      <alignment horizontal="center" vertical="center"/>
    </xf>
    <xf numFmtId="0" fontId="46" fillId="18" borderId="140" xfId="0" applyFont="1" applyFill="1" applyBorder="1" applyAlignment="1">
      <alignment horizontal="left" vertical="center"/>
    </xf>
    <xf numFmtId="0" fontId="57" fillId="28" borderId="175" xfId="0" applyFont="1" applyFill="1" applyBorder="1" applyAlignment="1">
      <alignment horizontal="left" vertical="center"/>
    </xf>
    <xf numFmtId="0" fontId="49" fillId="5" borderId="169" xfId="0" applyFont="1" applyFill="1" applyBorder="1" applyAlignment="1">
      <alignment horizontal="center" vertical="center"/>
    </xf>
    <xf numFmtId="0" fontId="49" fillId="5" borderId="127" xfId="0" applyFont="1" applyFill="1" applyBorder="1" applyAlignment="1">
      <alignment horizontal="center" vertical="center"/>
    </xf>
    <xf numFmtId="0" fontId="49" fillId="5" borderId="88" xfId="0" quotePrefix="1" applyFont="1" applyFill="1" applyBorder="1" applyAlignment="1">
      <alignment horizontal="center" vertical="center"/>
    </xf>
    <xf numFmtId="0" fontId="49" fillId="5" borderId="166" xfId="0" applyFont="1" applyFill="1" applyBorder="1" applyAlignment="1">
      <alignment horizontal="center" vertical="center"/>
    </xf>
    <xf numFmtId="0" fontId="49" fillId="5" borderId="128" xfId="0" quotePrefix="1" applyFont="1" applyFill="1" applyBorder="1" applyAlignment="1">
      <alignment horizontal="center" vertical="center"/>
    </xf>
    <xf numFmtId="0" fontId="49" fillId="5" borderId="8" xfId="0" quotePrefix="1" applyFont="1" applyFill="1" applyBorder="1" applyAlignment="1">
      <alignment horizontal="center" vertical="center"/>
    </xf>
    <xf numFmtId="0" fontId="49" fillId="5" borderId="153" xfId="0" applyFont="1" applyFill="1" applyBorder="1" applyAlignment="1">
      <alignment horizontal="center" vertical="center"/>
    </xf>
    <xf numFmtId="0" fontId="46" fillId="5" borderId="166" xfId="0" applyFont="1" applyFill="1" applyBorder="1" applyAlignment="1">
      <alignment horizontal="center" vertical="center"/>
    </xf>
    <xf numFmtId="0" fontId="46" fillId="5" borderId="138" xfId="0" applyFont="1" applyFill="1" applyBorder="1" applyAlignment="1">
      <alignment horizontal="center" vertical="center"/>
    </xf>
    <xf numFmtId="0" fontId="29" fillId="7" borderId="4" xfId="0" applyFont="1" applyFill="1" applyBorder="1" applyAlignment="1">
      <alignment horizontal="left" vertical="center"/>
    </xf>
    <xf numFmtId="0" fontId="48" fillId="5" borderId="86" xfId="0" applyFont="1" applyFill="1" applyBorder="1" applyAlignment="1">
      <alignment horizontal="left" vertical="center"/>
    </xf>
    <xf numFmtId="0" fontId="48" fillId="5" borderId="7" xfId="0" applyFont="1" applyFill="1" applyBorder="1" applyAlignment="1">
      <alignment horizontal="left" vertical="center"/>
    </xf>
    <xf numFmtId="0" fontId="48" fillId="5" borderId="9" xfId="0" applyFont="1" applyFill="1" applyBorder="1" applyAlignment="1">
      <alignment horizontal="left" vertical="center"/>
    </xf>
    <xf numFmtId="0" fontId="49" fillId="0" borderId="179" xfId="0" applyFont="1" applyFill="1" applyBorder="1" applyAlignment="1">
      <alignment horizontal="left" vertical="center"/>
    </xf>
    <xf numFmtId="0" fontId="49" fillId="0" borderId="180" xfId="0" quotePrefix="1" applyFont="1" applyFill="1" applyBorder="1" applyAlignment="1">
      <alignment horizontal="left" vertical="center" wrapText="1"/>
    </xf>
    <xf numFmtId="165" fontId="49" fillId="0" borderId="180" xfId="0" applyNumberFormat="1" applyFont="1" applyFill="1" applyBorder="1" applyAlignment="1">
      <alignment horizontal="left" vertical="center"/>
    </xf>
    <xf numFmtId="0" fontId="49" fillId="0" borderId="178" xfId="0" quotePrefix="1" applyFont="1" applyFill="1" applyBorder="1" applyAlignment="1">
      <alignment horizontal="left" vertical="center"/>
    </xf>
    <xf numFmtId="0" fontId="49" fillId="0" borderId="102" xfId="0" quotePrefix="1" applyFont="1" applyFill="1" applyBorder="1" applyAlignment="1">
      <alignment horizontal="left" vertical="center"/>
    </xf>
    <xf numFmtId="0" fontId="49" fillId="0" borderId="181" xfId="0" quotePrefix="1" applyFont="1" applyFill="1" applyBorder="1" applyAlignment="1">
      <alignment horizontal="left" vertical="center"/>
    </xf>
    <xf numFmtId="0" fontId="48" fillId="8" borderId="192" xfId="0" applyFont="1" applyFill="1" applyBorder="1" applyAlignment="1">
      <alignment horizontal="center" vertical="center"/>
    </xf>
    <xf numFmtId="0" fontId="48" fillId="8" borderId="177" xfId="0" applyFont="1" applyFill="1" applyBorder="1" applyAlignment="1">
      <alignment horizontal="center" vertical="center"/>
    </xf>
    <xf numFmtId="0" fontId="48" fillId="21" borderId="177" xfId="0" applyFont="1" applyFill="1" applyBorder="1" applyAlignment="1">
      <alignment horizontal="center" vertical="center"/>
    </xf>
    <xf numFmtId="0" fontId="48" fillId="11" borderId="177" xfId="0" applyFont="1" applyFill="1" applyBorder="1" applyAlignment="1">
      <alignment horizontal="center" vertical="center"/>
    </xf>
    <xf numFmtId="0" fontId="48" fillId="10" borderId="177" xfId="0" applyFont="1" applyFill="1" applyBorder="1" applyAlignment="1">
      <alignment horizontal="center" vertical="center"/>
    </xf>
    <xf numFmtId="0" fontId="48" fillId="22" borderId="177" xfId="0" applyFont="1" applyFill="1" applyBorder="1" applyAlignment="1">
      <alignment horizontal="center" vertical="center"/>
    </xf>
    <xf numFmtId="0" fontId="48" fillId="20" borderId="177" xfId="0" applyFont="1" applyFill="1" applyBorder="1" applyAlignment="1">
      <alignment horizontal="center" vertical="center"/>
    </xf>
    <xf numFmtId="0" fontId="48" fillId="12" borderId="177" xfId="0" applyFont="1" applyFill="1" applyBorder="1" applyAlignment="1">
      <alignment horizontal="center" vertical="center"/>
    </xf>
    <xf numFmtId="0" fontId="48" fillId="18" borderId="177" xfId="0" applyFont="1" applyFill="1" applyBorder="1" applyAlignment="1">
      <alignment horizontal="center" vertical="center"/>
    </xf>
    <xf numFmtId="0" fontId="48" fillId="9" borderId="177" xfId="0" applyFont="1" applyFill="1" applyBorder="1" applyAlignment="1">
      <alignment horizontal="center" vertical="center"/>
    </xf>
    <xf numFmtId="0" fontId="57" fillId="7" borderId="177" xfId="0" applyFont="1" applyFill="1" applyBorder="1" applyAlignment="1">
      <alignment horizontal="center" vertical="center"/>
    </xf>
    <xf numFmtId="0" fontId="48" fillId="16" borderId="177" xfId="0" applyFont="1" applyFill="1" applyBorder="1" applyAlignment="1">
      <alignment horizontal="center" vertical="center"/>
    </xf>
    <xf numFmtId="0" fontId="57" fillId="16" borderId="177" xfId="0" applyFont="1" applyFill="1" applyBorder="1" applyAlignment="1">
      <alignment horizontal="center" vertical="center"/>
    </xf>
    <xf numFmtId="0" fontId="29" fillId="9" borderId="177" xfId="0" applyFont="1" applyFill="1" applyBorder="1" applyAlignment="1">
      <alignment horizontal="center" vertical="center"/>
    </xf>
    <xf numFmtId="0" fontId="57" fillId="15" borderId="177" xfId="0" applyFont="1" applyFill="1" applyBorder="1" applyAlignment="1">
      <alignment horizontal="center" vertical="center"/>
    </xf>
    <xf numFmtId="0" fontId="57" fillId="28" borderId="177" xfId="0" applyFont="1" applyFill="1" applyBorder="1" applyAlignment="1">
      <alignment horizontal="center" vertical="center"/>
    </xf>
    <xf numFmtId="0" fontId="48" fillId="4" borderId="177" xfId="0" applyFont="1" applyFill="1" applyBorder="1" applyAlignment="1">
      <alignment horizontal="center" vertical="center"/>
    </xf>
    <xf numFmtId="0" fontId="57" fillId="28" borderId="178" xfId="0" applyFont="1" applyFill="1" applyBorder="1" applyAlignment="1">
      <alignment horizontal="left" vertical="center"/>
    </xf>
    <xf numFmtId="0" fontId="48" fillId="4" borderId="175" xfId="0" applyFont="1" applyFill="1" applyBorder="1" applyAlignment="1">
      <alignment horizontal="center" vertical="center"/>
    </xf>
    <xf numFmtId="0" fontId="46" fillId="4" borderId="175" xfId="0" applyFont="1" applyFill="1" applyBorder="1" applyAlignment="1">
      <alignment horizontal="left" vertical="center"/>
    </xf>
    <xf numFmtId="0" fontId="46" fillId="4" borderId="175" xfId="0" applyFont="1" applyFill="1" applyBorder="1" applyAlignment="1">
      <alignment horizontal="center" vertical="center"/>
    </xf>
    <xf numFmtId="0" fontId="46" fillId="4" borderId="178" xfId="0" applyFont="1" applyFill="1" applyBorder="1" applyAlignment="1">
      <alignment horizontal="left" vertical="center"/>
    </xf>
    <xf numFmtId="0" fontId="48" fillId="18" borderId="175" xfId="0" applyFont="1" applyFill="1" applyBorder="1" applyAlignment="1">
      <alignment horizontal="center" vertical="center"/>
    </xf>
    <xf numFmtId="0" fontId="46" fillId="18" borderId="175" xfId="0" applyFont="1" applyFill="1" applyBorder="1" applyAlignment="1">
      <alignment horizontal="left" vertical="center"/>
    </xf>
    <xf numFmtId="0" fontId="46" fillId="18" borderId="178" xfId="0" applyFont="1" applyFill="1" applyBorder="1" applyAlignment="1">
      <alignment horizontal="left" vertical="center"/>
    </xf>
    <xf numFmtId="0" fontId="29" fillId="7" borderId="1" xfId="0" applyFont="1" applyFill="1" applyBorder="1" applyAlignment="1">
      <alignment horizontal="left" vertical="center" wrapText="1"/>
    </xf>
    <xf numFmtId="0" fontId="48" fillId="7" borderId="92" xfId="0" applyFont="1" applyFill="1" applyBorder="1" applyAlignment="1">
      <alignment horizontal="left" vertical="center" wrapText="1"/>
    </xf>
    <xf numFmtId="2" fontId="46" fillId="0" borderId="6" xfId="0" applyNumberFormat="1" applyFont="1" applyFill="1" applyBorder="1" applyAlignment="1">
      <alignment horizontal="center" vertical="center"/>
    </xf>
    <xf numFmtId="2" fontId="46" fillId="0" borderId="15" xfId="0" applyNumberFormat="1" applyFont="1" applyFill="1" applyBorder="1" applyAlignment="1">
      <alignment horizontal="center" vertical="center"/>
    </xf>
    <xf numFmtId="0" fontId="46" fillId="0" borderId="123" xfId="0" applyFont="1" applyFill="1" applyBorder="1" applyAlignment="1">
      <alignment horizontal="center" vertical="center"/>
    </xf>
    <xf numFmtId="2" fontId="46" fillId="0" borderId="175" xfId="0" applyNumberFormat="1" applyFont="1" applyFill="1" applyBorder="1" applyAlignment="1">
      <alignment horizontal="center" vertical="center"/>
    </xf>
    <xf numFmtId="165" fontId="46" fillId="0" borderId="175" xfId="0" applyNumberFormat="1" applyFont="1" applyFill="1" applyBorder="1" applyAlignment="1">
      <alignment horizontal="center" vertical="center"/>
    </xf>
    <xf numFmtId="165" fontId="46" fillId="0" borderId="6" xfId="0" applyNumberFormat="1" applyFont="1" applyFill="1" applyBorder="1" applyAlignment="1">
      <alignment horizontal="center" vertical="center"/>
    </xf>
    <xf numFmtId="165" fontId="46" fillId="0" borderId="15" xfId="0" applyNumberFormat="1" applyFont="1" applyFill="1" applyBorder="1" applyAlignment="1">
      <alignment horizontal="center" vertical="center"/>
    </xf>
    <xf numFmtId="167" fontId="10" fillId="0" borderId="193" xfId="35" applyNumberFormat="1" applyFill="1" applyBorder="1" applyAlignment="1">
      <alignment horizontal="center" vertical="center"/>
    </xf>
    <xf numFmtId="165" fontId="10" fillId="0" borderId="193" xfId="35" applyNumberFormat="1" applyFill="1" applyBorder="1" applyAlignment="1">
      <alignment horizontal="center" vertical="center"/>
    </xf>
    <xf numFmtId="169" fontId="46" fillId="0" borderId="6" xfId="0" applyNumberFormat="1" applyFont="1" applyFill="1" applyBorder="1" applyAlignment="1">
      <alignment horizontal="center" vertical="center"/>
    </xf>
    <xf numFmtId="2" fontId="49" fillId="0" borderId="166" xfId="0" applyNumberFormat="1" applyFont="1" applyFill="1" applyBorder="1" applyAlignment="1">
      <alignment horizontal="left" vertical="center"/>
    </xf>
    <xf numFmtId="2" fontId="46" fillId="0" borderId="193" xfId="0" applyNumberFormat="1" applyFont="1" applyFill="1" applyBorder="1" applyAlignment="1">
      <alignment horizontal="center" vertical="center"/>
    </xf>
    <xf numFmtId="11" fontId="46" fillId="0" borderId="193" xfId="0" applyNumberFormat="1" applyFont="1" applyFill="1" applyBorder="1" applyAlignment="1">
      <alignment horizontal="center" vertical="center"/>
    </xf>
    <xf numFmtId="0" fontId="46" fillId="9" borderId="166" xfId="0" applyNumberFormat="1" applyFont="1" applyFill="1" applyBorder="1" applyAlignment="1">
      <alignment horizontal="center" vertical="center"/>
    </xf>
    <xf numFmtId="0" fontId="46" fillId="15" borderId="166" xfId="0" applyNumberFormat="1" applyFont="1" applyFill="1" applyBorder="1" applyAlignment="1">
      <alignment horizontal="center" vertical="center"/>
    </xf>
    <xf numFmtId="0" fontId="57" fillId="28" borderId="175" xfId="0" applyNumberFormat="1" applyFont="1" applyFill="1" applyBorder="1" applyAlignment="1">
      <alignment horizontal="center" vertical="center"/>
    </xf>
    <xf numFmtId="0" fontId="46" fillId="4" borderId="175" xfId="0" applyNumberFormat="1" applyFont="1" applyFill="1" applyBorder="1" applyAlignment="1">
      <alignment horizontal="center" vertical="center"/>
    </xf>
    <xf numFmtId="0" fontId="46" fillId="9" borderId="166" xfId="0" quotePrefix="1" applyNumberFormat="1" applyFont="1" applyFill="1" applyBorder="1" applyAlignment="1">
      <alignment horizontal="center" vertical="center"/>
    </xf>
    <xf numFmtId="0" fontId="49" fillId="16" borderId="123" xfId="3" quotePrefix="1" applyNumberFormat="1" applyFont="1" applyFill="1" applyBorder="1" applyAlignment="1">
      <alignment horizontal="center" vertical="center"/>
    </xf>
    <xf numFmtId="0" fontId="49" fillId="7" borderId="166" xfId="3" quotePrefix="1" applyNumberFormat="1" applyFont="1" applyFill="1" applyBorder="1" applyAlignment="1">
      <alignment horizontal="center" vertical="center"/>
    </xf>
    <xf numFmtId="0" fontId="46" fillId="7" borderId="166" xfId="0" applyNumberFormat="1" applyFont="1" applyFill="1" applyBorder="1" applyAlignment="1">
      <alignment horizontal="center" vertical="center"/>
    </xf>
    <xf numFmtId="0" fontId="46" fillId="7" borderId="166" xfId="0" quotePrefix="1" applyNumberFormat="1" applyFont="1" applyFill="1" applyBorder="1" applyAlignment="1">
      <alignment horizontal="center" vertical="center"/>
    </xf>
    <xf numFmtId="0" fontId="49" fillId="9" borderId="166" xfId="3" quotePrefix="1" applyNumberFormat="1" applyFont="1" applyFill="1" applyBorder="1" applyAlignment="1">
      <alignment horizontal="center" vertical="center"/>
    </xf>
    <xf numFmtId="0" fontId="49" fillId="7" borderId="123" xfId="3" quotePrefix="1" applyNumberFormat="1" applyFont="1" applyFill="1" applyBorder="1" applyAlignment="1">
      <alignment horizontal="center" vertical="center"/>
    </xf>
    <xf numFmtId="0" fontId="46" fillId="8" borderId="169" xfId="0" quotePrefix="1" applyNumberFormat="1" applyFont="1" applyFill="1" applyBorder="1" applyAlignment="1">
      <alignment horizontal="center" vertical="center"/>
    </xf>
    <xf numFmtId="0" fontId="46" fillId="8" borderId="166" xfId="0" quotePrefix="1" applyNumberFormat="1" applyFont="1" applyFill="1" applyBorder="1" applyAlignment="1">
      <alignment horizontal="center" vertical="center"/>
    </xf>
    <xf numFmtId="0" fontId="46" fillId="21" borderId="166" xfId="0" quotePrefix="1" applyNumberFormat="1" applyFont="1" applyFill="1" applyBorder="1" applyAlignment="1">
      <alignment horizontal="center" vertical="center"/>
    </xf>
    <xf numFmtId="0" fontId="46" fillId="10" borderId="166" xfId="0" applyNumberFormat="1" applyFont="1" applyFill="1" applyBorder="1" applyAlignment="1">
      <alignment horizontal="center" vertical="center"/>
    </xf>
    <xf numFmtId="0" fontId="46" fillId="12" borderId="166" xfId="0" quotePrefix="1" applyNumberFormat="1" applyFont="1" applyFill="1" applyBorder="1" applyAlignment="1">
      <alignment horizontal="center" vertical="center"/>
    </xf>
    <xf numFmtId="0" fontId="46" fillId="12" borderId="166" xfId="0" applyNumberFormat="1" applyFont="1" applyFill="1" applyBorder="1" applyAlignment="1">
      <alignment horizontal="center" vertical="center"/>
    </xf>
    <xf numFmtId="0" fontId="46" fillId="18" borderId="166" xfId="0" quotePrefix="1" applyNumberFormat="1" applyFont="1" applyFill="1" applyBorder="1" applyAlignment="1">
      <alignment horizontal="center" vertical="center"/>
    </xf>
    <xf numFmtId="0" fontId="46" fillId="18" borderId="166" xfId="0" applyNumberFormat="1" applyFont="1" applyFill="1" applyBorder="1" applyAlignment="1">
      <alignment horizontal="center" vertical="center"/>
    </xf>
    <xf numFmtId="0" fontId="46" fillId="16" borderId="166" xfId="0" quotePrefix="1" applyNumberFormat="1" applyFont="1" applyFill="1" applyBorder="1" applyAlignment="1">
      <alignment horizontal="center" vertical="center"/>
    </xf>
    <xf numFmtId="0" fontId="46" fillId="4" borderId="166" xfId="0" applyNumberFormat="1" applyFont="1" applyFill="1" applyBorder="1" applyAlignment="1">
      <alignment horizontal="center" vertical="center"/>
    </xf>
    <xf numFmtId="0" fontId="46" fillId="9" borderId="175" xfId="0" quotePrefix="1" applyNumberFormat="1" applyFont="1" applyFill="1" applyBorder="1" applyAlignment="1">
      <alignment horizontal="center" vertical="center"/>
    </xf>
    <xf numFmtId="0" fontId="91" fillId="28" borderId="175" xfId="0" applyNumberFormat="1" applyFont="1" applyFill="1" applyBorder="1" applyAlignment="1">
      <alignment horizontal="center" vertical="center"/>
    </xf>
    <xf numFmtId="0" fontId="48" fillId="5" borderId="0" xfId="0" applyFont="1" applyFill="1" applyBorder="1" applyAlignment="1">
      <alignment horizontal="left" vertical="center"/>
    </xf>
    <xf numFmtId="0" fontId="46" fillId="10" borderId="123" xfId="0" quotePrefix="1" applyNumberFormat="1" applyFont="1" applyFill="1" applyBorder="1" applyAlignment="1">
      <alignment horizontal="left" vertical="center"/>
    </xf>
    <xf numFmtId="0" fontId="46" fillId="22" borderId="123" xfId="0" quotePrefix="1" applyNumberFormat="1" applyFont="1" applyFill="1" applyBorder="1" applyAlignment="1">
      <alignment horizontal="left" vertical="center"/>
    </xf>
    <xf numFmtId="0" fontId="46" fillId="28" borderId="175" xfId="0" quotePrefix="1" applyNumberFormat="1" applyFont="1" applyFill="1" applyBorder="1" applyAlignment="1">
      <alignment horizontal="left" vertical="center"/>
    </xf>
    <xf numFmtId="0" fontId="46" fillId="30" borderId="98" xfId="0" quotePrefix="1" applyNumberFormat="1" applyFont="1" applyFill="1" applyBorder="1" applyAlignment="1">
      <alignment horizontal="left" vertical="center"/>
    </xf>
    <xf numFmtId="0" fontId="46" fillId="30" borderId="123" xfId="0" quotePrefix="1" applyNumberFormat="1" applyFont="1" applyFill="1" applyBorder="1" applyAlignment="1">
      <alignment horizontal="left" vertical="center"/>
    </xf>
    <xf numFmtId="0" fontId="46" fillId="31" borderId="123" xfId="0" quotePrefix="1" applyNumberFormat="1" applyFont="1" applyFill="1" applyBorder="1" applyAlignment="1">
      <alignment horizontal="left" vertical="center"/>
    </xf>
    <xf numFmtId="0" fontId="46" fillId="32" borderId="175" xfId="0" quotePrefix="1" applyNumberFormat="1" applyFont="1" applyFill="1" applyBorder="1" applyAlignment="1">
      <alignment horizontal="left" vertical="center"/>
    </xf>
    <xf numFmtId="0" fontId="46" fillId="33" borderId="123" xfId="0" quotePrefix="1" applyNumberFormat="1" applyFont="1" applyFill="1" applyBorder="1" applyAlignment="1">
      <alignment horizontal="left" vertical="center"/>
    </xf>
    <xf numFmtId="0" fontId="46" fillId="34" borderId="123" xfId="0" quotePrefix="1" applyNumberFormat="1" applyFont="1" applyFill="1" applyBorder="1" applyAlignment="1">
      <alignment horizontal="left" vertical="center"/>
    </xf>
    <xf numFmtId="0" fontId="46" fillId="35" borderId="123" xfId="0" quotePrefix="1" applyNumberFormat="1" applyFont="1" applyFill="1" applyBorder="1" applyAlignment="1">
      <alignment horizontal="left" vertical="center"/>
    </xf>
    <xf numFmtId="0" fontId="46" fillId="36" borderId="123" xfId="0" quotePrefix="1" applyNumberFormat="1" applyFont="1" applyFill="1" applyBorder="1" applyAlignment="1">
      <alignment horizontal="left" vertical="center"/>
    </xf>
    <xf numFmtId="0" fontId="46" fillId="36" borderId="137" xfId="0" quotePrefix="1" applyNumberFormat="1" applyFont="1" applyFill="1" applyBorder="1" applyAlignment="1">
      <alignment horizontal="left" vertical="center"/>
    </xf>
    <xf numFmtId="0" fontId="46" fillId="37" borderId="166" xfId="0" quotePrefix="1" applyNumberFormat="1" applyFont="1" applyFill="1" applyBorder="1" applyAlignment="1">
      <alignment horizontal="left" vertical="center"/>
    </xf>
    <xf numFmtId="0" fontId="46" fillId="38" borderId="123" xfId="0" quotePrefix="1" applyNumberFormat="1" applyFont="1" applyFill="1" applyBorder="1" applyAlignment="1">
      <alignment horizontal="left" vertical="center"/>
    </xf>
    <xf numFmtId="0" fontId="46" fillId="36" borderId="166" xfId="0" quotePrefix="1" applyNumberFormat="1" applyFont="1" applyFill="1" applyBorder="1" applyAlignment="1">
      <alignment horizontal="left" vertical="center"/>
    </xf>
    <xf numFmtId="0" fontId="46" fillId="39" borderId="123" xfId="0" quotePrefix="1" applyNumberFormat="1" applyFont="1" applyFill="1" applyBorder="1" applyAlignment="1">
      <alignment horizontal="left" vertical="center"/>
    </xf>
    <xf numFmtId="0" fontId="46" fillId="39" borderId="166" xfId="0" quotePrefix="1" applyNumberFormat="1" applyFont="1" applyFill="1" applyBorder="1" applyAlignment="1">
      <alignment horizontal="left" vertical="center"/>
    </xf>
    <xf numFmtId="0" fontId="46" fillId="40" borderId="123" xfId="0" quotePrefix="1" applyNumberFormat="1" applyFont="1" applyFill="1" applyBorder="1" applyAlignment="1">
      <alignment horizontal="left" vertical="center"/>
    </xf>
    <xf numFmtId="0" fontId="46" fillId="40" borderId="175" xfId="0" quotePrefix="1" applyNumberFormat="1" applyFont="1" applyFill="1" applyBorder="1" applyAlignment="1">
      <alignment horizontal="left" vertical="center"/>
    </xf>
    <xf numFmtId="0" fontId="46" fillId="35" borderId="175" xfId="0" quotePrefix="1" applyNumberFormat="1" applyFont="1" applyFill="1" applyBorder="1" applyAlignment="1">
      <alignment horizontal="left" vertical="center"/>
    </xf>
    <xf numFmtId="0" fontId="46" fillId="35" borderId="137" xfId="0" quotePrefix="1" applyNumberFormat="1" applyFont="1" applyFill="1" applyBorder="1" applyAlignment="1">
      <alignment horizontal="left" vertical="center"/>
    </xf>
    <xf numFmtId="2" fontId="49" fillId="11" borderId="166" xfId="0" applyNumberFormat="1" applyFont="1" applyFill="1" applyBorder="1" applyAlignment="1">
      <alignment horizontal="center" vertical="center"/>
    </xf>
    <xf numFmtId="0" fontId="49" fillId="20" borderId="194" xfId="0" quotePrefix="1" applyFont="1" applyFill="1" applyBorder="1" applyAlignment="1">
      <alignment horizontal="left" vertical="center"/>
    </xf>
    <xf numFmtId="0" fontId="52" fillId="0" borderId="0" xfId="4" applyAlignment="1" applyProtection="1">
      <alignment horizontal="left"/>
    </xf>
    <xf numFmtId="0" fontId="48" fillId="7" borderId="191" xfId="0" applyFont="1" applyFill="1" applyBorder="1" applyAlignment="1">
      <alignment horizontal="center" vertical="center" wrapText="1"/>
    </xf>
    <xf numFmtId="0" fontId="49" fillId="9" borderId="117" xfId="0" applyFont="1" applyFill="1" applyBorder="1" applyAlignment="1">
      <alignment horizontal="left" vertical="center" wrapText="1"/>
    </xf>
    <xf numFmtId="2" fontId="49" fillId="9" borderId="118" xfId="0" applyNumberFormat="1" applyFont="1" applyFill="1" applyBorder="1" applyAlignment="1">
      <alignment horizontal="left" vertical="center" wrapText="1"/>
    </xf>
    <xf numFmtId="2" fontId="49" fillId="9" borderId="118" xfId="0" applyNumberFormat="1" applyFont="1" applyFill="1" applyBorder="1" applyAlignment="1">
      <alignment horizontal="center" vertical="center" wrapText="1"/>
    </xf>
    <xf numFmtId="0" fontId="49" fillId="9" borderId="118" xfId="0" applyFont="1" applyFill="1" applyBorder="1" applyAlignment="1">
      <alignment horizontal="center" vertical="center" wrapText="1"/>
    </xf>
    <xf numFmtId="0" fontId="49" fillId="9" borderId="134" xfId="0" applyFont="1" applyFill="1" applyBorder="1" applyAlignment="1">
      <alignment horizontal="left" vertical="center" wrapText="1"/>
    </xf>
    <xf numFmtId="2" fontId="49" fillId="9" borderId="169" xfId="0" applyNumberFormat="1" applyFont="1" applyFill="1" applyBorder="1" applyAlignment="1">
      <alignment horizontal="left" vertical="center" wrapText="1"/>
    </xf>
    <xf numFmtId="2" fontId="49" fillId="9" borderId="169" xfId="0" applyNumberFormat="1" applyFont="1" applyFill="1" applyBorder="1" applyAlignment="1">
      <alignment horizontal="center" vertical="center" wrapText="1"/>
    </xf>
    <xf numFmtId="0" fontId="49" fillId="9" borderId="177" xfId="0" applyFont="1" applyFill="1" applyBorder="1" applyAlignment="1">
      <alignment horizontal="left" vertical="center" wrapText="1"/>
    </xf>
    <xf numFmtId="2" fontId="49" fillId="9" borderId="193" xfId="0" applyNumberFormat="1" applyFont="1" applyFill="1" applyBorder="1" applyAlignment="1">
      <alignment horizontal="left" vertical="center" wrapText="1"/>
    </xf>
    <xf numFmtId="2" fontId="49" fillId="9" borderId="193" xfId="0" applyNumberFormat="1" applyFont="1" applyFill="1" applyBorder="1" applyAlignment="1">
      <alignment horizontal="center" vertical="center" wrapText="1"/>
    </xf>
    <xf numFmtId="0" fontId="49" fillId="9" borderId="193" xfId="0" applyFont="1" applyFill="1" applyBorder="1" applyAlignment="1">
      <alignment horizontal="center" vertical="center" wrapText="1"/>
    </xf>
    <xf numFmtId="0" fontId="49" fillId="9" borderId="179" xfId="0" applyFont="1" applyFill="1" applyBorder="1" applyAlignment="1">
      <alignment horizontal="left" vertical="center" wrapText="1"/>
    </xf>
    <xf numFmtId="2" fontId="49" fillId="9" borderId="180" xfId="0" applyNumberFormat="1" applyFont="1" applyFill="1" applyBorder="1" applyAlignment="1">
      <alignment horizontal="left" vertical="center" wrapText="1"/>
    </xf>
    <xf numFmtId="2" fontId="49" fillId="9" borderId="180" xfId="0" applyNumberFormat="1" applyFont="1" applyFill="1" applyBorder="1" applyAlignment="1">
      <alignment horizontal="center" vertical="center" wrapText="1"/>
    </xf>
    <xf numFmtId="0" fontId="49" fillId="9" borderId="180" xfId="0" applyFont="1" applyFill="1" applyBorder="1" applyAlignment="1">
      <alignment horizontal="center" vertical="center" wrapText="1"/>
    </xf>
    <xf numFmtId="2" fontId="49" fillId="9" borderId="194" xfId="0" applyNumberFormat="1" applyFont="1" applyFill="1" applyBorder="1" applyAlignment="1">
      <alignment horizontal="left" vertical="center" wrapText="1"/>
    </xf>
    <xf numFmtId="2" fontId="49" fillId="9" borderId="194" xfId="0" applyNumberFormat="1" applyFont="1" applyFill="1" applyBorder="1" applyAlignment="1">
      <alignment horizontal="center" vertical="center" wrapText="1"/>
    </xf>
    <xf numFmtId="0" fontId="49" fillId="9" borderId="194" xfId="0" applyFont="1" applyFill="1" applyBorder="1" applyAlignment="1">
      <alignment horizontal="center" vertical="center" wrapText="1"/>
    </xf>
    <xf numFmtId="0" fontId="56" fillId="7" borderId="2" xfId="0" applyFont="1" applyFill="1" applyBorder="1" applyAlignment="1">
      <alignment horizontal="left" vertical="center" wrapText="1"/>
    </xf>
    <xf numFmtId="0" fontId="0" fillId="11" borderId="166" xfId="0" applyFill="1" applyBorder="1" applyAlignment="1">
      <alignment horizontal="left"/>
    </xf>
    <xf numFmtId="0" fontId="0" fillId="19" borderId="166" xfId="0" applyFill="1" applyBorder="1" applyAlignment="1">
      <alignment horizontal="left"/>
    </xf>
    <xf numFmtId="0" fontId="0" fillId="19" borderId="138" xfId="0" applyFill="1" applyBorder="1" applyAlignment="1">
      <alignment horizontal="left"/>
    </xf>
    <xf numFmtId="0" fontId="56" fillId="7" borderId="78" xfId="0" applyFont="1" applyFill="1" applyBorder="1" applyAlignment="1">
      <alignment horizontal="left" vertical="center" wrapText="1"/>
    </xf>
    <xf numFmtId="0" fontId="57" fillId="7" borderId="64" xfId="0" applyFont="1" applyFill="1" applyBorder="1" applyAlignment="1">
      <alignment horizontal="left" vertical="center" wrapText="1"/>
    </xf>
    <xf numFmtId="0" fontId="57" fillId="7" borderId="90" xfId="0" applyFont="1" applyFill="1" applyBorder="1" applyAlignment="1">
      <alignment horizontal="left" vertical="center" wrapText="1"/>
    </xf>
    <xf numFmtId="0" fontId="57" fillId="7" borderId="132" xfId="0" applyFont="1" applyFill="1" applyBorder="1" applyAlignment="1">
      <alignment horizontal="left" vertical="center" wrapText="1"/>
    </xf>
    <xf numFmtId="0" fontId="49" fillId="8" borderId="6" xfId="0" applyFont="1" applyFill="1" applyBorder="1" applyAlignment="1">
      <alignment horizontal="left" vertical="center" wrapText="1"/>
    </xf>
    <xf numFmtId="0" fontId="49" fillId="8" borderId="8" xfId="0" applyFont="1" applyFill="1" applyBorder="1" applyAlignment="1">
      <alignment horizontal="left" vertical="center" wrapText="1"/>
    </xf>
    <xf numFmtId="0" fontId="49" fillId="8" borderId="72" xfId="0" applyFont="1" applyFill="1" applyBorder="1" applyAlignment="1">
      <alignment horizontal="left" vertical="center" wrapText="1"/>
    </xf>
    <xf numFmtId="0" fontId="49" fillId="8" borderId="140" xfId="0" applyFont="1" applyFill="1" applyBorder="1" applyAlignment="1">
      <alignment horizontal="left" vertical="center" wrapText="1"/>
    </xf>
    <xf numFmtId="0" fontId="53" fillId="8" borderId="73" xfId="0" applyFont="1" applyFill="1" applyBorder="1" applyAlignment="1">
      <alignment horizontal="left"/>
    </xf>
    <xf numFmtId="0" fontId="57" fillId="7" borderId="56" xfId="0" applyFont="1" applyFill="1" applyBorder="1" applyAlignment="1">
      <alignment horizontal="left" vertical="center" wrapText="1"/>
    </xf>
    <xf numFmtId="0" fontId="49" fillId="21" borderId="109" xfId="0" applyFont="1" applyFill="1" applyBorder="1" applyAlignment="1">
      <alignment horizontal="left" vertical="center" wrapText="1"/>
    </xf>
    <xf numFmtId="0" fontId="49" fillId="21" borderId="106" xfId="0" applyFont="1" applyFill="1" applyBorder="1" applyAlignment="1">
      <alignment horizontal="left" vertical="center" wrapText="1"/>
    </xf>
    <xf numFmtId="0" fontId="53" fillId="21" borderId="97" xfId="0" applyFont="1" applyFill="1" applyBorder="1" applyAlignment="1">
      <alignment horizontal="left" vertical="center" wrapText="1"/>
    </xf>
    <xf numFmtId="0" fontId="53" fillId="21" borderId="106" xfId="0" applyFont="1" applyFill="1" applyBorder="1" applyAlignment="1">
      <alignment horizontal="left" vertical="center" wrapText="1"/>
    </xf>
    <xf numFmtId="0" fontId="49" fillId="21" borderId="98" xfId="0" applyFont="1" applyFill="1" applyBorder="1" applyAlignment="1">
      <alignment horizontal="left" vertical="center" wrapText="1"/>
    </xf>
    <xf numFmtId="0" fontId="49" fillId="21" borderId="102" xfId="0" applyFont="1" applyFill="1" applyBorder="1" applyAlignment="1">
      <alignment horizontal="left" vertical="center" wrapText="1"/>
    </xf>
    <xf numFmtId="0" fontId="49" fillId="21" borderId="11" xfId="0" applyFont="1" applyFill="1" applyBorder="1" applyAlignment="1">
      <alignment horizontal="left" vertical="center" wrapText="1"/>
    </xf>
    <xf numFmtId="0" fontId="49" fillId="11" borderId="115" xfId="0" applyFont="1" applyFill="1" applyBorder="1" applyAlignment="1">
      <alignment horizontal="left" vertical="center" wrapText="1"/>
    </xf>
    <xf numFmtId="0" fontId="49" fillId="11" borderId="116" xfId="0" applyFont="1" applyFill="1" applyBorder="1" applyAlignment="1">
      <alignment horizontal="left" vertical="center" wrapText="1"/>
    </xf>
    <xf numFmtId="0" fontId="49" fillId="11" borderId="98" xfId="0" applyFont="1" applyFill="1" applyBorder="1" applyAlignment="1">
      <alignment horizontal="left" vertical="center" wrapText="1"/>
    </xf>
    <xf numFmtId="0" fontId="49" fillId="11" borderId="102" xfId="0" applyFont="1" applyFill="1" applyBorder="1" applyAlignment="1">
      <alignment horizontal="left" vertical="center" wrapText="1"/>
    </xf>
    <xf numFmtId="0" fontId="49" fillId="11" borderId="140" xfId="0" applyFont="1" applyFill="1" applyBorder="1" applyAlignment="1">
      <alignment horizontal="left" vertical="center" wrapText="1"/>
    </xf>
    <xf numFmtId="0" fontId="49" fillId="11" borderId="178" xfId="0" applyFont="1" applyFill="1" applyBorder="1" applyAlignment="1">
      <alignment horizontal="left" vertical="center" wrapText="1"/>
    </xf>
    <xf numFmtId="0" fontId="49" fillId="11" borderId="138" xfId="0" applyFont="1" applyFill="1" applyBorder="1" applyAlignment="1">
      <alignment horizontal="left" vertical="center" wrapText="1"/>
    </xf>
    <xf numFmtId="0" fontId="49" fillId="19" borderId="153" xfId="0" applyFont="1" applyFill="1" applyBorder="1" applyAlignment="1">
      <alignment horizontal="left" vertical="center" wrapText="1"/>
    </xf>
    <xf numFmtId="0" fontId="49" fillId="19" borderId="140" xfId="0" applyFont="1" applyFill="1" applyBorder="1" applyAlignment="1">
      <alignment horizontal="left" vertical="center" wrapText="1"/>
    </xf>
    <xf numFmtId="0" fontId="49" fillId="19" borderId="125" xfId="0" applyFont="1" applyFill="1" applyBorder="1" applyAlignment="1">
      <alignment horizontal="left" vertical="center" wrapText="1"/>
    </xf>
    <xf numFmtId="0" fontId="49" fillId="19" borderId="100" xfId="0" applyFont="1" applyFill="1" applyBorder="1" applyAlignment="1">
      <alignment horizontal="left" vertical="center" wrapText="1"/>
    </xf>
    <xf numFmtId="0" fontId="49" fillId="19" borderId="154" xfId="0" applyFont="1" applyFill="1" applyBorder="1" applyAlignment="1">
      <alignment horizontal="left" vertical="center" wrapText="1"/>
    </xf>
    <xf numFmtId="0" fontId="49" fillId="19" borderId="138" xfId="0" applyFont="1" applyFill="1" applyBorder="1" applyAlignment="1">
      <alignment horizontal="left" vertical="center" wrapText="1"/>
    </xf>
    <xf numFmtId="0" fontId="35" fillId="7" borderId="78" xfId="0" applyFont="1" applyFill="1" applyBorder="1" applyAlignment="1">
      <alignment horizontal="left" vertical="center" wrapText="1"/>
    </xf>
    <xf numFmtId="0" fontId="53" fillId="10" borderId="83" xfId="0" applyFont="1" applyFill="1" applyBorder="1" applyAlignment="1">
      <alignment horizontal="left" vertical="center" wrapText="1"/>
    </xf>
    <xf numFmtId="0" fontId="53" fillId="10" borderId="84" xfId="0" applyFont="1" applyFill="1" applyBorder="1" applyAlignment="1">
      <alignment horizontal="left" vertical="center" wrapText="1"/>
    </xf>
    <xf numFmtId="0" fontId="53" fillId="10" borderId="102" xfId="0" applyFont="1" applyFill="1" applyBorder="1" applyAlignment="1">
      <alignment horizontal="left" vertical="center" wrapText="1"/>
    </xf>
    <xf numFmtId="0" fontId="53" fillId="10" borderId="8" xfId="0" applyFont="1" applyFill="1" applyBorder="1" applyAlignment="1">
      <alignment horizontal="left" vertical="center" wrapText="1"/>
    </xf>
    <xf numFmtId="0" fontId="49" fillId="10" borderId="140" xfId="0" applyFont="1" applyFill="1" applyBorder="1" applyAlignment="1">
      <alignment horizontal="left" vertical="center" wrapText="1"/>
    </xf>
    <xf numFmtId="0" fontId="49" fillId="10" borderId="104" xfId="0" applyFont="1" applyFill="1" applyBorder="1" applyAlignment="1">
      <alignment horizontal="left" vertical="center" wrapText="1"/>
    </xf>
    <xf numFmtId="0" fontId="53" fillId="10" borderId="10" xfId="0" applyFont="1" applyFill="1" applyBorder="1" applyAlignment="1">
      <alignment horizontal="left" vertical="center" wrapText="1"/>
    </xf>
    <xf numFmtId="0" fontId="53" fillId="10" borderId="11" xfId="0" applyFont="1" applyFill="1" applyBorder="1" applyAlignment="1">
      <alignment horizontal="left" vertical="center" wrapText="1"/>
    </xf>
    <xf numFmtId="0" fontId="35" fillId="7" borderId="79" xfId="0" applyFont="1" applyFill="1" applyBorder="1" applyAlignment="1">
      <alignment horizontal="left" vertical="center" wrapText="1"/>
    </xf>
    <xf numFmtId="0" fontId="53" fillId="20" borderId="83" xfId="0" applyFont="1" applyFill="1" applyBorder="1" applyAlignment="1">
      <alignment horizontal="left" vertical="center" wrapText="1"/>
    </xf>
    <xf numFmtId="0" fontId="56" fillId="20" borderId="8" xfId="0" applyFont="1" applyFill="1" applyBorder="1" applyAlignment="1">
      <alignment horizontal="left" vertical="center"/>
    </xf>
    <xf numFmtId="0" fontId="49" fillId="12" borderId="69" xfId="0" applyFont="1" applyFill="1" applyBorder="1" applyAlignment="1">
      <alignment horizontal="left" vertical="center"/>
    </xf>
    <xf numFmtId="0" fontId="49" fillId="12" borderId="70" xfId="0" applyFont="1" applyFill="1" applyBorder="1" applyAlignment="1">
      <alignment horizontal="left" vertical="center"/>
    </xf>
    <xf numFmtId="0" fontId="35" fillId="7" borderId="44" xfId="0" applyFont="1" applyFill="1" applyBorder="1" applyAlignment="1">
      <alignment horizontal="left" vertical="center" wrapText="1"/>
    </xf>
    <xf numFmtId="0" fontId="35" fillId="7" borderId="45" xfId="0" applyFont="1" applyFill="1" applyBorder="1" applyAlignment="1">
      <alignment horizontal="left" vertical="center" wrapText="1"/>
    </xf>
    <xf numFmtId="0" fontId="53" fillId="18" borderId="15" xfId="0" applyFont="1" applyFill="1" applyBorder="1" applyAlignment="1">
      <alignment horizontal="left" vertical="center"/>
    </xf>
    <xf numFmtId="0" fontId="53" fillId="18" borderId="38" xfId="0" applyFont="1" applyFill="1" applyBorder="1" applyAlignment="1">
      <alignment horizontal="left" vertical="center"/>
    </xf>
    <xf numFmtId="0" fontId="53" fillId="18" borderId="6" xfId="0" applyFont="1" applyFill="1" applyBorder="1" applyAlignment="1">
      <alignment horizontal="left" vertical="center"/>
    </xf>
    <xf numFmtId="0" fontId="53" fillId="18" borderId="8" xfId="0" applyFont="1" applyFill="1" applyBorder="1" applyAlignment="1">
      <alignment horizontal="left" vertical="center"/>
    </xf>
    <xf numFmtId="0" fontId="49" fillId="18" borderId="11" xfId="0" applyFont="1" applyFill="1" applyBorder="1" applyAlignment="1">
      <alignment horizontal="left" vertical="center"/>
    </xf>
    <xf numFmtId="0" fontId="57" fillId="7" borderId="76" xfId="0" applyFont="1" applyFill="1" applyBorder="1" applyAlignment="1">
      <alignment horizontal="left" vertical="center" wrapText="1"/>
    </xf>
    <xf numFmtId="0" fontId="49" fillId="15" borderId="69" xfId="0" applyFont="1" applyFill="1" applyBorder="1" applyAlignment="1">
      <alignment horizontal="left" vertical="center"/>
    </xf>
    <xf numFmtId="0" fontId="49" fillId="15" borderId="6" xfId="0" applyFont="1" applyFill="1" applyBorder="1" applyAlignment="1">
      <alignment horizontal="left" vertical="center"/>
    </xf>
    <xf numFmtId="0" fontId="49" fillId="15" borderId="6" xfId="0" applyFont="1" applyFill="1" applyBorder="1" applyAlignment="1">
      <alignment horizontal="left"/>
    </xf>
    <xf numFmtId="0" fontId="49" fillId="15" borderId="166" xfId="0" applyFont="1" applyFill="1" applyBorder="1" applyAlignment="1">
      <alignment horizontal="left"/>
    </xf>
    <xf numFmtId="0" fontId="49" fillId="15" borderId="140" xfId="0" applyFont="1" applyFill="1" applyBorder="1" applyAlignment="1">
      <alignment horizontal="left" vertical="center"/>
    </xf>
    <xf numFmtId="0" fontId="53" fillId="15" borderId="6" xfId="0" applyFont="1" applyFill="1" applyBorder="1" applyAlignment="1">
      <alignment horizontal="left" vertical="center" wrapText="1"/>
    </xf>
    <xf numFmtId="0" fontId="49" fillId="7" borderId="135" xfId="0" applyFont="1" applyFill="1" applyBorder="1" applyAlignment="1">
      <alignment horizontal="left" vertical="center"/>
    </xf>
    <xf numFmtId="0" fontId="53" fillId="7" borderId="123" xfId="0" applyFont="1" applyFill="1" applyBorder="1" applyAlignment="1">
      <alignment horizontal="left" vertical="center" wrapText="1"/>
    </xf>
    <xf numFmtId="0" fontId="49" fillId="7" borderId="138" xfId="0" applyFont="1" applyFill="1" applyBorder="1" applyAlignment="1">
      <alignment horizontal="left" vertical="center"/>
    </xf>
    <xf numFmtId="0" fontId="57" fillId="7" borderId="146" xfId="0" applyFont="1" applyFill="1" applyBorder="1" applyAlignment="1">
      <alignment horizontal="left" vertical="center" wrapText="1"/>
    </xf>
    <xf numFmtId="0" fontId="57" fillId="7" borderId="52" xfId="0" applyFont="1" applyFill="1" applyBorder="1" applyAlignment="1">
      <alignment horizontal="left" vertical="center" wrapText="1"/>
    </xf>
    <xf numFmtId="0" fontId="49" fillId="0" borderId="69" xfId="0" applyFont="1" applyFill="1" applyBorder="1" applyAlignment="1">
      <alignment horizontal="left" vertical="center" wrapText="1"/>
    </xf>
    <xf numFmtId="0" fontId="49" fillId="0" borderId="70" xfId="0" applyFont="1" applyFill="1" applyBorder="1" applyAlignment="1">
      <alignment horizontal="left" vertical="center" wrapText="1"/>
    </xf>
    <xf numFmtId="0" fontId="49" fillId="0" borderId="6" xfId="0" applyFont="1" applyFill="1" applyBorder="1" applyAlignment="1">
      <alignment horizontal="left" vertical="center" wrapText="1"/>
    </xf>
    <xf numFmtId="0" fontId="49" fillId="0" borderId="8" xfId="0" applyFont="1" applyFill="1" applyBorder="1" applyAlignment="1">
      <alignment horizontal="left" vertical="center" wrapText="1"/>
    </xf>
    <xf numFmtId="0" fontId="53" fillId="0" borderId="6" xfId="0" applyFont="1" applyFill="1" applyBorder="1" applyAlignment="1">
      <alignment horizontal="left" vertical="center"/>
    </xf>
    <xf numFmtId="0" fontId="53" fillId="0" borderId="8" xfId="0" applyFont="1" applyFill="1" applyBorder="1" applyAlignment="1">
      <alignment horizontal="left" vertical="center"/>
    </xf>
    <xf numFmtId="0" fontId="49" fillId="0" borderId="11" xfId="0" applyFont="1" applyFill="1" applyBorder="1" applyAlignment="1">
      <alignment horizontal="left" vertical="center"/>
    </xf>
    <xf numFmtId="0" fontId="53" fillId="9" borderId="87" xfId="0" applyFont="1" applyFill="1" applyBorder="1" applyAlignment="1">
      <alignment horizontal="left" vertical="center" wrapText="1"/>
    </xf>
    <xf numFmtId="0" fontId="53" fillId="9" borderId="88" xfId="0" applyFont="1" applyFill="1" applyBorder="1" applyAlignment="1">
      <alignment horizontal="left" vertical="center" wrapText="1"/>
    </xf>
    <xf numFmtId="0" fontId="53" fillId="9" borderId="15" xfId="0" applyFont="1" applyFill="1" applyBorder="1" applyAlignment="1">
      <alignment horizontal="left" vertical="center" wrapText="1"/>
    </xf>
    <xf numFmtId="0" fontId="53" fillId="9" borderId="38" xfId="0" applyFont="1" applyFill="1" applyBorder="1" applyAlignment="1">
      <alignment horizontal="left" vertical="center" wrapText="1"/>
    </xf>
    <xf numFmtId="0" fontId="53" fillId="9" borderId="8" xfId="0" applyFont="1" applyFill="1" applyBorder="1" applyAlignment="1">
      <alignment horizontal="left" vertical="center" wrapText="1"/>
    </xf>
    <xf numFmtId="0" fontId="53" fillId="9" borderId="10" xfId="0" applyFont="1" applyFill="1" applyBorder="1" applyAlignment="1">
      <alignment horizontal="left" vertical="center" wrapText="1"/>
    </xf>
    <xf numFmtId="0" fontId="53" fillId="9" borderId="11" xfId="0" applyFont="1" applyFill="1" applyBorder="1" applyAlignment="1">
      <alignment horizontal="left" vertical="center" wrapText="1"/>
    </xf>
    <xf numFmtId="0" fontId="57" fillId="0" borderId="39" xfId="0" applyFont="1" applyFill="1" applyBorder="1" applyAlignment="1">
      <alignment horizontal="left" vertical="center"/>
    </xf>
    <xf numFmtId="0" fontId="35" fillId="7" borderId="66" xfId="0" applyFont="1" applyFill="1" applyBorder="1" applyAlignment="1">
      <alignment horizontal="left" vertical="center" wrapText="1"/>
    </xf>
    <xf numFmtId="0" fontId="35" fillId="7" borderId="67" xfId="0" applyFont="1" applyFill="1" applyBorder="1" applyAlignment="1">
      <alignment horizontal="left" vertical="center" wrapText="1"/>
    </xf>
    <xf numFmtId="0" fontId="56" fillId="8" borderId="70" xfId="0" applyFont="1" applyFill="1" applyBorder="1" applyAlignment="1">
      <alignment horizontal="left" vertical="center"/>
    </xf>
    <xf numFmtId="0" fontId="56" fillId="8" borderId="8" xfId="0" applyFont="1" applyFill="1" applyBorder="1" applyAlignment="1">
      <alignment horizontal="left" vertical="center"/>
    </xf>
    <xf numFmtId="0" fontId="56" fillId="11" borderId="8" xfId="0" applyFont="1" applyFill="1" applyBorder="1" applyAlignment="1">
      <alignment horizontal="left" vertical="center"/>
    </xf>
    <xf numFmtId="0" fontId="56" fillId="11" borderId="106" xfId="0" applyFont="1" applyFill="1" applyBorder="1" applyAlignment="1">
      <alignment horizontal="left" vertical="center"/>
    </xf>
    <xf numFmtId="0" fontId="56" fillId="11" borderId="140" xfId="0" applyFont="1" applyFill="1" applyBorder="1" applyAlignment="1">
      <alignment horizontal="left" vertical="center"/>
    </xf>
    <xf numFmtId="0" fontId="56" fillId="19" borderId="8" xfId="0" applyFont="1" applyFill="1" applyBorder="1" applyAlignment="1">
      <alignment horizontal="left" vertical="center"/>
    </xf>
    <xf numFmtId="0" fontId="56" fillId="10" borderId="8" xfId="0" applyFont="1" applyFill="1" applyBorder="1" applyAlignment="1">
      <alignment horizontal="left" vertical="center"/>
    </xf>
    <xf numFmtId="0" fontId="56" fillId="12" borderId="8" xfId="0" applyFont="1" applyFill="1" applyBorder="1" applyAlignment="1">
      <alignment horizontal="left" vertical="center"/>
    </xf>
    <xf numFmtId="0" fontId="56" fillId="18" borderId="8" xfId="0" applyFont="1" applyFill="1" applyBorder="1" applyAlignment="1">
      <alignment horizontal="left" vertical="center"/>
    </xf>
    <xf numFmtId="0" fontId="56" fillId="9" borderId="8" xfId="0" applyFont="1" applyFill="1" applyBorder="1" applyAlignment="1">
      <alignment horizontal="left" vertical="center"/>
    </xf>
    <xf numFmtId="0" fontId="56" fillId="16" borderId="8" xfId="0" applyFont="1" applyFill="1" applyBorder="1" applyAlignment="1">
      <alignment horizontal="left" vertical="center"/>
    </xf>
    <xf numFmtId="0" fontId="49" fillId="0" borderId="39" xfId="0" applyFont="1" applyFill="1" applyBorder="1" applyAlignment="1">
      <alignment horizontal="left" vertical="center" wrapText="1"/>
    </xf>
    <xf numFmtId="0" fontId="49" fillId="8" borderId="83" xfId="0" applyFont="1" applyFill="1" applyBorder="1" applyAlignment="1">
      <alignment horizontal="left" vertical="center" wrapText="1"/>
    </xf>
    <xf numFmtId="0" fontId="49" fillId="8" borderId="84" xfId="0" applyFont="1" applyFill="1" applyBorder="1" applyAlignment="1">
      <alignment horizontal="left" vertical="center" wrapText="1"/>
    </xf>
    <xf numFmtId="0" fontId="49" fillId="11" borderId="6" xfId="0" applyFont="1" applyFill="1" applyBorder="1" applyAlignment="1">
      <alignment horizontal="left" vertical="center" wrapText="1"/>
    </xf>
    <xf numFmtId="0" fontId="49" fillId="11" borderId="8" xfId="0" applyFont="1" applyFill="1" applyBorder="1" applyAlignment="1">
      <alignment horizontal="left" vertical="center" wrapText="1"/>
    </xf>
    <xf numFmtId="0" fontId="49" fillId="11" borderId="106" xfId="0" applyFont="1" applyFill="1" applyBorder="1" applyAlignment="1">
      <alignment horizontal="left" vertical="center" wrapText="1"/>
    </xf>
    <xf numFmtId="0" fontId="49" fillId="11" borderId="175" xfId="0" applyFont="1" applyFill="1" applyBorder="1" applyAlignment="1">
      <alignment horizontal="left" vertical="center" wrapText="1"/>
    </xf>
    <xf numFmtId="0" fontId="49" fillId="19" borderId="6" xfId="0" applyFont="1" applyFill="1" applyBorder="1" applyAlignment="1">
      <alignment horizontal="left" vertical="center" wrapText="1"/>
    </xf>
    <xf numFmtId="0" fontId="49" fillId="19" borderId="8" xfId="0" applyFont="1" applyFill="1" applyBorder="1" applyAlignment="1">
      <alignment horizontal="left" vertical="center" wrapText="1"/>
    </xf>
    <xf numFmtId="0" fontId="49" fillId="10" borderId="98" xfId="0" applyFont="1" applyFill="1" applyBorder="1" applyAlignment="1">
      <alignment horizontal="left" vertical="center" wrapText="1"/>
    </xf>
    <xf numFmtId="0" fontId="49" fillId="10" borderId="102" xfId="0" applyFont="1" applyFill="1" applyBorder="1" applyAlignment="1">
      <alignment horizontal="left" vertical="center" wrapText="1"/>
    </xf>
    <xf numFmtId="0" fontId="49" fillId="10" borderId="8" xfId="0" applyFont="1" applyFill="1" applyBorder="1" applyAlignment="1">
      <alignment horizontal="left" vertical="center" wrapText="1"/>
    </xf>
    <xf numFmtId="0" fontId="57" fillId="20" borderId="6" xfId="0" applyFont="1" applyFill="1" applyBorder="1" applyAlignment="1">
      <alignment horizontal="left" vertical="center"/>
    </xf>
    <xf numFmtId="0" fontId="57" fillId="20" borderId="8" xfId="0" applyFont="1" applyFill="1" applyBorder="1" applyAlignment="1">
      <alignment horizontal="left" vertical="center"/>
    </xf>
    <xf numFmtId="0" fontId="49" fillId="12" borderId="8" xfId="0" applyFont="1" applyFill="1" applyBorder="1" applyAlignment="1">
      <alignment horizontal="left" vertical="center" wrapText="1"/>
    </xf>
    <xf numFmtId="0" fontId="49" fillId="18" borderId="11" xfId="0" applyFont="1" applyFill="1" applyBorder="1" applyAlignment="1">
      <alignment horizontal="left" vertical="center" wrapText="1"/>
    </xf>
    <xf numFmtId="0" fontId="57" fillId="7" borderId="48" xfId="0" applyFont="1" applyFill="1" applyBorder="1" applyAlignment="1">
      <alignment horizontal="left" vertical="center" wrapText="1"/>
    </xf>
    <xf numFmtId="0" fontId="49" fillId="0" borderId="38" xfId="0" applyFont="1" applyFill="1" applyBorder="1" applyAlignment="1">
      <alignment horizontal="left" vertical="center" wrapText="1"/>
    </xf>
    <xf numFmtId="0" fontId="49" fillId="9" borderId="97" xfId="0" applyFont="1" applyFill="1" applyBorder="1" applyAlignment="1">
      <alignment horizontal="left" vertical="center" wrapText="1"/>
    </xf>
    <xf numFmtId="0" fontId="49" fillId="9" borderId="106" xfId="0" applyFont="1" applyFill="1" applyBorder="1" applyAlignment="1">
      <alignment horizontal="left" vertical="center" wrapText="1"/>
    </xf>
    <xf numFmtId="2" fontId="49" fillId="9" borderId="97" xfId="0" quotePrefix="1" applyNumberFormat="1" applyFont="1" applyFill="1" applyBorder="1" applyAlignment="1">
      <alignment horizontal="left" vertical="center" wrapText="1"/>
    </xf>
    <xf numFmtId="0" fontId="49" fillId="24" borderId="97" xfId="0" applyFont="1" applyFill="1" applyBorder="1" applyAlignment="1">
      <alignment horizontal="left" vertical="center" wrapText="1"/>
    </xf>
    <xf numFmtId="0" fontId="49" fillId="24" borderId="106" xfId="0" applyFont="1" applyFill="1" applyBorder="1" applyAlignment="1">
      <alignment horizontal="left" vertical="center" wrapText="1"/>
    </xf>
    <xf numFmtId="2" fontId="49" fillId="24" borderId="97" xfId="0" quotePrefix="1" applyNumberFormat="1" applyFont="1" applyFill="1" applyBorder="1" applyAlignment="1">
      <alignment horizontal="left" vertical="center" wrapText="1"/>
    </xf>
    <xf numFmtId="0" fontId="49" fillId="24" borderId="166" xfId="0" applyFont="1" applyFill="1" applyBorder="1" applyAlignment="1">
      <alignment horizontal="left" vertical="center" wrapText="1"/>
    </xf>
    <xf numFmtId="2" fontId="49" fillId="24" borderId="166" xfId="0" quotePrefix="1" applyNumberFormat="1" applyFont="1" applyFill="1" applyBorder="1" applyAlignment="1">
      <alignment horizontal="left" vertical="center" wrapText="1"/>
    </xf>
    <xf numFmtId="0" fontId="76" fillId="24" borderId="97" xfId="0" applyFont="1" applyFill="1" applyBorder="1" applyAlignment="1">
      <alignment horizontal="left" vertical="center" wrapText="1"/>
    </xf>
    <xf numFmtId="0" fontId="49" fillId="0" borderId="38" xfId="0" applyFont="1" applyFill="1" applyBorder="1" applyAlignment="1">
      <alignment horizontal="left" vertical="center"/>
    </xf>
    <xf numFmtId="0" fontId="49" fillId="0" borderId="96" xfId="0" applyFont="1" applyFill="1" applyBorder="1" applyAlignment="1">
      <alignment horizontal="left" vertical="center"/>
    </xf>
    <xf numFmtId="0" fontId="49" fillId="0" borderId="120" xfId="0" applyFont="1" applyFill="1" applyBorder="1" applyAlignment="1">
      <alignment horizontal="left" vertical="center"/>
    </xf>
    <xf numFmtId="0" fontId="49" fillId="0" borderId="135" xfId="0" applyFont="1" applyFill="1" applyBorder="1" applyAlignment="1">
      <alignment horizontal="left" vertical="center" wrapText="1"/>
    </xf>
    <xf numFmtId="0" fontId="49" fillId="0" borderId="136" xfId="0" applyFont="1" applyFill="1" applyBorder="1" applyAlignment="1">
      <alignment horizontal="left" vertical="center" wrapText="1"/>
    </xf>
    <xf numFmtId="0" fontId="49" fillId="0" borderId="140" xfId="0" applyFont="1" applyFill="1" applyBorder="1" applyAlignment="1">
      <alignment horizontal="left" vertical="center" wrapText="1"/>
    </xf>
    <xf numFmtId="0" fontId="49" fillId="0" borderId="142" xfId="0" applyFont="1" applyFill="1" applyBorder="1" applyAlignment="1">
      <alignment horizontal="left" vertical="center" wrapText="1"/>
    </xf>
    <xf numFmtId="0" fontId="49" fillId="0" borderId="70" xfId="0" applyFont="1" applyFill="1" applyBorder="1" applyAlignment="1">
      <alignment horizontal="left" vertical="center"/>
    </xf>
    <xf numFmtId="0" fontId="49" fillId="9" borderId="102" xfId="0" applyFont="1" applyFill="1" applyBorder="1" applyAlignment="1">
      <alignment horizontal="left" vertical="center"/>
    </xf>
    <xf numFmtId="0" fontId="57" fillId="7" borderId="65" xfId="0" applyFont="1" applyFill="1" applyBorder="1" applyAlignment="1">
      <alignment horizontal="left" vertical="center" wrapText="1"/>
    </xf>
    <xf numFmtId="0" fontId="49" fillId="0" borderId="116" xfId="0" applyFont="1" applyFill="1" applyBorder="1" applyAlignment="1">
      <alignment horizontal="left" vertical="center" wrapText="1"/>
    </xf>
    <xf numFmtId="0" fontId="49" fillId="0" borderId="106" xfId="0" applyFont="1" applyFill="1" applyBorder="1" applyAlignment="1">
      <alignment horizontal="left" vertical="center" wrapText="1"/>
    </xf>
    <xf numFmtId="0" fontId="49" fillId="0" borderId="184" xfId="0" applyFont="1" applyFill="1" applyBorder="1" applyAlignment="1">
      <alignment horizontal="left" vertical="center" wrapText="1"/>
    </xf>
    <xf numFmtId="0" fontId="49" fillId="0" borderId="88" xfId="0" applyFont="1" applyFill="1" applyBorder="1" applyAlignment="1">
      <alignment horizontal="left" vertical="center"/>
    </xf>
    <xf numFmtId="0" fontId="57" fillId="7" borderId="165" xfId="0" applyFont="1" applyFill="1" applyBorder="1" applyAlignment="1">
      <alignment horizontal="left" vertical="center" wrapText="1"/>
    </xf>
    <xf numFmtId="0" fontId="49" fillId="9" borderId="118" xfId="0" applyFont="1" applyFill="1" applyBorder="1" applyAlignment="1">
      <alignment horizontal="left" vertical="center" wrapText="1"/>
    </xf>
    <xf numFmtId="0" fontId="49" fillId="9" borderId="119" xfId="0" applyFont="1" applyFill="1" applyBorder="1" applyAlignment="1">
      <alignment horizontal="left" vertical="center" wrapText="1"/>
    </xf>
    <xf numFmtId="0" fontId="49" fillId="9" borderId="136" xfId="0" applyFont="1" applyFill="1" applyBorder="1" applyAlignment="1">
      <alignment horizontal="left" vertical="center" wrapText="1"/>
    </xf>
    <xf numFmtId="0" fontId="49" fillId="9" borderId="193" xfId="0" applyFont="1" applyFill="1" applyBorder="1" applyAlignment="1">
      <alignment horizontal="left" vertical="center" wrapText="1"/>
    </xf>
    <xf numFmtId="0" fontId="49" fillId="9" borderId="178" xfId="0" applyFont="1" applyFill="1" applyBorder="1" applyAlignment="1">
      <alignment horizontal="left" vertical="center" wrapText="1"/>
    </xf>
    <xf numFmtId="0" fontId="49" fillId="9" borderId="180" xfId="0" applyFont="1" applyFill="1" applyBorder="1" applyAlignment="1">
      <alignment horizontal="left" vertical="center" wrapText="1"/>
    </xf>
    <xf numFmtId="0" fontId="49" fillId="9" borderId="181" xfId="0" applyFont="1" applyFill="1" applyBorder="1" applyAlignment="1">
      <alignment horizontal="left" vertical="center" wrapText="1"/>
    </xf>
    <xf numFmtId="0" fontId="49" fillId="9" borderId="194" xfId="0" applyFont="1" applyFill="1" applyBorder="1" applyAlignment="1">
      <alignment horizontal="left" vertical="center" wrapText="1"/>
    </xf>
    <xf numFmtId="0" fontId="56" fillId="7" borderId="195" xfId="0" applyFont="1" applyFill="1" applyBorder="1" applyAlignment="1">
      <alignment horizontal="left" vertical="center"/>
    </xf>
    <xf numFmtId="0" fontId="57" fillId="7" borderId="195" xfId="0" applyFont="1" applyFill="1" applyBorder="1" applyAlignment="1">
      <alignment horizontal="left" vertical="center" wrapText="1"/>
    </xf>
    <xf numFmtId="0" fontId="49" fillId="20" borderId="179" xfId="0" applyFont="1" applyFill="1" applyBorder="1" applyAlignment="1">
      <alignment horizontal="left" vertical="center"/>
    </xf>
    <xf numFmtId="0" fontId="49" fillId="20" borderId="181" xfId="0" applyFont="1" applyFill="1" applyBorder="1" applyAlignment="1">
      <alignment horizontal="left" vertical="center"/>
    </xf>
    <xf numFmtId="0" fontId="49" fillId="20" borderId="194" xfId="0" applyFont="1" applyFill="1" applyBorder="1" applyAlignment="1">
      <alignment horizontal="left" vertical="center"/>
    </xf>
    <xf numFmtId="0" fontId="49" fillId="20" borderId="196" xfId="0" applyFont="1" applyFill="1" applyBorder="1" applyAlignment="1">
      <alignment horizontal="left" vertical="center"/>
    </xf>
    <xf numFmtId="2" fontId="49" fillId="20" borderId="196" xfId="0" applyNumberFormat="1" applyFont="1" applyFill="1" applyBorder="1" applyAlignment="1">
      <alignment horizontal="left" vertical="center"/>
    </xf>
    <xf numFmtId="0" fontId="49" fillId="20" borderId="196" xfId="0" applyFont="1" applyFill="1" applyBorder="1" applyAlignment="1">
      <alignment horizontal="left"/>
    </xf>
    <xf numFmtId="0" fontId="57" fillId="7" borderId="191" xfId="0" applyFont="1" applyFill="1" applyBorder="1" applyAlignment="1">
      <alignment horizontal="left" vertical="center" wrapText="1"/>
    </xf>
    <xf numFmtId="0" fontId="49" fillId="20" borderId="192" xfId="0" applyFont="1" applyFill="1" applyBorder="1" applyAlignment="1">
      <alignment horizontal="left" vertical="center"/>
    </xf>
    <xf numFmtId="2" fontId="49" fillId="20" borderId="194" xfId="0" quotePrefix="1" applyNumberFormat="1" applyFont="1" applyFill="1" applyBorder="1" applyAlignment="1">
      <alignment horizontal="left" vertical="center"/>
    </xf>
    <xf numFmtId="0" fontId="49" fillId="20" borderId="194" xfId="0" applyFont="1" applyFill="1" applyBorder="1" applyAlignment="1">
      <alignment horizontal="left"/>
    </xf>
    <xf numFmtId="0" fontId="49" fillId="20" borderId="197" xfId="0" applyFont="1" applyFill="1" applyBorder="1" applyAlignment="1">
      <alignment horizontal="left" vertical="center"/>
    </xf>
    <xf numFmtId="0" fontId="49" fillId="20" borderId="198" xfId="0" applyFont="1" applyFill="1" applyBorder="1" applyAlignment="1">
      <alignment horizontal="left" vertical="center"/>
    </xf>
    <xf numFmtId="0" fontId="49" fillId="20" borderId="199" xfId="0" applyFont="1" applyFill="1" applyBorder="1" applyAlignment="1">
      <alignment horizontal="left" vertical="center"/>
    </xf>
    <xf numFmtId="2" fontId="49" fillId="20" borderId="199" xfId="0" quotePrefix="1" applyNumberFormat="1" applyFont="1" applyFill="1" applyBorder="1" applyAlignment="1">
      <alignment horizontal="left" vertical="center"/>
    </xf>
    <xf numFmtId="0" fontId="49" fillId="20" borderId="199" xfId="0" quotePrefix="1" applyFont="1" applyFill="1" applyBorder="1" applyAlignment="1">
      <alignment horizontal="left" vertical="center"/>
    </xf>
    <xf numFmtId="0" fontId="49" fillId="20" borderId="199" xfId="0" applyFont="1" applyFill="1" applyBorder="1" applyAlignment="1">
      <alignment horizontal="left"/>
    </xf>
    <xf numFmtId="0" fontId="49" fillId="20" borderId="200" xfId="0" applyFont="1" applyFill="1" applyBorder="1" applyAlignment="1">
      <alignment horizontal="left" vertical="center"/>
    </xf>
    <xf numFmtId="2" fontId="49" fillId="20" borderId="196" xfId="0" quotePrefix="1" applyNumberFormat="1" applyFont="1" applyFill="1" applyBorder="1" applyAlignment="1">
      <alignment horizontal="left" vertical="center"/>
    </xf>
    <xf numFmtId="0" fontId="49" fillId="20" borderId="196" xfId="0" quotePrefix="1" applyFont="1" applyFill="1" applyBorder="1" applyAlignment="1">
      <alignment horizontal="left" vertical="center"/>
    </xf>
    <xf numFmtId="0" fontId="49" fillId="14" borderId="192" xfId="0" applyFont="1" applyFill="1" applyBorder="1" applyAlignment="1">
      <alignment horizontal="left" vertical="center" wrapText="1"/>
    </xf>
    <xf numFmtId="0" fontId="49" fillId="14" borderId="194" xfId="0" applyFont="1" applyFill="1" applyBorder="1" applyAlignment="1">
      <alignment horizontal="left" vertical="center"/>
    </xf>
    <xf numFmtId="0" fontId="49" fillId="14" borderId="194" xfId="0" applyFont="1" applyFill="1" applyBorder="1" applyAlignment="1">
      <alignment horizontal="center" vertical="center"/>
    </xf>
    <xf numFmtId="167" fontId="49" fillId="14" borderId="194" xfId="0" applyNumberFormat="1" applyFont="1" applyFill="1" applyBorder="1" applyAlignment="1">
      <alignment horizontal="center" vertical="center"/>
    </xf>
    <xf numFmtId="0" fontId="49" fillId="14" borderId="194" xfId="0" quotePrefix="1" applyFont="1" applyFill="1" applyBorder="1" applyAlignment="1">
      <alignment horizontal="center" vertical="center"/>
    </xf>
    <xf numFmtId="0" fontId="49" fillId="14" borderId="197" xfId="0" applyFont="1" applyFill="1" applyBorder="1" applyAlignment="1">
      <alignment horizontal="left" vertical="center"/>
    </xf>
    <xf numFmtId="0" fontId="49" fillId="14" borderId="179" xfId="0" applyFont="1" applyFill="1" applyBorder="1" applyAlignment="1">
      <alignment horizontal="left" vertical="center" wrapText="1"/>
    </xf>
    <xf numFmtId="0" fontId="49" fillId="14" borderId="181" xfId="0" applyFont="1" applyFill="1" applyBorder="1" applyAlignment="1">
      <alignment horizontal="left" vertical="center"/>
    </xf>
    <xf numFmtId="0" fontId="49" fillId="20" borderId="201" xfId="0" applyFont="1" applyFill="1" applyBorder="1" applyAlignment="1">
      <alignment horizontal="left" vertical="center"/>
    </xf>
    <xf numFmtId="2" fontId="49" fillId="20" borderId="201" xfId="0" applyNumberFormat="1" applyFont="1" applyFill="1" applyBorder="1" applyAlignment="1">
      <alignment horizontal="left" vertical="center"/>
    </xf>
    <xf numFmtId="2" fontId="49" fillId="20" borderId="199" xfId="0" applyNumberFormat="1" applyFont="1" applyFill="1" applyBorder="1" applyAlignment="1">
      <alignment horizontal="left" vertical="center"/>
    </xf>
    <xf numFmtId="0" fontId="29" fillId="7" borderId="202" xfId="0" applyFont="1" applyFill="1" applyBorder="1" applyAlignment="1">
      <alignment horizontal="left" vertical="center" wrapText="1"/>
    </xf>
    <xf numFmtId="0" fontId="49" fillId="20" borderId="206" xfId="0" quotePrefix="1" applyFont="1" applyFill="1" applyBorder="1" applyAlignment="1">
      <alignment horizontal="left" vertical="center"/>
    </xf>
    <xf numFmtId="0" fontId="49" fillId="14" borderId="198" xfId="0" applyFont="1" applyFill="1" applyBorder="1" applyAlignment="1">
      <alignment horizontal="left" vertical="center" wrapText="1"/>
    </xf>
    <xf numFmtId="0" fontId="49" fillId="14" borderId="199" xfId="0" applyFont="1" applyFill="1" applyBorder="1" applyAlignment="1">
      <alignment horizontal="left" vertical="center"/>
    </xf>
    <xf numFmtId="0" fontId="49" fillId="14" borderId="199" xfId="0" applyFont="1" applyFill="1" applyBorder="1" applyAlignment="1">
      <alignment horizontal="center" vertical="center"/>
    </xf>
    <xf numFmtId="167" fontId="49" fillId="14" borderId="199" xfId="0" applyNumberFormat="1" applyFont="1" applyFill="1" applyBorder="1" applyAlignment="1">
      <alignment horizontal="center" vertical="center"/>
    </xf>
    <xf numFmtId="0" fontId="49" fillId="14" borderId="199" xfId="0" quotePrefix="1" applyFont="1" applyFill="1" applyBorder="1" applyAlignment="1">
      <alignment horizontal="center" vertical="center"/>
    </xf>
    <xf numFmtId="0" fontId="49" fillId="14" borderId="200" xfId="0" applyFont="1" applyFill="1" applyBorder="1" applyAlignment="1">
      <alignment horizontal="left" vertical="center"/>
    </xf>
    <xf numFmtId="0" fontId="49" fillId="14" borderId="201" xfId="0" applyFont="1" applyFill="1" applyBorder="1" applyAlignment="1">
      <alignment horizontal="left" vertical="center"/>
    </xf>
    <xf numFmtId="0" fontId="49" fillId="14" borderId="201" xfId="0" applyFont="1" applyFill="1" applyBorder="1" applyAlignment="1">
      <alignment horizontal="center" vertical="center"/>
    </xf>
    <xf numFmtId="167" fontId="49" fillId="14" borderId="201" xfId="0" applyNumberFormat="1" applyFont="1" applyFill="1" applyBorder="1" applyAlignment="1">
      <alignment horizontal="center" vertical="center"/>
    </xf>
    <xf numFmtId="0" fontId="49" fillId="14" borderId="201" xfId="0" quotePrefix="1" applyFont="1" applyFill="1" applyBorder="1" applyAlignment="1">
      <alignment horizontal="center" vertical="center"/>
    </xf>
    <xf numFmtId="0" fontId="49" fillId="14" borderId="206" xfId="0" applyFont="1" applyFill="1" applyBorder="1" applyAlignment="1">
      <alignment horizontal="left" vertical="center"/>
    </xf>
    <xf numFmtId="0" fontId="49" fillId="9" borderId="207" xfId="0" applyFont="1" applyFill="1" applyBorder="1" applyAlignment="1">
      <alignment horizontal="left" vertical="center" wrapText="1"/>
    </xf>
    <xf numFmtId="167" fontId="49" fillId="24" borderId="208" xfId="0" applyNumberFormat="1" applyFont="1" applyFill="1" applyBorder="1" applyAlignment="1">
      <alignment horizontal="center" vertical="center" wrapText="1"/>
    </xf>
    <xf numFmtId="0" fontId="46" fillId="0" borderId="95" xfId="0" applyFont="1" applyFill="1" applyBorder="1" applyAlignment="1">
      <alignment horizontal="left" vertical="center"/>
    </xf>
    <xf numFmtId="0" fontId="49" fillId="0" borderId="95" xfId="0" applyFont="1" applyFill="1" applyBorder="1" applyAlignment="1">
      <alignment horizontal="left" vertical="center"/>
    </xf>
    <xf numFmtId="0" fontId="49" fillId="0" borderId="95" xfId="0" applyFont="1" applyFill="1" applyBorder="1" applyAlignment="1">
      <alignment horizontal="left" vertical="center" wrapText="1"/>
    </xf>
    <xf numFmtId="0" fontId="49" fillId="0" borderId="95" xfId="0" applyFont="1" applyFill="1" applyBorder="1" applyAlignment="1">
      <alignment horizontal="left"/>
    </xf>
    <xf numFmtId="0" fontId="18" fillId="0" borderId="0" xfId="24" applyFill="1" applyAlignment="1">
      <alignment horizontal="left" vertical="center"/>
    </xf>
    <xf numFmtId="0" fontId="49" fillId="0" borderId="95" xfId="0" applyFont="1" applyFill="1" applyBorder="1" applyAlignment="1">
      <alignment horizontal="center" vertical="center"/>
    </xf>
    <xf numFmtId="0" fontId="49" fillId="8" borderId="198" xfId="0" applyFont="1" applyFill="1" applyBorder="1" applyAlignment="1">
      <alignment horizontal="left" vertical="center"/>
    </xf>
    <xf numFmtId="0" fontId="49" fillId="8" borderId="208" xfId="0" applyFont="1" applyFill="1" applyBorder="1" applyAlignment="1">
      <alignment horizontal="left" vertical="center" wrapText="1"/>
    </xf>
    <xf numFmtId="0" fontId="49" fillId="8" borderId="208" xfId="0" applyFont="1" applyFill="1" applyBorder="1" applyAlignment="1">
      <alignment horizontal="center" vertical="center" wrapText="1"/>
    </xf>
    <xf numFmtId="0" fontId="49" fillId="8" borderId="207" xfId="0" applyFont="1" applyFill="1" applyBorder="1" applyAlignment="1">
      <alignment horizontal="left" vertical="center" wrapText="1"/>
    </xf>
    <xf numFmtId="0" fontId="49" fillId="11" borderId="198" xfId="0" applyFont="1" applyFill="1" applyBorder="1" applyAlignment="1">
      <alignment horizontal="left" vertical="center"/>
    </xf>
    <xf numFmtId="0" fontId="49" fillId="11" borderId="208" xfId="0" applyFont="1" applyFill="1" applyBorder="1" applyAlignment="1">
      <alignment horizontal="left" vertical="center" wrapText="1"/>
    </xf>
    <xf numFmtId="0" fontId="49" fillId="11" borderId="208" xfId="0" applyFont="1" applyFill="1" applyBorder="1" applyAlignment="1">
      <alignment horizontal="center" vertical="center" wrapText="1"/>
    </xf>
    <xf numFmtId="0" fontId="49" fillId="11" borderId="208" xfId="0" applyFont="1" applyFill="1" applyBorder="1" applyAlignment="1">
      <alignment horizontal="center" vertical="center"/>
    </xf>
    <xf numFmtId="0" fontId="49" fillId="11" borderId="207" xfId="0" applyFont="1" applyFill="1" applyBorder="1" applyAlignment="1">
      <alignment horizontal="left" vertical="center" wrapText="1"/>
    </xf>
    <xf numFmtId="0" fontId="49" fillId="11" borderId="208" xfId="0" applyFont="1" applyFill="1" applyBorder="1" applyAlignment="1">
      <alignment horizontal="left" vertical="center"/>
    </xf>
    <xf numFmtId="2" fontId="49" fillId="11" borderId="208" xfId="0" applyNumberFormat="1" applyFont="1" applyFill="1" applyBorder="1" applyAlignment="1">
      <alignment horizontal="center" vertical="center"/>
    </xf>
    <xf numFmtId="0" fontId="49" fillId="11" borderId="207" xfId="0" applyFont="1" applyFill="1" applyBorder="1" applyAlignment="1">
      <alignment horizontal="left" vertical="center"/>
    </xf>
    <xf numFmtId="0" fontId="49" fillId="19" borderId="198" xfId="0" applyFont="1" applyFill="1" applyBorder="1" applyAlignment="1">
      <alignment horizontal="left" vertical="center"/>
    </xf>
    <xf numFmtId="0" fontId="0" fillId="19" borderId="208" xfId="0" applyFill="1" applyBorder="1" applyAlignment="1">
      <alignment horizontal="left"/>
    </xf>
    <xf numFmtId="2" fontId="49" fillId="19" borderId="183" xfId="0" applyNumberFormat="1" applyFont="1" applyFill="1" applyBorder="1" applyAlignment="1">
      <alignment horizontal="center" vertical="center"/>
    </xf>
    <xf numFmtId="0" fontId="49" fillId="19" borderId="208" xfId="0" quotePrefix="1" applyFont="1" applyFill="1" applyBorder="1" applyAlignment="1">
      <alignment horizontal="center" vertical="center" wrapText="1"/>
    </xf>
    <xf numFmtId="0" fontId="49" fillId="19" borderId="208" xfId="0" applyFont="1" applyFill="1" applyBorder="1" applyAlignment="1">
      <alignment horizontal="center" vertical="center" wrapText="1"/>
    </xf>
    <xf numFmtId="0" fontId="49" fillId="19" borderId="208" xfId="0" applyFont="1" applyFill="1" applyBorder="1" applyAlignment="1">
      <alignment horizontal="center" vertical="center"/>
    </xf>
    <xf numFmtId="0" fontId="49" fillId="19" borderId="183" xfId="0" applyFont="1" applyFill="1" applyBorder="1" applyAlignment="1">
      <alignment horizontal="left" vertical="center" wrapText="1"/>
    </xf>
    <xf numFmtId="0" fontId="49" fillId="10" borderId="207" xfId="0" applyFont="1" applyFill="1" applyBorder="1" applyAlignment="1">
      <alignment horizontal="left" vertical="center" wrapText="1"/>
    </xf>
    <xf numFmtId="0" fontId="49" fillId="10" borderId="198" xfId="0" applyFont="1" applyFill="1" applyBorder="1" applyAlignment="1">
      <alignment horizontal="left" vertical="center"/>
    </xf>
    <xf numFmtId="1" fontId="49" fillId="10" borderId="208" xfId="0" applyNumberFormat="1" applyFont="1" applyFill="1" applyBorder="1" applyAlignment="1">
      <alignment horizontal="left" vertical="center" wrapText="1"/>
    </xf>
    <xf numFmtId="2" fontId="49" fillId="10" borderId="208" xfId="0" applyNumberFormat="1" applyFont="1" applyFill="1" applyBorder="1" applyAlignment="1">
      <alignment horizontal="center" vertical="center" wrapText="1"/>
    </xf>
    <xf numFmtId="0" fontId="49" fillId="10" borderId="208" xfId="0" applyFont="1" applyFill="1" applyBorder="1" applyAlignment="1">
      <alignment horizontal="center" vertical="center" wrapText="1"/>
    </xf>
    <xf numFmtId="0" fontId="49" fillId="10" borderId="208" xfId="0" applyFont="1" applyFill="1" applyBorder="1" applyAlignment="1">
      <alignment horizontal="left" vertical="center" wrapText="1"/>
    </xf>
    <xf numFmtId="0" fontId="49" fillId="7" borderId="198" xfId="0" applyFont="1" applyFill="1" applyBorder="1" applyAlignment="1">
      <alignment horizontal="left" vertical="center"/>
    </xf>
    <xf numFmtId="167" fontId="49" fillId="7" borderId="208" xfId="0" applyNumberFormat="1" applyFont="1" applyFill="1" applyBorder="1" applyAlignment="1">
      <alignment horizontal="left" vertical="center" wrapText="1"/>
    </xf>
    <xf numFmtId="0" fontId="49" fillId="7" borderId="208" xfId="0" applyFont="1" applyFill="1" applyBorder="1" applyAlignment="1">
      <alignment horizontal="center" vertical="center"/>
    </xf>
    <xf numFmtId="0" fontId="49" fillId="7" borderId="208" xfId="0" applyFont="1" applyFill="1" applyBorder="1" applyAlignment="1">
      <alignment horizontal="left" vertical="center"/>
    </xf>
    <xf numFmtId="0" fontId="49" fillId="7" borderId="207" xfId="0" applyFont="1" applyFill="1" applyBorder="1" applyAlignment="1">
      <alignment horizontal="left" vertical="center"/>
    </xf>
    <xf numFmtId="0" fontId="49" fillId="9" borderId="182" xfId="0" applyFont="1" applyFill="1" applyBorder="1" applyAlignment="1">
      <alignment horizontal="left" vertical="center"/>
    </xf>
    <xf numFmtId="167" fontId="49" fillId="9" borderId="183" xfId="0" applyNumberFormat="1" applyFont="1" applyFill="1" applyBorder="1" applyAlignment="1">
      <alignment horizontal="left" vertical="center" wrapText="1"/>
    </xf>
    <xf numFmtId="0" fontId="49" fillId="9" borderId="208" xfId="0" applyFont="1" applyFill="1" applyBorder="1" applyAlignment="1">
      <alignment horizontal="center" vertical="center"/>
    </xf>
    <xf numFmtId="0" fontId="49" fillId="9" borderId="208" xfId="0" applyFont="1" applyFill="1" applyBorder="1" applyAlignment="1">
      <alignment horizontal="left" vertical="center"/>
    </xf>
    <xf numFmtId="0" fontId="49" fillId="9" borderId="207" xfId="0" applyFont="1" applyFill="1" applyBorder="1" applyAlignment="1">
      <alignment horizontal="left" vertical="center"/>
    </xf>
    <xf numFmtId="0" fontId="29" fillId="7" borderId="209" xfId="0" applyFont="1" applyFill="1" applyBorder="1" applyAlignment="1">
      <alignment horizontal="left" vertical="center" wrapText="1"/>
    </xf>
    <xf numFmtId="0" fontId="49" fillId="10" borderId="198" xfId="0" quotePrefix="1" applyFont="1" applyFill="1" applyBorder="1" applyAlignment="1">
      <alignment horizontal="left" vertical="center"/>
    </xf>
    <xf numFmtId="0" fontId="49" fillId="10" borderId="208" xfId="0" quotePrefix="1" applyFont="1" applyFill="1" applyBorder="1" applyAlignment="1">
      <alignment horizontal="left" vertical="center"/>
    </xf>
    <xf numFmtId="0" fontId="49" fillId="10" borderId="208" xfId="0" quotePrefix="1" applyFont="1" applyFill="1" applyBorder="1" applyAlignment="1">
      <alignment horizontal="left" vertical="center" wrapText="1"/>
    </xf>
    <xf numFmtId="0" fontId="49" fillId="8" borderId="198" xfId="0" quotePrefix="1" applyFont="1" applyFill="1" applyBorder="1" applyAlignment="1">
      <alignment horizontal="left" vertical="center"/>
    </xf>
    <xf numFmtId="0" fontId="49" fillId="8" borderId="208" xfId="0" quotePrefix="1" applyFont="1" applyFill="1" applyBorder="1" applyAlignment="1">
      <alignment horizontal="left" vertical="center" wrapText="1"/>
    </xf>
    <xf numFmtId="0" fontId="49" fillId="11" borderId="198" xfId="0" applyFont="1" applyFill="1" applyBorder="1" applyAlignment="1">
      <alignment horizontal="left" vertical="center" wrapText="1"/>
    </xf>
    <xf numFmtId="0" fontId="49" fillId="19" borderId="208" xfId="0" quotePrefix="1" applyFont="1" applyFill="1" applyBorder="1" applyAlignment="1">
      <alignment horizontal="left" vertical="center"/>
    </xf>
    <xf numFmtId="0" fontId="49" fillId="19" borderId="208" xfId="0" quotePrefix="1" applyFont="1" applyFill="1" applyBorder="1" applyAlignment="1">
      <alignment horizontal="left" vertical="center" wrapText="1"/>
    </xf>
    <xf numFmtId="167" fontId="49" fillId="9" borderId="198" xfId="0" applyNumberFormat="1" applyFont="1" applyFill="1" applyBorder="1" applyAlignment="1">
      <alignment horizontal="left" vertical="center" wrapText="1"/>
    </xf>
    <xf numFmtId="167" fontId="49" fillId="9" borderId="208" xfId="0" applyNumberFormat="1" applyFont="1" applyFill="1" applyBorder="1" applyAlignment="1">
      <alignment horizontal="left" vertical="center" wrapText="1"/>
    </xf>
    <xf numFmtId="165" fontId="49" fillId="8" borderId="208" xfId="0" applyNumberFormat="1" applyFont="1" applyFill="1" applyBorder="1" applyAlignment="1">
      <alignment horizontal="left" vertical="center"/>
    </xf>
    <xf numFmtId="0" fontId="49" fillId="8" borderId="208" xfId="0" quotePrefix="1" applyFont="1" applyFill="1" applyBorder="1" applyAlignment="1">
      <alignment horizontal="left" vertical="center"/>
    </xf>
    <xf numFmtId="0" fontId="49" fillId="8" borderId="208" xfId="0" applyFont="1" applyFill="1" applyBorder="1" applyAlignment="1">
      <alignment horizontal="left" vertical="center"/>
    </xf>
    <xf numFmtId="165" fontId="49" fillId="11" borderId="208" xfId="0" applyNumberFormat="1" applyFont="1" applyFill="1" applyBorder="1" applyAlignment="1">
      <alignment horizontal="left" vertical="center" wrapText="1"/>
    </xf>
    <xf numFmtId="165" fontId="49" fillId="19" borderId="208" xfId="0" applyNumberFormat="1" applyFont="1" applyFill="1" applyBorder="1" applyAlignment="1">
      <alignment horizontal="left" vertical="center"/>
    </xf>
    <xf numFmtId="0" fontId="49" fillId="19" borderId="208" xfId="0" applyFont="1" applyFill="1" applyBorder="1" applyAlignment="1">
      <alignment horizontal="left" vertical="center"/>
    </xf>
    <xf numFmtId="0" fontId="49" fillId="19" borderId="207" xfId="0" applyFont="1" applyFill="1" applyBorder="1" applyAlignment="1">
      <alignment horizontal="left" vertical="center" wrapText="1"/>
    </xf>
    <xf numFmtId="165" fontId="49" fillId="9" borderId="208" xfId="0" applyNumberFormat="1" applyFont="1" applyFill="1" applyBorder="1" applyAlignment="1">
      <alignment horizontal="left" vertical="center" wrapText="1"/>
    </xf>
    <xf numFmtId="1" fontId="49" fillId="9" borderId="208" xfId="0" applyNumberFormat="1" applyFont="1" applyFill="1" applyBorder="1" applyAlignment="1">
      <alignment horizontal="left" vertical="center" wrapText="1"/>
    </xf>
    <xf numFmtId="167" fontId="49" fillId="9" borderId="207" xfId="0" applyNumberFormat="1" applyFont="1" applyFill="1" applyBorder="1" applyAlignment="1">
      <alignment horizontal="left" vertical="center" wrapText="1"/>
    </xf>
    <xf numFmtId="167" fontId="49" fillId="9" borderId="179" xfId="0" applyNumberFormat="1" applyFont="1" applyFill="1" applyBorder="1" applyAlignment="1">
      <alignment horizontal="left" vertical="center" wrapText="1"/>
    </xf>
    <xf numFmtId="167" fontId="49" fillId="9" borderId="201" xfId="0" applyNumberFormat="1" applyFont="1" applyFill="1" applyBorder="1" applyAlignment="1">
      <alignment horizontal="left" vertical="center" wrapText="1"/>
    </xf>
    <xf numFmtId="165" fontId="49" fillId="9" borderId="201" xfId="0" applyNumberFormat="1" applyFont="1" applyFill="1" applyBorder="1" applyAlignment="1">
      <alignment horizontal="left" vertical="center" wrapText="1"/>
    </xf>
    <xf numFmtId="1" fontId="49" fillId="9" borderId="201" xfId="0" applyNumberFormat="1" applyFont="1" applyFill="1" applyBorder="1" applyAlignment="1">
      <alignment horizontal="left" vertical="center" wrapText="1"/>
    </xf>
    <xf numFmtId="167" fontId="49" fillId="9" borderId="181" xfId="0" applyNumberFormat="1" applyFont="1" applyFill="1" applyBorder="1" applyAlignment="1">
      <alignment horizontal="left" vertical="center" wrapText="1"/>
    </xf>
    <xf numFmtId="0" fontId="46" fillId="7" borderId="6" xfId="0" quotePrefix="1" applyFont="1" applyFill="1" applyBorder="1" applyAlignment="1">
      <alignment horizontal="left" vertical="center" wrapText="1"/>
    </xf>
    <xf numFmtId="0" fontId="53" fillId="20" borderId="198" xfId="0" applyFont="1" applyFill="1" applyBorder="1" applyAlignment="1">
      <alignment horizontal="left"/>
    </xf>
    <xf numFmtId="0" fontId="53" fillId="20" borderId="208" xfId="0" applyFont="1" applyFill="1" applyBorder="1" applyAlignment="1">
      <alignment horizontal="left" vertical="center" wrapText="1"/>
    </xf>
    <xf numFmtId="0" fontId="53" fillId="20" borderId="208" xfId="0" applyFont="1" applyFill="1" applyBorder="1" applyAlignment="1">
      <alignment horizontal="center" vertical="center" wrapText="1"/>
    </xf>
    <xf numFmtId="0" fontId="104" fillId="20" borderId="84" xfId="0" applyFont="1" applyFill="1" applyBorder="1" applyAlignment="1">
      <alignment horizontal="left" vertical="center"/>
    </xf>
    <xf numFmtId="0" fontId="104" fillId="20" borderId="8" xfId="0" applyFont="1" applyFill="1" applyBorder="1" applyAlignment="1">
      <alignment horizontal="left" vertical="center"/>
    </xf>
    <xf numFmtId="0" fontId="104" fillId="20" borderId="140" xfId="0" applyFont="1" applyFill="1" applyBorder="1" applyAlignment="1">
      <alignment horizontal="left" vertical="center"/>
    </xf>
    <xf numFmtId="0" fontId="104" fillId="20" borderId="207" xfId="0" applyFont="1" applyFill="1" applyBorder="1" applyAlignment="1">
      <alignment horizontal="left" vertical="center"/>
    </xf>
    <xf numFmtId="0" fontId="104" fillId="20" borderId="11" xfId="0" applyFont="1" applyFill="1" applyBorder="1" applyAlignment="1">
      <alignment horizontal="left" vertical="center"/>
    </xf>
    <xf numFmtId="167" fontId="49" fillId="10" borderId="208" xfId="0" applyNumberFormat="1" applyFont="1" applyFill="1" applyBorder="1" applyAlignment="1">
      <alignment horizontal="center" vertical="center" wrapText="1"/>
    </xf>
    <xf numFmtId="0" fontId="53" fillId="10" borderId="208" xfId="0" applyFont="1" applyFill="1" applyBorder="1" applyAlignment="1">
      <alignment horizontal="center" vertical="center" wrapText="1"/>
    </xf>
    <xf numFmtId="167" fontId="53" fillId="10" borderId="208" xfId="0" applyNumberFormat="1" applyFont="1" applyFill="1" applyBorder="1" applyAlignment="1">
      <alignment horizontal="center" vertical="center" wrapText="1"/>
    </xf>
    <xf numFmtId="0" fontId="49" fillId="8" borderId="213" xfId="0" applyFont="1" applyFill="1" applyBorder="1" applyAlignment="1">
      <alignment horizontal="center" vertical="center" wrapText="1"/>
    </xf>
    <xf numFmtId="0" fontId="49" fillId="11" borderId="213" xfId="0" applyFont="1" applyFill="1" applyBorder="1" applyAlignment="1">
      <alignment horizontal="center" vertical="center" wrapText="1"/>
    </xf>
    <xf numFmtId="2" fontId="49" fillId="11" borderId="213" xfId="0" applyNumberFormat="1" applyFont="1" applyFill="1" applyBorder="1" applyAlignment="1">
      <alignment horizontal="center" vertical="center" wrapText="1"/>
    </xf>
    <xf numFmtId="0" fontId="49" fillId="11" borderId="213" xfId="0" applyFont="1" applyFill="1" applyBorder="1" applyAlignment="1">
      <alignment horizontal="center" vertical="center"/>
    </xf>
    <xf numFmtId="0" fontId="49" fillId="10" borderId="213" xfId="0" applyFont="1" applyFill="1" applyBorder="1" applyAlignment="1">
      <alignment horizontal="center" vertical="center" wrapText="1"/>
    </xf>
    <xf numFmtId="0" fontId="53" fillId="7" borderId="213" xfId="0" applyFont="1" applyFill="1" applyBorder="1" applyAlignment="1">
      <alignment horizontal="center" vertical="center" wrapText="1"/>
    </xf>
    <xf numFmtId="0" fontId="49" fillId="7" borderId="213" xfId="0" applyFont="1" applyFill="1" applyBorder="1" applyAlignment="1">
      <alignment horizontal="center" vertical="center"/>
    </xf>
    <xf numFmtId="0" fontId="53" fillId="9" borderId="213" xfId="0" applyFont="1" applyFill="1" applyBorder="1" applyAlignment="1">
      <alignment horizontal="center" vertical="center" wrapText="1"/>
    </xf>
    <xf numFmtId="0" fontId="49" fillId="9" borderId="213" xfId="0" applyFont="1" applyFill="1" applyBorder="1" applyAlignment="1">
      <alignment horizontal="center" vertical="center"/>
    </xf>
    <xf numFmtId="0" fontId="4" fillId="0" borderId="0" xfId="47" applyAlignment="1">
      <alignment horizontal="left" vertical="center"/>
    </xf>
    <xf numFmtId="0" fontId="46" fillId="0" borderId="95" xfId="48" applyFont="1" applyBorder="1" applyAlignment="1">
      <alignment horizontal="left" vertical="center"/>
    </xf>
    <xf numFmtId="0" fontId="49" fillId="0" borderId="95" xfId="48" applyFont="1" applyBorder="1" applyAlignment="1">
      <alignment horizontal="left" vertical="center"/>
    </xf>
    <xf numFmtId="0" fontId="49" fillId="0" borderId="95" xfId="48" applyFont="1" applyBorder="1" applyAlignment="1">
      <alignment horizontal="left" vertical="center" wrapText="1"/>
    </xf>
    <xf numFmtId="0" fontId="49" fillId="0" borderId="95" xfId="48" applyFont="1" applyBorder="1" applyAlignment="1">
      <alignment horizontal="left"/>
    </xf>
    <xf numFmtId="0" fontId="49" fillId="0" borderId="95" xfId="48" applyFont="1" applyBorder="1" applyAlignment="1">
      <alignment horizontal="center" vertical="center"/>
    </xf>
    <xf numFmtId="167" fontId="49" fillId="8" borderId="213" xfId="0" applyNumberFormat="1" applyFont="1" applyFill="1" applyBorder="1" applyAlignment="1">
      <alignment horizontal="center" vertical="center" wrapText="1"/>
    </xf>
    <xf numFmtId="2" fontId="49" fillId="11" borderId="213" xfId="0" applyNumberFormat="1" applyFont="1" applyFill="1" applyBorder="1" applyAlignment="1">
      <alignment horizontal="center" vertical="center"/>
    </xf>
    <xf numFmtId="2" fontId="49" fillId="9" borderId="213" xfId="0" applyNumberFormat="1" applyFont="1" applyFill="1" applyBorder="1" applyAlignment="1">
      <alignment horizontal="center" vertical="center" wrapText="1"/>
    </xf>
    <xf numFmtId="2" fontId="49" fillId="7" borderId="213" xfId="0" applyNumberFormat="1" applyFont="1" applyFill="1" applyBorder="1" applyAlignment="1">
      <alignment horizontal="center" vertical="center" wrapText="1"/>
    </xf>
    <xf numFmtId="2" fontId="49" fillId="10" borderId="213" xfId="0" applyNumberFormat="1" applyFont="1" applyFill="1" applyBorder="1" applyAlignment="1">
      <alignment horizontal="center" vertical="center" wrapText="1"/>
    </xf>
    <xf numFmtId="2" fontId="49" fillId="20" borderId="208" xfId="0" applyNumberFormat="1" applyFont="1" applyFill="1" applyBorder="1" applyAlignment="1">
      <alignment horizontal="center" vertical="center" wrapText="1"/>
    </xf>
    <xf numFmtId="165" fontId="49" fillId="22" borderId="215" xfId="0" applyNumberFormat="1" applyFont="1" applyFill="1" applyBorder="1" applyAlignment="1">
      <alignment horizontal="left" vertical="center"/>
    </xf>
    <xf numFmtId="0" fontId="49" fillId="22" borderId="215" xfId="0" applyFont="1" applyFill="1" applyBorder="1" applyAlignment="1">
      <alignment horizontal="left" vertical="center"/>
    </xf>
    <xf numFmtId="0" fontId="46" fillId="7" borderId="8" xfId="0" applyFont="1" applyFill="1" applyBorder="1" applyAlignment="1">
      <alignment horizontal="left" vertical="center" wrapText="1"/>
    </xf>
    <xf numFmtId="0" fontId="49" fillId="8" borderId="207" xfId="0" applyFont="1" applyFill="1" applyBorder="1" applyAlignment="1">
      <alignment horizontal="left" vertical="center"/>
    </xf>
    <xf numFmtId="0" fontId="46" fillId="0" borderId="140" xfId="0" applyFont="1" applyFill="1" applyBorder="1" applyAlignment="1">
      <alignment horizontal="left" vertical="center"/>
    </xf>
    <xf numFmtId="0" fontId="46" fillId="0" borderId="142" xfId="0" applyFont="1" applyFill="1" applyBorder="1" applyAlignment="1">
      <alignment horizontal="left" vertical="center"/>
    </xf>
    <xf numFmtId="0" fontId="46" fillId="0" borderId="178" xfId="0" applyFont="1" applyFill="1" applyBorder="1" applyAlignment="1">
      <alignment horizontal="left" vertical="center"/>
    </xf>
    <xf numFmtId="0" fontId="46" fillId="0" borderId="38" xfId="0" applyFont="1" applyFill="1" applyBorder="1" applyAlignment="1">
      <alignment horizontal="left" vertical="center"/>
    </xf>
    <xf numFmtId="0" fontId="46" fillId="0" borderId="8" xfId="0" applyFont="1" applyFill="1" applyBorder="1" applyAlignment="1">
      <alignment horizontal="left" vertical="center"/>
    </xf>
    <xf numFmtId="0" fontId="46" fillId="0" borderId="181" xfId="0" applyFont="1" applyFill="1" applyBorder="1" applyAlignment="1">
      <alignment horizontal="left" vertical="center"/>
    </xf>
    <xf numFmtId="0" fontId="49" fillId="0" borderId="84" xfId="0" applyFont="1" applyFill="1" applyBorder="1" applyAlignment="1">
      <alignment horizontal="left" vertical="center" wrapText="1"/>
    </xf>
    <xf numFmtId="0" fontId="49" fillId="0" borderId="11" xfId="0" applyFont="1" applyFill="1" applyBorder="1" applyAlignment="1">
      <alignment horizontal="left" vertical="center" wrapText="1"/>
    </xf>
    <xf numFmtId="0" fontId="46" fillId="0" borderId="149" xfId="0" applyFont="1" applyFill="1" applyBorder="1" applyAlignment="1">
      <alignment horizontal="left" vertical="center"/>
    </xf>
    <xf numFmtId="0" fontId="49" fillId="0" borderId="141" xfId="0" applyFont="1" applyFill="1" applyBorder="1" applyAlignment="1">
      <alignment horizontal="left" vertical="center" wrapText="1"/>
    </xf>
    <xf numFmtId="0" fontId="49" fillId="22" borderId="214" xfId="0" applyFont="1" applyFill="1" applyBorder="1" applyAlignment="1">
      <alignment horizontal="left" vertical="center"/>
    </xf>
    <xf numFmtId="0" fontId="49" fillId="22" borderId="216" xfId="0" applyFont="1" applyFill="1" applyBorder="1" applyAlignment="1">
      <alignment horizontal="left" vertical="center"/>
    </xf>
    <xf numFmtId="0" fontId="46" fillId="8" borderId="6" xfId="0" applyFont="1" applyFill="1" applyBorder="1" applyAlignment="1">
      <alignment horizontal="left" vertical="center"/>
    </xf>
    <xf numFmtId="0" fontId="46" fillId="21" borderId="6" xfId="0" applyFont="1" applyFill="1" applyBorder="1" applyAlignment="1">
      <alignment horizontal="left" vertical="center"/>
    </xf>
    <xf numFmtId="0" fontId="46" fillId="22" borderId="6" xfId="0" applyFont="1" applyFill="1" applyBorder="1" applyAlignment="1">
      <alignment horizontal="left" vertical="center"/>
    </xf>
    <xf numFmtId="0" fontId="46" fillId="20" borderId="6" xfId="0" applyFont="1" applyFill="1" applyBorder="1" applyAlignment="1">
      <alignment horizontal="left" vertical="center"/>
    </xf>
    <xf numFmtId="0" fontId="46" fillId="11" borderId="6" xfId="0" applyFont="1" applyFill="1" applyBorder="1" applyAlignment="1">
      <alignment horizontal="left" vertical="center"/>
    </xf>
    <xf numFmtId="0" fontId="46" fillId="0" borderId="106" xfId="0" applyFont="1" applyFill="1" applyBorder="1" applyAlignment="1">
      <alignment horizontal="left" vertical="center"/>
    </xf>
    <xf numFmtId="2" fontId="49" fillId="0" borderId="175" xfId="0" applyNumberFormat="1" applyFont="1" applyFill="1" applyBorder="1" applyAlignment="1">
      <alignment horizontal="left" vertical="center"/>
    </xf>
    <xf numFmtId="2" fontId="49" fillId="0" borderId="180" xfId="0" applyNumberFormat="1" applyFont="1" applyFill="1" applyBorder="1" applyAlignment="1">
      <alignment horizontal="left" vertical="center"/>
    </xf>
    <xf numFmtId="0" fontId="49" fillId="0" borderId="181" xfId="0" applyFont="1" applyFill="1" applyBorder="1" applyAlignment="1">
      <alignment horizontal="left" vertical="center"/>
    </xf>
    <xf numFmtId="0" fontId="13" fillId="0" borderId="69" xfId="0" applyFont="1" applyFill="1" applyBorder="1" applyAlignment="1">
      <alignment horizontal="left" vertical="center"/>
    </xf>
    <xf numFmtId="0" fontId="14" fillId="0" borderId="69" xfId="0" applyFont="1" applyFill="1" applyBorder="1" applyAlignment="1">
      <alignment horizontal="left" vertical="center"/>
    </xf>
    <xf numFmtId="0" fontId="14" fillId="0" borderId="70" xfId="0" applyFont="1" applyFill="1" applyBorder="1" applyAlignment="1">
      <alignment horizontal="left" vertical="center"/>
    </xf>
    <xf numFmtId="0" fontId="13" fillId="0" borderId="6" xfId="0" applyFont="1" applyFill="1" applyBorder="1" applyAlignment="1">
      <alignment horizontal="left" vertical="center"/>
    </xf>
    <xf numFmtId="0" fontId="14" fillId="0" borderId="8" xfId="0" applyFont="1" applyFill="1" applyBorder="1" applyAlignment="1">
      <alignment horizontal="left" vertical="center"/>
    </xf>
    <xf numFmtId="0" fontId="14" fillId="0" borderId="15" xfId="0" applyFont="1" applyFill="1" applyBorder="1" applyAlignment="1">
      <alignment horizontal="left" vertical="center"/>
    </xf>
    <xf numFmtId="0" fontId="14" fillId="0" borderId="38" xfId="0" applyFont="1" applyFill="1" applyBorder="1" applyAlignment="1">
      <alignment horizontal="left" vertical="center"/>
    </xf>
    <xf numFmtId="0" fontId="6" fillId="0" borderId="166" xfId="0" applyFont="1" applyFill="1" applyBorder="1" applyAlignment="1">
      <alignment horizontal="left" vertical="center"/>
    </xf>
    <xf numFmtId="0" fontId="6" fillId="0" borderId="140" xfId="0" applyFont="1" applyFill="1" applyBorder="1" applyAlignment="1">
      <alignment horizontal="left" vertical="center"/>
    </xf>
    <xf numFmtId="0" fontId="6" fillId="0" borderId="102" xfId="0" applyFont="1" applyFill="1" applyBorder="1" applyAlignment="1">
      <alignment horizontal="left" vertical="center"/>
    </xf>
    <xf numFmtId="0" fontId="14" fillId="0" borderId="49" xfId="0" applyFont="1" applyFill="1" applyBorder="1" applyAlignment="1">
      <alignment horizontal="left" vertical="center"/>
    </xf>
    <xf numFmtId="0" fontId="14" fillId="0" borderId="10" xfId="0" applyFont="1" applyFill="1" applyBorder="1" applyAlignment="1">
      <alignment horizontal="left" vertical="center"/>
    </xf>
    <xf numFmtId="0" fontId="14" fillId="0" borderId="11" xfId="0" applyFont="1" applyFill="1" applyBorder="1" applyAlignment="1">
      <alignment horizontal="left" vertical="center"/>
    </xf>
    <xf numFmtId="0" fontId="46" fillId="10" borderId="102" xfId="0" applyFont="1" applyFill="1" applyBorder="1" applyAlignment="1">
      <alignment horizontal="left" vertical="center"/>
    </xf>
    <xf numFmtId="0" fontId="46" fillId="10" borderId="8" xfId="0" applyFont="1" applyFill="1" applyBorder="1" applyAlignment="1">
      <alignment horizontal="left" vertical="center"/>
    </xf>
    <xf numFmtId="0" fontId="46" fillId="10" borderId="11" xfId="0" applyFont="1" applyFill="1" applyBorder="1" applyAlignment="1">
      <alignment horizontal="left" vertical="center"/>
    </xf>
    <xf numFmtId="0" fontId="46" fillId="7" borderId="102" xfId="0" applyFont="1" applyFill="1" applyBorder="1" applyAlignment="1">
      <alignment horizontal="left" vertical="center"/>
    </xf>
    <xf numFmtId="0" fontId="46" fillId="7" borderId="8" xfId="0" applyFont="1" applyFill="1" applyBorder="1" applyAlignment="1">
      <alignment horizontal="left" vertical="center"/>
    </xf>
    <xf numFmtId="0" fontId="46" fillId="7" borderId="11" xfId="0" applyFont="1" applyFill="1" applyBorder="1" applyAlignment="1">
      <alignment horizontal="left" vertical="center"/>
    </xf>
    <xf numFmtId="0" fontId="49" fillId="8" borderId="38" xfId="0" applyFont="1" applyFill="1" applyBorder="1" applyAlignment="1">
      <alignment horizontal="left" vertical="center"/>
    </xf>
    <xf numFmtId="0" fontId="49" fillId="8" borderId="140" xfId="0" applyFont="1" applyFill="1" applyBorder="1" applyAlignment="1">
      <alignment horizontal="left" vertical="center"/>
    </xf>
    <xf numFmtId="0" fontId="49" fillId="8" borderId="142" xfId="0" applyFont="1" applyFill="1" applyBorder="1" applyAlignment="1">
      <alignment horizontal="left" vertical="center"/>
    </xf>
    <xf numFmtId="2" fontId="49" fillId="25" borderId="15" xfId="0" applyNumberFormat="1" applyFont="1" applyFill="1" applyBorder="1" applyAlignment="1">
      <alignment horizontal="left" vertical="center"/>
    </xf>
    <xf numFmtId="0" fontId="49" fillId="25" borderId="38" xfId="0" applyFont="1" applyFill="1" applyBorder="1" applyAlignment="1">
      <alignment horizontal="left" vertical="center"/>
    </xf>
    <xf numFmtId="0" fontId="49" fillId="25" borderId="8" xfId="0" applyFont="1" applyFill="1" applyBorder="1" applyAlignment="1">
      <alignment horizontal="left" vertical="center"/>
    </xf>
    <xf numFmtId="166" fontId="49" fillId="25" borderId="10" xfId="0" applyNumberFormat="1" applyFont="1" applyFill="1" applyBorder="1" applyAlignment="1">
      <alignment horizontal="left" vertical="center"/>
    </xf>
    <xf numFmtId="0" fontId="49" fillId="25" borderId="11" xfId="0" applyFont="1" applyFill="1" applyBorder="1" applyAlignment="1">
      <alignment horizontal="left" vertical="center"/>
    </xf>
    <xf numFmtId="0" fontId="49" fillId="11" borderId="11" xfId="0" applyFont="1" applyFill="1" applyBorder="1" applyAlignment="1">
      <alignment horizontal="left" vertical="center"/>
    </xf>
    <xf numFmtId="165" fontId="49" fillId="12" borderId="135" xfId="0" applyNumberFormat="1" applyFont="1" applyFill="1" applyBorder="1" applyAlignment="1">
      <alignment horizontal="left" vertical="center"/>
    </xf>
    <xf numFmtId="0" fontId="49" fillId="12" borderId="136" xfId="0" applyFont="1" applyFill="1" applyBorder="1" applyAlignment="1">
      <alignment horizontal="left" vertical="center"/>
    </xf>
    <xf numFmtId="165" fontId="49" fillId="12" borderId="123" xfId="0" applyNumberFormat="1" applyFont="1" applyFill="1" applyBorder="1" applyAlignment="1">
      <alignment horizontal="left" vertical="center"/>
    </xf>
    <xf numFmtId="0" fontId="49" fillId="12" borderId="140" xfId="0" applyFont="1" applyFill="1" applyBorder="1" applyAlignment="1">
      <alignment horizontal="left" vertical="center"/>
    </xf>
    <xf numFmtId="0" fontId="49" fillId="12" borderId="142" xfId="0" applyFont="1" applyFill="1" applyBorder="1" applyAlignment="1">
      <alignment horizontal="left" vertical="center"/>
    </xf>
    <xf numFmtId="2" fontId="49" fillId="12" borderId="15" xfId="0" applyNumberFormat="1" applyFont="1" applyFill="1" applyBorder="1" applyAlignment="1">
      <alignment horizontal="left" vertical="center"/>
    </xf>
    <xf numFmtId="0" fontId="49" fillId="12" borderId="38" xfId="0" applyFont="1" applyFill="1" applyBorder="1" applyAlignment="1">
      <alignment horizontal="left" vertical="center"/>
    </xf>
    <xf numFmtId="166" fontId="49" fillId="12" borderId="10" xfId="0" applyNumberFormat="1" applyFont="1" applyFill="1" applyBorder="1" applyAlignment="1">
      <alignment horizontal="left" vertical="center"/>
    </xf>
    <xf numFmtId="0" fontId="49" fillId="0" borderId="116" xfId="0" applyFont="1" applyFill="1" applyBorder="1" applyAlignment="1">
      <alignment horizontal="left" vertical="center"/>
    </xf>
    <xf numFmtId="165" fontId="49" fillId="10" borderId="208" xfId="0" applyNumberFormat="1" applyFont="1" applyFill="1" applyBorder="1" applyAlignment="1">
      <alignment horizontal="left" vertical="center"/>
    </xf>
    <xf numFmtId="0" fontId="46" fillId="8" borderId="8" xfId="0" applyFont="1" applyFill="1" applyBorder="1" applyAlignment="1">
      <alignment horizontal="left" vertical="center"/>
    </xf>
    <xf numFmtId="0" fontId="46" fillId="21" borderId="8" xfId="0" applyFont="1" applyFill="1" applyBorder="1" applyAlignment="1">
      <alignment horizontal="left" vertical="center"/>
    </xf>
    <xf numFmtId="0" fontId="46" fillId="22" borderId="8" xfId="0" applyFont="1" applyFill="1" applyBorder="1" applyAlignment="1">
      <alignment horizontal="left" vertical="center"/>
    </xf>
    <xf numFmtId="0" fontId="46" fillId="20" borderId="8" xfId="0" applyFont="1" applyFill="1" applyBorder="1" applyAlignment="1">
      <alignment horizontal="left" vertical="center"/>
    </xf>
    <xf numFmtId="0" fontId="46" fillId="11" borderId="8" xfId="0" applyFont="1" applyFill="1" applyBorder="1" applyAlignment="1">
      <alignment horizontal="left" vertical="center"/>
    </xf>
    <xf numFmtId="0" fontId="46" fillId="9" borderId="8" xfId="0" applyFont="1" applyFill="1" applyBorder="1" applyAlignment="1">
      <alignment horizontal="left" vertical="center"/>
    </xf>
    <xf numFmtId="2" fontId="49" fillId="20" borderId="98" xfId="0" applyNumberFormat="1" applyFont="1" applyFill="1" applyBorder="1" applyAlignment="1">
      <alignment horizontal="left" vertical="center"/>
    </xf>
    <xf numFmtId="2" fontId="49" fillId="20" borderId="15" xfId="0" applyNumberFormat="1" applyFont="1" applyFill="1" applyBorder="1" applyAlignment="1">
      <alignment horizontal="left" vertical="center"/>
    </xf>
    <xf numFmtId="165" fontId="49" fillId="20" borderId="15" xfId="0" applyNumberFormat="1" applyFont="1" applyFill="1" applyBorder="1" applyAlignment="1">
      <alignment horizontal="left" vertical="center"/>
    </xf>
    <xf numFmtId="165" fontId="49" fillId="20" borderId="122" xfId="0" applyNumberFormat="1" applyFont="1" applyFill="1" applyBorder="1" applyAlignment="1">
      <alignment horizontal="left" vertical="center"/>
    </xf>
    <xf numFmtId="0" fontId="73" fillId="7" borderId="58" xfId="0" applyFont="1" applyFill="1" applyBorder="1" applyAlignment="1">
      <alignment horizontal="left" vertical="center"/>
    </xf>
    <xf numFmtId="0" fontId="73" fillId="7" borderId="143" xfId="0" applyFont="1" applyFill="1" applyBorder="1" applyAlignment="1">
      <alignment horizontal="left" vertical="center"/>
    </xf>
    <xf numFmtId="0" fontId="73" fillId="7" borderId="191" xfId="0" applyFont="1" applyFill="1" applyBorder="1" applyAlignment="1">
      <alignment horizontal="left" vertical="center" wrapText="1"/>
    </xf>
    <xf numFmtId="0" fontId="73" fillId="7" borderId="191" xfId="0" applyFont="1" applyFill="1" applyBorder="1" applyAlignment="1">
      <alignment horizontal="left" vertical="center"/>
    </xf>
    <xf numFmtId="0" fontId="49" fillId="0" borderId="14" xfId="0" applyFont="1" applyFill="1" applyBorder="1" applyAlignment="1">
      <alignment horizontal="left" vertical="center" wrapText="1"/>
    </xf>
    <xf numFmtId="0" fontId="46" fillId="0" borderId="166" xfId="0" applyFont="1" applyFill="1" applyBorder="1" applyAlignment="1">
      <alignment horizontal="left" vertical="center" wrapText="1"/>
    </xf>
    <xf numFmtId="0" fontId="46" fillId="0" borderId="138" xfId="0" applyFont="1" applyFill="1" applyBorder="1" applyAlignment="1">
      <alignment horizontal="left" vertical="center" wrapText="1"/>
    </xf>
    <xf numFmtId="0" fontId="46" fillId="0" borderId="175" xfId="0" applyFont="1" applyFill="1" applyBorder="1" applyAlignment="1">
      <alignment horizontal="left" vertical="center" wrapText="1"/>
    </xf>
    <xf numFmtId="164" fontId="49" fillId="0" borderId="15" xfId="0" applyNumberFormat="1" applyFont="1" applyFill="1" applyBorder="1" applyAlignment="1">
      <alignment horizontal="left" vertical="center" wrapText="1"/>
    </xf>
    <xf numFmtId="0" fontId="49" fillId="0" borderId="193" xfId="0" applyFont="1" applyFill="1" applyBorder="1" applyAlignment="1">
      <alignment horizontal="left" vertical="center" wrapText="1"/>
    </xf>
    <xf numFmtId="164" fontId="0" fillId="0" borderId="15" xfId="0" applyNumberFormat="1" applyFont="1" applyFill="1" applyBorder="1" applyAlignment="1">
      <alignment horizontal="left" vertical="center" wrapText="1"/>
    </xf>
    <xf numFmtId="167" fontId="49" fillId="0" borderId="180" xfId="0" applyNumberFormat="1" applyFont="1" applyFill="1" applyBorder="1" applyAlignment="1">
      <alignment horizontal="left" vertical="center" wrapText="1"/>
    </xf>
    <xf numFmtId="0" fontId="46" fillId="0" borderId="15" xfId="0" applyFont="1" applyFill="1" applyBorder="1" applyAlignment="1">
      <alignment horizontal="left" vertical="center" wrapText="1"/>
    </xf>
    <xf numFmtId="0" fontId="46" fillId="0" borderId="180" xfId="0" applyFont="1" applyFill="1" applyBorder="1" applyAlignment="1">
      <alignment horizontal="left" vertical="center" wrapText="1"/>
    </xf>
    <xf numFmtId="164" fontId="49" fillId="0" borderId="180" xfId="0" applyNumberFormat="1" applyFont="1" applyFill="1" applyBorder="1" applyAlignment="1">
      <alignment horizontal="left" vertical="center" wrapText="1"/>
    </xf>
    <xf numFmtId="0" fontId="46" fillId="0" borderId="175" xfId="0" quotePrefix="1" applyFont="1" applyFill="1" applyBorder="1" applyAlignment="1">
      <alignment horizontal="left" vertical="center" wrapText="1"/>
    </xf>
    <xf numFmtId="0" fontId="46" fillId="0" borderId="180" xfId="0" quotePrefix="1" applyFont="1" applyFill="1" applyBorder="1" applyAlignment="1">
      <alignment horizontal="left" vertical="center" wrapText="1"/>
    </xf>
    <xf numFmtId="0" fontId="11" fillId="0" borderId="108" xfId="0" applyFont="1" applyFill="1" applyBorder="1" applyAlignment="1">
      <alignment horizontal="left" vertical="center" wrapText="1"/>
    </xf>
    <xf numFmtId="0" fontId="11" fillId="0" borderId="98" xfId="0" applyFont="1" applyFill="1" applyBorder="1" applyAlignment="1">
      <alignment horizontal="left" vertical="center" wrapText="1"/>
    </xf>
    <xf numFmtId="0" fontId="49" fillId="0" borderId="13" xfId="0" applyFont="1" applyFill="1" applyBorder="1" applyAlignment="1">
      <alignment horizontal="left" vertical="center" wrapText="1"/>
    </xf>
    <xf numFmtId="0" fontId="49" fillId="0" borderId="99" xfId="0" applyFont="1" applyFill="1" applyBorder="1" applyAlignment="1">
      <alignment horizontal="left" vertical="center" wrapText="1"/>
    </xf>
    <xf numFmtId="0" fontId="46" fillId="10" borderId="98" xfId="0" quotePrefix="1" applyFont="1" applyFill="1" applyBorder="1" applyAlignment="1">
      <alignment horizontal="left" vertical="center" wrapText="1"/>
    </xf>
    <xf numFmtId="0" fontId="46" fillId="10" borderId="97" xfId="0" quotePrefix="1" applyFont="1" applyFill="1" applyBorder="1" applyAlignment="1">
      <alignment horizontal="left" vertical="center" wrapText="1"/>
    </xf>
    <xf numFmtId="0" fontId="46" fillId="10" borderId="6" xfId="0" quotePrefix="1" applyFont="1" applyFill="1" applyBorder="1" applyAlignment="1">
      <alignment horizontal="left" vertical="center" wrapText="1"/>
    </xf>
    <xf numFmtId="0" fontId="46" fillId="10" borderId="10" xfId="0" quotePrefix="1" applyFont="1" applyFill="1" applyBorder="1" applyAlignment="1">
      <alignment horizontal="left" vertical="center" wrapText="1"/>
    </xf>
    <xf numFmtId="0" fontId="46" fillId="7" borderId="98" xfId="0" applyFont="1" applyFill="1" applyBorder="1" applyAlignment="1">
      <alignment horizontal="left" vertical="center" wrapText="1"/>
    </xf>
    <xf numFmtId="0" fontId="46" fillId="7" borderId="98" xfId="0" quotePrefix="1" applyFont="1" applyFill="1" applyBorder="1" applyAlignment="1">
      <alignment horizontal="left" vertical="center" wrapText="1"/>
    </xf>
    <xf numFmtId="0" fontId="46" fillId="7" borderId="97" xfId="0" applyFont="1" applyFill="1" applyBorder="1" applyAlignment="1">
      <alignment horizontal="left" vertical="center" wrapText="1"/>
    </xf>
    <xf numFmtId="0" fontId="46" fillId="7" borderId="97" xfId="0" quotePrefix="1" applyFont="1" applyFill="1" applyBorder="1" applyAlignment="1">
      <alignment horizontal="left" vertical="center" wrapText="1"/>
    </xf>
    <xf numFmtId="0" fontId="46" fillId="7" borderId="111" xfId="0" quotePrefix="1" applyFont="1" applyFill="1" applyBorder="1" applyAlignment="1">
      <alignment horizontal="left" vertical="center" wrapText="1"/>
    </xf>
    <xf numFmtId="0" fontId="46" fillId="7" borderId="10" xfId="0" quotePrefix="1" applyFont="1" applyFill="1" applyBorder="1" applyAlignment="1">
      <alignment horizontal="left" vertical="center" wrapText="1"/>
    </xf>
    <xf numFmtId="0" fontId="49" fillId="8" borderId="97" xfId="0" quotePrefix="1" applyFont="1" applyFill="1" applyBorder="1" applyAlignment="1">
      <alignment horizontal="left" vertical="center" wrapText="1"/>
    </xf>
    <xf numFmtId="0" fontId="49" fillId="8" borderId="6" xfId="0" quotePrefix="1" applyFont="1" applyFill="1" applyBorder="1" applyAlignment="1">
      <alignment horizontal="left" vertical="center" wrapText="1"/>
    </xf>
    <xf numFmtId="0" fontId="49" fillId="8" borderId="98" xfId="0" quotePrefix="1" applyFont="1" applyFill="1" applyBorder="1" applyAlignment="1">
      <alignment horizontal="left" vertical="center" wrapText="1"/>
    </xf>
    <xf numFmtId="0" fontId="49" fillId="8" borderId="15" xfId="0" quotePrefix="1" applyFont="1" applyFill="1" applyBorder="1" applyAlignment="1">
      <alignment horizontal="left" vertical="center" wrapText="1"/>
    </xf>
    <xf numFmtId="0" fontId="49" fillId="8" borderId="166" xfId="0" quotePrefix="1" applyFont="1" applyFill="1" applyBorder="1" applyAlignment="1">
      <alignment horizontal="left" vertical="center" wrapText="1"/>
    </xf>
    <xf numFmtId="0" fontId="49" fillId="8" borderId="138" xfId="0" quotePrefix="1" applyFont="1" applyFill="1" applyBorder="1" applyAlignment="1">
      <alignment horizontal="left" vertical="center" wrapText="1"/>
    </xf>
    <xf numFmtId="0" fontId="49" fillId="25" borderId="15" xfId="0" quotePrefix="1" applyFont="1" applyFill="1" applyBorder="1" applyAlignment="1">
      <alignment horizontal="left" vertical="center" wrapText="1"/>
    </xf>
    <xf numFmtId="0" fontId="49" fillId="25" borderId="6" xfId="0" quotePrefix="1" applyFont="1" applyFill="1" applyBorder="1" applyAlignment="1">
      <alignment horizontal="left" vertical="center" wrapText="1"/>
    </xf>
    <xf numFmtId="0" fontId="49" fillId="25" borderId="10" xfId="0" quotePrefix="1" applyFont="1" applyFill="1" applyBorder="1" applyAlignment="1">
      <alignment horizontal="left" vertical="center" wrapText="1"/>
    </xf>
    <xf numFmtId="0" fontId="49" fillId="11" borderId="175" xfId="0" quotePrefix="1" applyFont="1" applyFill="1" applyBorder="1" applyAlignment="1">
      <alignment horizontal="left" vertical="center" wrapText="1"/>
    </xf>
    <xf numFmtId="0" fontId="49" fillId="11" borderId="6" xfId="0" quotePrefix="1" applyFont="1" applyFill="1" applyBorder="1" applyAlignment="1">
      <alignment horizontal="left" vertical="center" wrapText="1"/>
    </xf>
    <xf numFmtId="0" fontId="49" fillId="11" borderId="97" xfId="0" quotePrefix="1" applyFont="1" applyFill="1" applyBorder="1" applyAlignment="1">
      <alignment horizontal="left" vertical="center" wrapText="1"/>
    </xf>
    <xf numFmtId="0" fontId="49" fillId="11" borderId="10" xfId="0" quotePrefix="1" applyFont="1" applyFill="1" applyBorder="1" applyAlignment="1">
      <alignment horizontal="left" vertical="center" wrapText="1"/>
    </xf>
    <xf numFmtId="0" fontId="49" fillId="12" borderId="135" xfId="0" quotePrefix="1" applyFont="1" applyFill="1" applyBorder="1" applyAlignment="1">
      <alignment horizontal="left" vertical="center" wrapText="1"/>
    </xf>
    <xf numFmtId="0" fontId="49" fillId="12" borderId="123" xfId="0" quotePrefix="1" applyFont="1" applyFill="1" applyBorder="1" applyAlignment="1">
      <alignment horizontal="left" vertical="center" wrapText="1"/>
    </xf>
    <xf numFmtId="0" fontId="49" fillId="12" borderId="138" xfId="0" quotePrefix="1" applyFont="1" applyFill="1" applyBorder="1" applyAlignment="1">
      <alignment horizontal="left" vertical="center" wrapText="1"/>
    </xf>
    <xf numFmtId="0" fontId="49" fillId="12" borderId="98" xfId="0" quotePrefix="1" applyFont="1" applyFill="1" applyBorder="1" applyAlignment="1">
      <alignment horizontal="left" vertical="center" wrapText="1"/>
    </xf>
    <xf numFmtId="0" fontId="49" fillId="12" borderId="15" xfId="0" quotePrefix="1" applyFont="1" applyFill="1" applyBorder="1" applyAlignment="1">
      <alignment horizontal="left" vertical="center" wrapText="1"/>
    </xf>
    <xf numFmtId="0" fontId="49" fillId="12" borderId="97" xfId="0" quotePrefix="1" applyFont="1" applyFill="1" applyBorder="1" applyAlignment="1">
      <alignment horizontal="left" vertical="center" wrapText="1"/>
    </xf>
    <xf numFmtId="0" fontId="49" fillId="12" borderId="6" xfId="0" quotePrefix="1" applyFont="1" applyFill="1" applyBorder="1" applyAlignment="1">
      <alignment horizontal="left" vertical="center" wrapText="1"/>
    </xf>
    <xf numFmtId="0" fontId="49" fillId="12" borderId="10" xfId="0" quotePrefix="1" applyFont="1" applyFill="1" applyBorder="1" applyAlignment="1">
      <alignment horizontal="left" vertical="center" wrapText="1"/>
    </xf>
    <xf numFmtId="0" fontId="49" fillId="0" borderId="149" xfId="0" quotePrefix="1" applyFont="1" applyFill="1" applyBorder="1" applyAlignment="1">
      <alignment horizontal="left" vertical="center" wrapText="1"/>
    </xf>
    <xf numFmtId="0" fontId="49" fillId="22" borderId="215" xfId="0" applyFont="1" applyFill="1" applyBorder="1" applyAlignment="1">
      <alignment horizontal="left" vertical="center" wrapText="1"/>
    </xf>
    <xf numFmtId="0" fontId="49" fillId="0" borderId="97" xfId="0" quotePrefix="1" applyFont="1" applyFill="1" applyBorder="1" applyAlignment="1">
      <alignment horizontal="left" vertical="center" wrapText="1"/>
    </xf>
    <xf numFmtId="0" fontId="49" fillId="20" borderId="175" xfId="0" applyFont="1" applyFill="1" applyBorder="1" applyAlignment="1">
      <alignment horizontal="left" vertical="center" wrapText="1"/>
    </xf>
    <xf numFmtId="0" fontId="49" fillId="0" borderId="153" xfId="0" quotePrefix="1" applyFont="1" applyFill="1" applyBorder="1" applyAlignment="1">
      <alignment horizontal="left" vertical="center" wrapText="1"/>
    </xf>
    <xf numFmtId="0" fontId="49" fillId="8" borderId="104" xfId="0" quotePrefix="1" applyFont="1" applyFill="1" applyBorder="1" applyAlignment="1">
      <alignment horizontal="left" vertical="center" wrapText="1"/>
    </xf>
    <xf numFmtId="0" fontId="46" fillId="8" borderId="6" xfId="0" quotePrefix="1" applyFont="1" applyFill="1" applyBorder="1" applyAlignment="1">
      <alignment horizontal="left" vertical="center" wrapText="1"/>
    </xf>
    <xf numFmtId="0" fontId="49" fillId="21" borderId="97" xfId="0" quotePrefix="1" applyFont="1" applyFill="1" applyBorder="1" applyAlignment="1">
      <alignment horizontal="left" vertical="center" wrapText="1"/>
    </xf>
    <xf numFmtId="0" fontId="49" fillId="21" borderId="6" xfId="0" quotePrefix="1" applyFont="1" applyFill="1" applyBorder="1" applyAlignment="1">
      <alignment horizontal="left" vertical="center" wrapText="1"/>
    </xf>
    <xf numFmtId="0" fontId="46" fillId="21" borderId="6" xfId="0" quotePrefix="1" applyFont="1" applyFill="1" applyBorder="1" applyAlignment="1">
      <alignment horizontal="left" vertical="center" wrapText="1"/>
    </xf>
    <xf numFmtId="0" fontId="46" fillId="10" borderId="97" xfId="0" applyFont="1" applyFill="1" applyBorder="1" applyAlignment="1">
      <alignment horizontal="left" vertical="center" wrapText="1"/>
    </xf>
    <xf numFmtId="0" fontId="46" fillId="22" borderId="97" xfId="0" applyFont="1" applyFill="1" applyBorder="1" applyAlignment="1">
      <alignment horizontal="left" vertical="center" wrapText="1"/>
    </xf>
    <xf numFmtId="0" fontId="46" fillId="22" borderId="6" xfId="0" quotePrefix="1" applyFont="1" applyFill="1" applyBorder="1" applyAlignment="1">
      <alignment horizontal="left" vertical="center" wrapText="1"/>
    </xf>
    <xf numFmtId="0" fontId="46" fillId="20" borderId="97" xfId="0" applyFont="1" applyFill="1" applyBorder="1" applyAlignment="1">
      <alignment horizontal="left" vertical="center" wrapText="1"/>
    </xf>
    <xf numFmtId="0" fontId="46" fillId="20" borderId="6" xfId="0" quotePrefix="1" applyFont="1" applyFill="1" applyBorder="1" applyAlignment="1">
      <alignment horizontal="left" vertical="center" wrapText="1"/>
    </xf>
    <xf numFmtId="0" fontId="46" fillId="11" borderId="6" xfId="0" quotePrefix="1" applyFont="1" applyFill="1" applyBorder="1" applyAlignment="1">
      <alignment horizontal="left" vertical="center" wrapText="1"/>
    </xf>
    <xf numFmtId="0" fontId="49" fillId="11" borderId="166" xfId="0" quotePrefix="1" applyFont="1" applyFill="1" applyBorder="1" applyAlignment="1">
      <alignment horizontal="left" vertical="center" wrapText="1"/>
    </xf>
    <xf numFmtId="0" fontId="49" fillId="11" borderId="208" xfId="0" quotePrefix="1" applyFont="1" applyFill="1" applyBorder="1" applyAlignment="1">
      <alignment horizontal="left" vertical="center" wrapText="1"/>
    </xf>
    <xf numFmtId="0" fontId="49" fillId="19" borderId="175" xfId="0" quotePrefix="1" applyFont="1" applyFill="1" applyBorder="1" applyAlignment="1">
      <alignment horizontal="left" vertical="center" wrapText="1"/>
    </xf>
    <xf numFmtId="0" fontId="49" fillId="19" borderId="6" xfId="0" quotePrefix="1" applyFont="1" applyFill="1" applyBorder="1" applyAlignment="1">
      <alignment horizontal="left" vertical="center" wrapText="1"/>
    </xf>
    <xf numFmtId="0" fontId="46" fillId="12" borderId="6" xfId="0" quotePrefix="1" applyFont="1" applyFill="1" applyBorder="1" applyAlignment="1">
      <alignment horizontal="left" vertical="center" wrapText="1"/>
    </xf>
    <xf numFmtId="0" fontId="49" fillId="18" borderId="97" xfId="0" quotePrefix="1" applyFont="1" applyFill="1" applyBorder="1" applyAlignment="1">
      <alignment horizontal="left" vertical="center" wrapText="1"/>
    </xf>
    <xf numFmtId="0" fontId="49" fillId="18" borderId="6" xfId="0" quotePrefix="1" applyFont="1" applyFill="1" applyBorder="1" applyAlignment="1">
      <alignment horizontal="left" vertical="center" wrapText="1"/>
    </xf>
    <xf numFmtId="0" fontId="46" fillId="18" borderId="6" xfId="0" quotePrefix="1" applyFont="1" applyFill="1" applyBorder="1" applyAlignment="1">
      <alignment horizontal="left" vertical="center" wrapText="1"/>
    </xf>
    <xf numFmtId="0" fontId="49" fillId="7" borderId="97" xfId="0" quotePrefix="1" applyFont="1" applyFill="1" applyBorder="1" applyAlignment="1">
      <alignment horizontal="left" vertical="center" wrapText="1"/>
    </xf>
    <xf numFmtId="0" fontId="49" fillId="7" borderId="6" xfId="0" quotePrefix="1" applyFont="1" applyFill="1" applyBorder="1" applyAlignment="1">
      <alignment horizontal="left" vertical="center" wrapText="1"/>
    </xf>
    <xf numFmtId="0" fontId="46" fillId="9" borderId="97" xfId="0" applyFont="1" applyFill="1" applyBorder="1" applyAlignment="1">
      <alignment horizontal="left" vertical="center" wrapText="1"/>
    </xf>
    <xf numFmtId="0" fontId="46" fillId="9" borderId="6" xfId="0" quotePrefix="1" applyFont="1" applyFill="1" applyBorder="1" applyAlignment="1">
      <alignment horizontal="left" vertical="center" wrapText="1"/>
    </xf>
    <xf numFmtId="0" fontId="49" fillId="9" borderId="6" xfId="0" quotePrefix="1" applyFont="1" applyFill="1" applyBorder="1" applyAlignment="1">
      <alignment horizontal="left" vertical="center" wrapText="1"/>
    </xf>
    <xf numFmtId="0" fontId="49" fillId="9" borderId="208" xfId="0" applyFont="1" applyFill="1" applyBorder="1" applyAlignment="1">
      <alignment horizontal="left" vertical="center" wrapText="1"/>
    </xf>
    <xf numFmtId="0" fontId="49" fillId="9" borderId="166" xfId="0" quotePrefix="1" applyFont="1" applyFill="1" applyBorder="1" applyAlignment="1">
      <alignment horizontal="left" vertical="center" wrapText="1"/>
    </xf>
    <xf numFmtId="0" fontId="49" fillId="9" borderId="10" xfId="0" applyFont="1" applyFill="1" applyBorder="1" applyAlignment="1">
      <alignment horizontal="left" vertical="center" wrapText="1"/>
    </xf>
    <xf numFmtId="0" fontId="53" fillId="8" borderId="83" xfId="0" applyFont="1" applyFill="1" applyBorder="1" applyAlignment="1">
      <alignment horizontal="left" vertical="center" wrapText="1"/>
    </xf>
    <xf numFmtId="0" fontId="53" fillId="8" borderId="87" xfId="0" applyFont="1" applyFill="1" applyBorder="1" applyAlignment="1">
      <alignment horizontal="left" vertical="center" wrapText="1"/>
    </xf>
    <xf numFmtId="0" fontId="53" fillId="8" borderId="97" xfId="0" applyFont="1" applyFill="1" applyBorder="1" applyAlignment="1">
      <alignment horizontal="left" vertical="center" wrapText="1"/>
    </xf>
    <xf numFmtId="0" fontId="53" fillId="11" borderId="175" xfId="0" applyFont="1" applyFill="1" applyBorder="1" applyAlignment="1">
      <alignment horizontal="left" vertical="center" wrapText="1"/>
    </xf>
    <xf numFmtId="0" fontId="53" fillId="19" borderId="97" xfId="0" applyFont="1" applyFill="1" applyBorder="1" applyAlignment="1">
      <alignment horizontal="left" vertical="center" wrapText="1"/>
    </xf>
    <xf numFmtId="0" fontId="53" fillId="10" borderId="97" xfId="0" applyFont="1" applyFill="1" applyBorder="1" applyAlignment="1">
      <alignment horizontal="left" vertical="center" wrapText="1"/>
    </xf>
    <xf numFmtId="0" fontId="0" fillId="10" borderId="6" xfId="0" applyFill="1" applyBorder="1" applyAlignment="1">
      <alignment horizontal="left" vertical="center" wrapText="1"/>
    </xf>
    <xf numFmtId="0" fontId="0" fillId="20" borderId="6" xfId="0" applyFill="1" applyBorder="1" applyAlignment="1">
      <alignment horizontal="left" vertical="center" wrapText="1"/>
    </xf>
    <xf numFmtId="0" fontId="53" fillId="12" borderId="97" xfId="0" applyFont="1" applyFill="1" applyBorder="1" applyAlignment="1">
      <alignment horizontal="left" vertical="center" wrapText="1"/>
    </xf>
    <xf numFmtId="0" fontId="53" fillId="9" borderId="97" xfId="0" applyFont="1" applyFill="1" applyBorder="1" applyAlignment="1">
      <alignment horizontal="left" vertical="center" wrapText="1"/>
    </xf>
    <xf numFmtId="0" fontId="53" fillId="16" borderId="97" xfId="0" applyFont="1" applyFill="1" applyBorder="1" applyAlignment="1">
      <alignment horizontal="left" vertical="center" wrapText="1"/>
    </xf>
    <xf numFmtId="0" fontId="53" fillId="16" borderId="10" xfId="0" applyFont="1" applyFill="1" applyBorder="1" applyAlignment="1">
      <alignment horizontal="left" vertical="center" wrapText="1"/>
    </xf>
    <xf numFmtId="0" fontId="49" fillId="20" borderId="15" xfId="0" applyFont="1" applyFill="1" applyBorder="1" applyAlignment="1">
      <alignment horizontal="left" vertical="center" wrapText="1"/>
    </xf>
    <xf numFmtId="0" fontId="49" fillId="20" borderId="98" xfId="0" applyFont="1" applyFill="1" applyBorder="1" applyAlignment="1">
      <alignment horizontal="left" vertical="center" wrapText="1"/>
    </xf>
    <xf numFmtId="0" fontId="49" fillId="20" borderId="137" xfId="0" applyFont="1" applyFill="1" applyBorder="1" applyAlignment="1">
      <alignment horizontal="left" vertical="center" wrapText="1"/>
    </xf>
    <xf numFmtId="0" fontId="49" fillId="20" borderId="83" xfId="0" applyFont="1" applyFill="1" applyBorder="1" applyAlignment="1">
      <alignment horizontal="left" vertical="center" wrapText="1"/>
    </xf>
    <xf numFmtId="0" fontId="49" fillId="20" borderId="69" xfId="0" applyFont="1" applyFill="1" applyBorder="1" applyAlignment="1">
      <alignment horizontal="left" vertical="center" wrapText="1"/>
    </xf>
    <xf numFmtId="0" fontId="49" fillId="20" borderId="6" xfId="0" applyFont="1" applyFill="1" applyBorder="1" applyAlignment="1">
      <alignment horizontal="left" vertical="center" wrapText="1"/>
    </xf>
    <xf numFmtId="0" fontId="49" fillId="20" borderId="87" xfId="0" applyFont="1" applyFill="1" applyBorder="1" applyAlignment="1">
      <alignment horizontal="left" vertical="center" wrapText="1"/>
    </xf>
    <xf numFmtId="0" fontId="49" fillId="20" borderId="36" xfId="0" applyFont="1" applyFill="1" applyBorder="1" applyAlignment="1">
      <alignment horizontal="left" vertical="center" wrapText="1"/>
    </xf>
    <xf numFmtId="0" fontId="49" fillId="20" borderId="61" xfId="24" applyFont="1" applyFill="1" applyBorder="1" applyAlignment="1">
      <alignment horizontal="left" vertical="center" wrapText="1"/>
    </xf>
    <xf numFmtId="0" fontId="49" fillId="20" borderId="6" xfId="24" applyFont="1" applyFill="1" applyBorder="1" applyAlignment="1">
      <alignment horizontal="left" vertical="center" wrapText="1"/>
    </xf>
    <xf numFmtId="0" fontId="49" fillId="20" borderId="180" xfId="24" applyFont="1" applyFill="1" applyBorder="1" applyAlignment="1">
      <alignment horizontal="left" vertical="center" wrapText="1"/>
    </xf>
    <xf numFmtId="0" fontId="49" fillId="20" borderId="199" xfId="0" applyFont="1" applyFill="1" applyBorder="1" applyAlignment="1">
      <alignment horizontal="left" vertical="center" wrapText="1"/>
    </xf>
    <xf numFmtId="0" fontId="49" fillId="20" borderId="201" xfId="0" applyFont="1" applyFill="1" applyBorder="1" applyAlignment="1">
      <alignment horizontal="left" vertical="center" wrapText="1"/>
    </xf>
    <xf numFmtId="0" fontId="49" fillId="20" borderId="196" xfId="0" applyFont="1" applyFill="1" applyBorder="1" applyAlignment="1">
      <alignment horizontal="left" vertical="center" wrapText="1"/>
    </xf>
    <xf numFmtId="0" fontId="49" fillId="20" borderId="194" xfId="0" applyFont="1" applyFill="1" applyBorder="1" applyAlignment="1">
      <alignment horizontal="left" vertical="center" wrapText="1"/>
    </xf>
    <xf numFmtId="0" fontId="0" fillId="20" borderId="98" xfId="0" applyFill="1" applyBorder="1" applyAlignment="1">
      <alignment horizontal="left" vertical="center" wrapText="1"/>
    </xf>
    <xf numFmtId="0" fontId="49" fillId="20" borderId="123" xfId="0" applyFont="1" applyFill="1" applyBorder="1" applyAlignment="1">
      <alignment horizontal="left" vertical="center" wrapText="1"/>
    </xf>
    <xf numFmtId="0" fontId="0" fillId="20" borderId="123" xfId="0" applyFill="1" applyBorder="1" applyAlignment="1">
      <alignment horizontal="left" vertical="center" wrapText="1"/>
    </xf>
    <xf numFmtId="0" fontId="0" fillId="20" borderId="138" xfId="0" applyFill="1" applyBorder="1" applyAlignment="1">
      <alignment horizontal="left" vertical="center" wrapText="1"/>
    </xf>
    <xf numFmtId="0" fontId="9" fillId="20" borderId="123" xfId="0" applyFont="1" applyFill="1" applyBorder="1" applyAlignment="1">
      <alignment horizontal="left" vertical="center" wrapText="1"/>
    </xf>
    <xf numFmtId="0" fontId="49" fillId="20" borderId="135" xfId="0" applyFont="1" applyFill="1" applyBorder="1" applyAlignment="1">
      <alignment horizontal="left" vertical="center" wrapText="1"/>
    </xf>
    <xf numFmtId="0" fontId="49" fillId="20" borderId="135" xfId="0" quotePrefix="1" applyFont="1" applyFill="1" applyBorder="1" applyAlignment="1">
      <alignment horizontal="left" vertical="center" wrapText="1"/>
    </xf>
    <xf numFmtId="0" fontId="49" fillId="20" borderId="96" xfId="0" applyFont="1" applyFill="1" applyBorder="1" applyAlignment="1">
      <alignment horizontal="left" vertical="center" wrapText="1"/>
    </xf>
    <xf numFmtId="0" fontId="49" fillId="4" borderId="98" xfId="0" applyFont="1" applyFill="1" applyBorder="1" applyAlignment="1">
      <alignment horizontal="left" vertical="center" wrapText="1"/>
    </xf>
    <xf numFmtId="0" fontId="49" fillId="4" borderId="96" xfId="0" applyFont="1" applyFill="1" applyBorder="1" applyAlignment="1">
      <alignment horizontal="left" vertical="center" wrapText="1"/>
    </xf>
    <xf numFmtId="0" fontId="46" fillId="4" borderId="138" xfId="0" quotePrefix="1" applyFont="1" applyFill="1" applyBorder="1" applyAlignment="1">
      <alignment horizontal="left" vertical="center" wrapText="1"/>
    </xf>
    <xf numFmtId="0" fontId="49" fillId="4" borderId="108" xfId="0" applyFont="1" applyFill="1" applyBorder="1" applyAlignment="1">
      <alignment horizontal="left" vertical="center" wrapText="1"/>
    </xf>
    <xf numFmtId="0" fontId="46" fillId="4" borderId="108" xfId="0" quotePrefix="1" applyFont="1" applyFill="1" applyBorder="1" applyAlignment="1">
      <alignment horizontal="left" vertical="center" wrapText="1"/>
    </xf>
    <xf numFmtId="0" fontId="49" fillId="4" borderId="137" xfId="0" applyFont="1" applyFill="1" applyBorder="1" applyAlignment="1">
      <alignment horizontal="left" vertical="center" wrapText="1"/>
    </xf>
    <xf numFmtId="0" fontId="46" fillId="4" borderId="98" xfId="0" quotePrefix="1" applyFont="1" applyFill="1" applyBorder="1" applyAlignment="1">
      <alignment horizontal="left" vertical="center" wrapText="1"/>
    </xf>
    <xf numFmtId="0" fontId="46" fillId="4" borderId="137" xfId="0" quotePrefix="1" applyFont="1" applyFill="1" applyBorder="1" applyAlignment="1">
      <alignment horizontal="left" vertical="center" wrapText="1"/>
    </xf>
    <xf numFmtId="0" fontId="49" fillId="4" borderId="138" xfId="0" applyFont="1" applyFill="1" applyBorder="1" applyAlignment="1">
      <alignment horizontal="left" vertical="center" wrapText="1"/>
    </xf>
    <xf numFmtId="0" fontId="49" fillId="20" borderId="122" xfId="0" applyFont="1" applyFill="1" applyBorder="1" applyAlignment="1">
      <alignment horizontal="left" vertical="center" wrapText="1"/>
    </xf>
    <xf numFmtId="0" fontId="49" fillId="12" borderId="214" xfId="0" applyFont="1" applyFill="1" applyBorder="1" applyAlignment="1">
      <alignment horizontal="left" vertical="center"/>
    </xf>
    <xf numFmtId="0" fontId="49" fillId="12" borderId="215" xfId="0" applyFont="1" applyFill="1" applyBorder="1" applyAlignment="1">
      <alignment horizontal="left" vertical="center"/>
    </xf>
    <xf numFmtId="0" fontId="81" fillId="12" borderId="215" xfId="0" applyFont="1" applyFill="1" applyBorder="1" applyAlignment="1">
      <alignment horizontal="center" vertical="center"/>
    </xf>
    <xf numFmtId="0" fontId="49" fillId="12" borderId="215" xfId="0" applyFont="1" applyFill="1" applyBorder="1" applyAlignment="1">
      <alignment horizontal="center" vertical="center"/>
    </xf>
    <xf numFmtId="0" fontId="49" fillId="12" borderId="216" xfId="0" applyFont="1" applyFill="1" applyBorder="1" applyAlignment="1">
      <alignment horizontal="left" vertical="center"/>
    </xf>
    <xf numFmtId="0" fontId="49" fillId="12" borderId="214" xfId="0" quotePrefix="1" applyFont="1" applyFill="1" applyBorder="1" applyAlignment="1">
      <alignment horizontal="left" vertical="center"/>
    </xf>
    <xf numFmtId="0" fontId="49" fillId="12" borderId="215" xfId="0" quotePrefix="1" applyFont="1" applyFill="1" applyBorder="1" applyAlignment="1">
      <alignment horizontal="left" vertical="center" wrapText="1"/>
    </xf>
    <xf numFmtId="165" fontId="49" fillId="12" borderId="215" xfId="0" applyNumberFormat="1" applyFont="1" applyFill="1" applyBorder="1" applyAlignment="1">
      <alignment horizontal="left" vertical="center"/>
    </xf>
    <xf numFmtId="0" fontId="49" fillId="12" borderId="215" xfId="0" applyFont="1" applyFill="1" applyBorder="1" applyAlignment="1">
      <alignment horizontal="left" vertical="center" wrapText="1"/>
    </xf>
    <xf numFmtId="0" fontId="49" fillId="12" borderId="215" xfId="0" quotePrefix="1" applyFont="1" applyFill="1" applyBorder="1" applyAlignment="1">
      <alignment horizontal="left" vertical="center"/>
    </xf>
    <xf numFmtId="167" fontId="49" fillId="12" borderId="215" xfId="0" applyNumberFormat="1" applyFont="1" applyFill="1" applyBorder="1" applyAlignment="1">
      <alignment horizontal="left" vertical="center"/>
    </xf>
    <xf numFmtId="0" fontId="49" fillId="0" borderId="217" xfId="0" applyFont="1" applyFill="1" applyBorder="1" applyAlignment="1">
      <alignment horizontal="left" vertical="center"/>
    </xf>
    <xf numFmtId="0" fontId="49" fillId="0" borderId="218" xfId="0" quotePrefix="1" applyFont="1" applyFill="1" applyBorder="1" applyAlignment="1">
      <alignment horizontal="left" vertical="center" wrapText="1"/>
    </xf>
    <xf numFmtId="2" fontId="49" fillId="0" borderId="218" xfId="0" applyNumberFormat="1" applyFont="1" applyFill="1" applyBorder="1" applyAlignment="1">
      <alignment horizontal="left" vertical="center"/>
    </xf>
    <xf numFmtId="0" fontId="49" fillId="0" borderId="218" xfId="0" quotePrefix="1" applyFont="1" applyFill="1" applyBorder="1" applyAlignment="1">
      <alignment horizontal="left" vertical="center"/>
    </xf>
    <xf numFmtId="0" fontId="49" fillId="0" borderId="218" xfId="0" applyFont="1" applyFill="1" applyBorder="1" applyAlignment="1">
      <alignment horizontal="left" vertical="center"/>
    </xf>
    <xf numFmtId="0" fontId="49" fillId="0" borderId="219" xfId="0" applyFont="1" applyFill="1" applyBorder="1" applyAlignment="1">
      <alignment horizontal="left" vertical="center"/>
    </xf>
    <xf numFmtId="0" fontId="49" fillId="0" borderId="214" xfId="0" applyFont="1" applyFill="1" applyBorder="1" applyAlignment="1">
      <alignment horizontal="left" vertical="center"/>
    </xf>
    <xf numFmtId="0" fontId="49" fillId="0" borderId="215" xfId="0" quotePrefix="1" applyFont="1" applyFill="1" applyBorder="1" applyAlignment="1">
      <alignment horizontal="left" vertical="center" wrapText="1"/>
    </xf>
    <xf numFmtId="2" fontId="49" fillId="0" borderId="215" xfId="0" applyNumberFormat="1" applyFont="1" applyFill="1" applyBorder="1" applyAlignment="1">
      <alignment horizontal="left" vertical="center"/>
    </xf>
    <xf numFmtId="0" fontId="49" fillId="0" borderId="215" xfId="0" quotePrefix="1" applyFont="1" applyFill="1" applyBorder="1" applyAlignment="1">
      <alignment horizontal="left" vertical="center"/>
    </xf>
    <xf numFmtId="0" fontId="49" fillId="0" borderId="215" xfId="0" applyFont="1" applyFill="1" applyBorder="1" applyAlignment="1">
      <alignment horizontal="left" vertical="center"/>
    </xf>
    <xf numFmtId="0" fontId="49" fillId="0" borderId="216" xfId="0" applyFont="1" applyFill="1" applyBorder="1" applyAlignment="1">
      <alignment horizontal="left" vertical="center"/>
    </xf>
    <xf numFmtId="0" fontId="49" fillId="10" borderId="214" xfId="0" applyFont="1" applyFill="1" applyBorder="1" applyAlignment="1">
      <alignment horizontal="left" vertical="center"/>
    </xf>
    <xf numFmtId="0" fontId="49" fillId="10" borderId="215" xfId="0" applyFont="1" applyFill="1" applyBorder="1" applyAlignment="1">
      <alignment horizontal="left" vertical="center" wrapText="1"/>
    </xf>
    <xf numFmtId="0" fontId="49" fillId="10" borderId="215" xfId="0" applyFont="1" applyFill="1" applyBorder="1" applyAlignment="1">
      <alignment horizontal="left" vertical="center"/>
    </xf>
    <xf numFmtId="0" fontId="49" fillId="10" borderId="216" xfId="0" applyFont="1" applyFill="1" applyBorder="1" applyAlignment="1">
      <alignment horizontal="left" vertical="center"/>
    </xf>
    <xf numFmtId="0" fontId="49" fillId="10" borderId="215" xfId="0" quotePrefix="1" applyFont="1" applyFill="1" applyBorder="1" applyAlignment="1">
      <alignment horizontal="left" vertical="center" wrapText="1"/>
    </xf>
    <xf numFmtId="2" fontId="49" fillId="10" borderId="215" xfId="0" applyNumberFormat="1" applyFont="1" applyFill="1" applyBorder="1" applyAlignment="1">
      <alignment horizontal="left" vertical="center"/>
    </xf>
    <xf numFmtId="0" fontId="49" fillId="10" borderId="215" xfId="0" quotePrefix="1" applyFont="1" applyFill="1" applyBorder="1" applyAlignment="1">
      <alignment horizontal="left" vertical="center"/>
    </xf>
    <xf numFmtId="0" fontId="49" fillId="22" borderId="215" xfId="0" quotePrefix="1" applyFont="1" applyFill="1" applyBorder="1" applyAlignment="1">
      <alignment horizontal="left" vertical="center" wrapText="1"/>
    </xf>
    <xf numFmtId="2" fontId="49" fillId="22" borderId="215" xfId="0" applyNumberFormat="1" applyFont="1" applyFill="1" applyBorder="1" applyAlignment="1">
      <alignment horizontal="left" vertical="center"/>
    </xf>
    <xf numFmtId="0" fontId="49" fillId="22" borderId="215" xfId="0" quotePrefix="1" applyFont="1" applyFill="1" applyBorder="1" applyAlignment="1">
      <alignment horizontal="left" vertical="center"/>
    </xf>
    <xf numFmtId="0" fontId="49" fillId="22" borderId="216" xfId="0" quotePrefix="1" applyFont="1" applyFill="1" applyBorder="1" applyAlignment="1">
      <alignment horizontal="left" vertical="center"/>
    </xf>
    <xf numFmtId="0" fontId="49" fillId="20" borderId="214" xfId="0" applyFont="1" applyFill="1" applyBorder="1" applyAlignment="1">
      <alignment horizontal="left" vertical="center"/>
    </xf>
    <xf numFmtId="0" fontId="49" fillId="20" borderId="215" xfId="0" applyFont="1" applyFill="1" applyBorder="1" applyAlignment="1">
      <alignment horizontal="left" vertical="center" wrapText="1"/>
    </xf>
    <xf numFmtId="0" fontId="49" fillId="20" borderId="215" xfId="0" quotePrefix="1" applyFont="1" applyFill="1" applyBorder="1" applyAlignment="1">
      <alignment horizontal="left" vertical="center" wrapText="1"/>
    </xf>
    <xf numFmtId="2" fontId="49" fillId="20" borderId="215" xfId="0" applyNumberFormat="1" applyFont="1" applyFill="1" applyBorder="1" applyAlignment="1">
      <alignment horizontal="left" vertical="center"/>
    </xf>
    <xf numFmtId="0" fontId="49" fillId="20" borderId="215" xfId="0" quotePrefix="1" applyFont="1" applyFill="1" applyBorder="1" applyAlignment="1">
      <alignment horizontal="left" vertical="center"/>
    </xf>
    <xf numFmtId="0" fontId="49" fillId="20" borderId="215" xfId="0" applyFont="1" applyFill="1" applyBorder="1" applyAlignment="1">
      <alignment horizontal="left" vertical="center"/>
    </xf>
    <xf numFmtId="0" fontId="49" fillId="20" borderId="216" xfId="0" applyFont="1" applyFill="1" applyBorder="1" applyAlignment="1">
      <alignment horizontal="left" vertical="center"/>
    </xf>
    <xf numFmtId="0" fontId="46" fillId="20" borderId="215" xfId="0" quotePrefix="1" applyFont="1" applyFill="1" applyBorder="1" applyAlignment="1">
      <alignment horizontal="left" vertical="center" wrapText="1"/>
    </xf>
    <xf numFmtId="0" fontId="49" fillId="12" borderId="179" xfId="0" quotePrefix="1" applyFont="1" applyFill="1" applyBorder="1" applyAlignment="1">
      <alignment horizontal="left" vertical="center"/>
    </xf>
    <xf numFmtId="0" fontId="49" fillId="12" borderId="201" xfId="0" quotePrefix="1" applyFont="1" applyFill="1" applyBorder="1" applyAlignment="1">
      <alignment horizontal="left" vertical="center" wrapText="1"/>
    </xf>
    <xf numFmtId="167" fontId="49" fillId="12" borderId="201" xfId="0" applyNumberFormat="1" applyFont="1" applyFill="1" applyBorder="1" applyAlignment="1">
      <alignment horizontal="left" vertical="center"/>
    </xf>
    <xf numFmtId="0" fontId="49" fillId="12" borderId="201" xfId="0" applyFont="1" applyFill="1" applyBorder="1" applyAlignment="1">
      <alignment horizontal="left" vertical="center" wrapText="1"/>
    </xf>
    <xf numFmtId="0" fontId="49" fillId="12" borderId="201" xfId="0" quotePrefix="1" applyFont="1" applyFill="1" applyBorder="1" applyAlignment="1">
      <alignment horizontal="left" vertical="center"/>
    </xf>
    <xf numFmtId="0" fontId="49" fillId="12" borderId="201" xfId="0" applyFont="1" applyFill="1" applyBorder="1" applyAlignment="1">
      <alignment horizontal="left" vertical="center"/>
    </xf>
    <xf numFmtId="0" fontId="49" fillId="12" borderId="181" xfId="0" applyFont="1" applyFill="1" applyBorder="1" applyAlignment="1">
      <alignment horizontal="left" vertical="center"/>
    </xf>
    <xf numFmtId="0" fontId="53" fillId="22" borderId="217" xfId="0" applyFont="1" applyFill="1" applyBorder="1" applyAlignment="1">
      <alignment horizontal="left"/>
    </xf>
    <xf numFmtId="2" fontId="53" fillId="22" borderId="218" xfId="0" applyNumberFormat="1" applyFont="1" applyFill="1" applyBorder="1" applyAlignment="1">
      <alignment horizontal="left" vertical="center" wrapText="1"/>
    </xf>
    <xf numFmtId="2" fontId="53" fillId="22" borderId="218" xfId="0" applyNumberFormat="1" applyFont="1" applyFill="1" applyBorder="1" applyAlignment="1">
      <alignment horizontal="center" vertical="center" wrapText="1"/>
    </xf>
    <xf numFmtId="0" fontId="53" fillId="22" borderId="218" xfId="0" applyFont="1" applyFill="1" applyBorder="1" applyAlignment="1">
      <alignment horizontal="center" vertical="center" wrapText="1"/>
    </xf>
    <xf numFmtId="0" fontId="53" fillId="22" borderId="218" xfId="0" applyFont="1" applyFill="1" applyBorder="1" applyAlignment="1">
      <alignment horizontal="left" vertical="center" wrapText="1"/>
    </xf>
    <xf numFmtId="0" fontId="53" fillId="22" borderId="219" xfId="0" applyFont="1" applyFill="1" applyBorder="1" applyAlignment="1">
      <alignment horizontal="left" vertical="center" wrapText="1"/>
    </xf>
    <xf numFmtId="2" fontId="53" fillId="22" borderId="215" xfId="0" applyNumberFormat="1" applyFont="1" applyFill="1" applyBorder="1" applyAlignment="1">
      <alignment horizontal="left" vertical="center" wrapText="1"/>
    </xf>
    <xf numFmtId="2" fontId="53" fillId="22" borderId="215" xfId="0" applyNumberFormat="1" applyFont="1" applyFill="1" applyBorder="1" applyAlignment="1">
      <alignment horizontal="center" vertical="center" wrapText="1"/>
    </xf>
    <xf numFmtId="0" fontId="53" fillId="22" borderId="215" xfId="0" applyFont="1" applyFill="1" applyBorder="1" applyAlignment="1">
      <alignment horizontal="center" vertical="center" wrapText="1"/>
    </xf>
    <xf numFmtId="0" fontId="53" fillId="22" borderId="215" xfId="0" applyFont="1" applyFill="1" applyBorder="1" applyAlignment="1">
      <alignment horizontal="left" vertical="center" wrapText="1"/>
    </xf>
    <xf numFmtId="2" fontId="49" fillId="22" borderId="215" xfId="0" applyNumberFormat="1" applyFont="1" applyFill="1" applyBorder="1" applyAlignment="1">
      <alignment horizontal="center" vertical="center" wrapText="1"/>
    </xf>
    <xf numFmtId="11" fontId="53" fillId="22" borderId="215" xfId="0" applyNumberFormat="1" applyFont="1" applyFill="1" applyBorder="1" applyAlignment="1">
      <alignment horizontal="left" vertical="center" wrapText="1"/>
    </xf>
    <xf numFmtId="11" fontId="53" fillId="22" borderId="215" xfId="0" applyNumberFormat="1" applyFont="1" applyFill="1" applyBorder="1" applyAlignment="1">
      <alignment horizontal="center" vertical="center" wrapText="1"/>
    </xf>
    <xf numFmtId="0" fontId="53" fillId="22" borderId="179" xfId="0" applyFont="1" applyFill="1" applyBorder="1" applyAlignment="1">
      <alignment horizontal="left"/>
    </xf>
    <xf numFmtId="0" fontId="53" fillId="22" borderId="181" xfId="0" applyFont="1" applyFill="1" applyBorder="1" applyAlignment="1">
      <alignment horizontal="left" vertical="center" wrapText="1"/>
    </xf>
    <xf numFmtId="0" fontId="80" fillId="23" borderId="220" xfId="47" applyFont="1" applyFill="1" applyBorder="1" applyAlignment="1">
      <alignment horizontal="left" vertical="center"/>
    </xf>
    <xf numFmtId="0" fontId="80" fillId="23" borderId="221" xfId="47" applyFont="1" applyFill="1" applyBorder="1" applyAlignment="1">
      <alignment horizontal="left" vertical="center"/>
    </xf>
    <xf numFmtId="0" fontId="80" fillId="23" borderId="173" xfId="47" applyFont="1" applyFill="1" applyBorder="1" applyAlignment="1">
      <alignment horizontal="left" vertical="center"/>
    </xf>
    <xf numFmtId="0" fontId="80" fillId="23" borderId="222" xfId="47" applyFont="1" applyFill="1" applyBorder="1" applyAlignment="1">
      <alignment horizontal="left" vertical="center"/>
    </xf>
    <xf numFmtId="0" fontId="80" fillId="23" borderId="223" xfId="47" applyFont="1" applyFill="1" applyBorder="1" applyAlignment="1">
      <alignment horizontal="left" vertical="center"/>
    </xf>
    <xf numFmtId="0" fontId="4" fillId="2" borderId="0" xfId="47" applyFill="1" applyAlignment="1">
      <alignment horizontal="left" vertical="center"/>
    </xf>
    <xf numFmtId="0" fontId="3" fillId="0" borderId="0" xfId="49" applyAlignment="1">
      <alignment horizontal="left" vertical="center"/>
    </xf>
    <xf numFmtId="0" fontId="49" fillId="0" borderId="95" xfId="49" applyFont="1" applyBorder="1" applyAlignment="1">
      <alignment horizontal="center" vertical="center"/>
    </xf>
    <xf numFmtId="0" fontId="49" fillId="0" borderId="95" xfId="49" applyFont="1" applyBorder="1" applyAlignment="1">
      <alignment horizontal="left" vertical="center"/>
    </xf>
    <xf numFmtId="0" fontId="46" fillId="0" borderId="95" xfId="49" applyFont="1" applyBorder="1" applyAlignment="1">
      <alignment horizontal="left" vertical="center"/>
    </xf>
    <xf numFmtId="0" fontId="49" fillId="0" borderId="95" xfId="49" applyFont="1" applyBorder="1" applyAlignment="1">
      <alignment horizontal="left"/>
    </xf>
    <xf numFmtId="0" fontId="80" fillId="23" borderId="224" xfId="47" applyFont="1" applyFill="1" applyBorder="1" applyAlignment="1">
      <alignment horizontal="left" vertical="center"/>
    </xf>
    <xf numFmtId="0" fontId="80" fillId="23" borderId="176" xfId="47" applyFont="1" applyFill="1" applyBorder="1" applyAlignment="1">
      <alignment horizontal="left" vertical="center"/>
    </xf>
    <xf numFmtId="0" fontId="80" fillId="23" borderId="225" xfId="47" applyFont="1" applyFill="1" applyBorder="1" applyAlignment="1">
      <alignment horizontal="left" vertical="center"/>
    </xf>
    <xf numFmtId="0" fontId="80" fillId="23" borderId="226" xfId="47" applyFont="1" applyFill="1" applyBorder="1" applyAlignment="1">
      <alignment horizontal="left" vertical="center"/>
    </xf>
    <xf numFmtId="11" fontId="49" fillId="0" borderId="95" xfId="48" applyNumberFormat="1" applyFont="1" applyBorder="1" applyAlignment="1">
      <alignment horizontal="left" vertical="center"/>
    </xf>
    <xf numFmtId="0" fontId="4" fillId="0" borderId="0" xfId="48"/>
    <xf numFmtId="0" fontId="49" fillId="0" borderId="227" xfId="47" applyFont="1" applyBorder="1" applyAlignment="1">
      <alignment horizontal="left" vertical="center"/>
    </xf>
    <xf numFmtId="0" fontId="49" fillId="0" borderId="227" xfId="50" applyFont="1" applyBorder="1" applyAlignment="1">
      <alignment horizontal="left" vertical="center"/>
    </xf>
    <xf numFmtId="168" fontId="49" fillId="0" borderId="227" xfId="50" applyNumberFormat="1" applyFont="1" applyBorder="1" applyAlignment="1">
      <alignment horizontal="left" vertical="center"/>
    </xf>
    <xf numFmtId="0" fontId="49" fillId="0" borderId="95" xfId="50" applyFont="1" applyBorder="1" applyAlignment="1">
      <alignment horizontal="left" vertical="center"/>
    </xf>
    <xf numFmtId="0" fontId="49" fillId="0" borderId="227" xfId="50" quotePrefix="1" applyFont="1" applyBorder="1" applyAlignment="1">
      <alignment horizontal="center" vertical="center"/>
    </xf>
    <xf numFmtId="0" fontId="46" fillId="0" borderId="217" xfId="6" applyFont="1" applyBorder="1"/>
    <xf numFmtId="0" fontId="46" fillId="0" borderId="218" xfId="6" applyFont="1" applyBorder="1"/>
    <xf numFmtId="0" fontId="46" fillId="0" borderId="219" xfId="6" applyFont="1" applyBorder="1"/>
    <xf numFmtId="0" fontId="46" fillId="0" borderId="228" xfId="6" applyFont="1" applyBorder="1"/>
    <xf numFmtId="0" fontId="46" fillId="0" borderId="215" xfId="6" applyFont="1" applyBorder="1"/>
    <xf numFmtId="0" fontId="46" fillId="0" borderId="229" xfId="6" applyFont="1" applyBorder="1"/>
    <xf numFmtId="0" fontId="46" fillId="0" borderId="215" xfId="0" applyFont="1" applyBorder="1"/>
    <xf numFmtId="0" fontId="46" fillId="0" borderId="179" xfId="6" applyFont="1" applyBorder="1"/>
    <xf numFmtId="0" fontId="46" fillId="0" borderId="230" xfId="6" applyFont="1" applyBorder="1"/>
    <xf numFmtId="0" fontId="46" fillId="0" borderId="181" xfId="6" applyFont="1" applyBorder="1"/>
    <xf numFmtId="0" fontId="53" fillId="22" borderId="228" xfId="0" applyFont="1" applyFill="1" applyBorder="1" applyAlignment="1">
      <alignment horizontal="left"/>
    </xf>
    <xf numFmtId="0" fontId="53" fillId="22" borderId="229" xfId="0" applyFont="1" applyFill="1" applyBorder="1" applyAlignment="1">
      <alignment horizontal="left" vertical="center" wrapText="1"/>
    </xf>
    <xf numFmtId="2" fontId="53" fillId="22" borderId="230" xfId="0" applyNumberFormat="1" applyFont="1" applyFill="1" applyBorder="1" applyAlignment="1">
      <alignment horizontal="left" vertical="center" wrapText="1"/>
    </xf>
    <xf numFmtId="2" fontId="53" fillId="22" borderId="230" xfId="0" applyNumberFormat="1" applyFont="1" applyFill="1" applyBorder="1" applyAlignment="1">
      <alignment horizontal="center" vertical="center" wrapText="1"/>
    </xf>
    <xf numFmtId="0" fontId="53" fillId="22" borderId="230" xfId="0" applyFont="1" applyFill="1" applyBorder="1" applyAlignment="1">
      <alignment horizontal="center" vertical="center" wrapText="1"/>
    </xf>
    <xf numFmtId="0" fontId="53" fillId="22" borderId="230" xfId="0" applyFont="1" applyFill="1" applyBorder="1" applyAlignment="1">
      <alignment horizontal="left" vertical="center" wrapText="1"/>
    </xf>
    <xf numFmtId="166" fontId="49" fillId="12" borderId="215" xfId="0" applyNumberFormat="1" applyFont="1" applyFill="1" applyBorder="1" applyAlignment="1">
      <alignment horizontal="left" vertical="center"/>
    </xf>
    <xf numFmtId="165" fontId="49" fillId="20" borderId="98" xfId="0" quotePrefix="1" applyNumberFormat="1" applyFont="1" applyFill="1" applyBorder="1" applyAlignment="1">
      <alignment horizontal="left" vertical="center"/>
    </xf>
    <xf numFmtId="165" fontId="49" fillId="20" borderId="123" xfId="0" quotePrefix="1" applyNumberFormat="1" applyFont="1" applyFill="1" applyBorder="1" applyAlignment="1">
      <alignment horizontal="left" vertical="center"/>
    </xf>
    <xf numFmtId="165" fontId="49" fillId="20" borderId="138" xfId="0" applyNumberFormat="1" applyFont="1" applyFill="1" applyBorder="1" applyAlignment="1">
      <alignment horizontal="left" vertical="center"/>
    </xf>
    <xf numFmtId="0" fontId="57" fillId="7" borderId="211" xfId="0" applyFont="1" applyFill="1" applyBorder="1" applyAlignment="1">
      <alignment horizontal="center" vertical="center" wrapText="1"/>
    </xf>
    <xf numFmtId="0" fontId="49" fillId="27" borderId="98" xfId="0" applyFont="1" applyFill="1" applyBorder="1" applyAlignment="1">
      <alignment horizontal="left"/>
    </xf>
    <xf numFmtId="0" fontId="91" fillId="27" borderId="98" xfId="0" applyFont="1" applyFill="1" applyBorder="1" applyAlignment="1">
      <alignment horizontal="left"/>
    </xf>
    <xf numFmtId="166" fontId="49" fillId="27" borderId="98" xfId="0" applyNumberFormat="1" applyFont="1" applyFill="1" applyBorder="1" applyAlignment="1">
      <alignment horizontal="center"/>
    </xf>
    <xf numFmtId="0" fontId="46" fillId="27" borderId="98" xfId="0" applyFont="1" applyFill="1" applyBorder="1" applyAlignment="1">
      <alignment horizontal="center" vertical="center" wrapText="1"/>
    </xf>
    <xf numFmtId="0" fontId="49" fillId="27" borderId="98" xfId="0" applyFont="1" applyFill="1" applyBorder="1" applyAlignment="1">
      <alignment horizontal="center" vertical="center" wrapText="1"/>
    </xf>
    <xf numFmtId="0" fontId="49" fillId="27" borderId="98" xfId="0" applyFont="1" applyFill="1" applyBorder="1" applyAlignment="1">
      <alignment horizontal="center" vertical="center"/>
    </xf>
    <xf numFmtId="0" fontId="49" fillId="27" borderId="102" xfId="0" applyFont="1" applyFill="1" applyBorder="1" applyAlignment="1">
      <alignment horizontal="center" vertical="center"/>
    </xf>
    <xf numFmtId="0" fontId="49" fillId="27" borderId="231" xfId="0" applyFont="1" applyFill="1" applyBorder="1" applyAlignment="1">
      <alignment horizontal="left"/>
    </xf>
    <xf numFmtId="2" fontId="49" fillId="27" borderId="98" xfId="0" applyNumberFormat="1" applyFont="1" applyFill="1" applyBorder="1" applyAlignment="1">
      <alignment horizontal="center"/>
    </xf>
    <xf numFmtId="0" fontId="49" fillId="27" borderId="230" xfId="0" applyFont="1" applyFill="1" applyBorder="1" applyAlignment="1">
      <alignment horizontal="left"/>
    </xf>
    <xf numFmtId="0" fontId="91" fillId="27" borderId="230" xfId="0" applyFont="1" applyFill="1" applyBorder="1" applyAlignment="1">
      <alignment horizontal="left"/>
    </xf>
    <xf numFmtId="2" fontId="49" fillId="27" borderId="230" xfId="0" applyNumberFormat="1" applyFont="1" applyFill="1" applyBorder="1" applyAlignment="1">
      <alignment horizontal="center"/>
    </xf>
    <xf numFmtId="0" fontId="46" fillId="27" borderId="230" xfId="0" applyFont="1" applyFill="1" applyBorder="1" applyAlignment="1">
      <alignment horizontal="center" vertical="center" wrapText="1"/>
    </xf>
    <xf numFmtId="0" fontId="49" fillId="27" borderId="230" xfId="0" applyFont="1" applyFill="1" applyBorder="1" applyAlignment="1">
      <alignment horizontal="center" vertical="center" wrapText="1"/>
    </xf>
    <xf numFmtId="0" fontId="49" fillId="27" borderId="230" xfId="0" applyFont="1" applyFill="1" applyBorder="1" applyAlignment="1">
      <alignment horizontal="center" vertical="center"/>
    </xf>
    <xf numFmtId="0" fontId="49" fillId="27" borderId="181" xfId="0" applyFont="1" applyFill="1" applyBorder="1" applyAlignment="1">
      <alignment horizontal="center" vertical="center"/>
    </xf>
    <xf numFmtId="0" fontId="46" fillId="0" borderId="217" xfId="0" applyFont="1" applyBorder="1"/>
    <xf numFmtId="0" fontId="46" fillId="0" borderId="218" xfId="0" applyFont="1" applyBorder="1"/>
    <xf numFmtId="0" fontId="46" fillId="0" borderId="218" xfId="0" applyFont="1" applyBorder="1" applyAlignment="1">
      <alignment horizontal="center"/>
    </xf>
    <xf numFmtId="0" fontId="46" fillId="0" borderId="219" xfId="0" applyFont="1" applyBorder="1"/>
    <xf numFmtId="0" fontId="46" fillId="0" borderId="101" xfId="0" applyFont="1" applyBorder="1"/>
    <xf numFmtId="0" fontId="46" fillId="0" borderId="98" xfId="0" applyFont="1" applyBorder="1"/>
    <xf numFmtId="0" fontId="46" fillId="0" borderId="98" xfId="0" applyFont="1" applyBorder="1" applyAlignment="1">
      <alignment horizontal="center"/>
    </xf>
    <xf numFmtId="0" fontId="46" fillId="0" borderId="102" xfId="0" applyFont="1" applyBorder="1"/>
    <xf numFmtId="0" fontId="99" fillId="27" borderId="232" xfId="2" applyFont="1" applyFill="1" applyBorder="1" applyAlignment="1">
      <alignment horizontal="left" vertical="center" wrapText="1"/>
    </xf>
    <xf numFmtId="0" fontId="49" fillId="27" borderId="154" xfId="0" applyFont="1" applyFill="1" applyBorder="1" applyAlignment="1">
      <alignment horizontal="left"/>
    </xf>
    <xf numFmtId="0" fontId="91" fillId="27" borderId="154" xfId="0" applyFont="1" applyFill="1" applyBorder="1" applyAlignment="1">
      <alignment horizontal="left"/>
    </xf>
    <xf numFmtId="2" fontId="49" fillId="27" borderId="154" xfId="0" applyNumberFormat="1" applyFont="1" applyFill="1" applyBorder="1" applyAlignment="1">
      <alignment horizontal="center"/>
    </xf>
    <xf numFmtId="0" fontId="46" fillId="27" borderId="154" xfId="0" applyFont="1" applyFill="1" applyBorder="1" applyAlignment="1">
      <alignment horizontal="center" vertical="center" wrapText="1"/>
    </xf>
    <xf numFmtId="0" fontId="49" fillId="27" borderId="154" xfId="0" applyFont="1" applyFill="1" applyBorder="1" applyAlignment="1">
      <alignment horizontal="center" vertical="center" wrapText="1"/>
    </xf>
    <xf numFmtId="0" fontId="49" fillId="27" borderId="233" xfId="0" applyFont="1" applyFill="1" applyBorder="1" applyAlignment="1">
      <alignment horizontal="center" vertical="center"/>
    </xf>
    <xf numFmtId="0" fontId="49" fillId="27" borderId="53" xfId="0" applyFont="1" applyFill="1" applyBorder="1" applyAlignment="1">
      <alignment horizontal="center" vertical="center"/>
    </xf>
    <xf numFmtId="0" fontId="49" fillId="41" borderId="217" xfId="0" applyFont="1" applyFill="1" applyBorder="1" applyAlignment="1">
      <alignment horizontal="left" vertical="center"/>
    </xf>
    <xf numFmtId="0" fontId="0" fillId="41" borderId="218" xfId="0" applyFill="1" applyBorder="1" applyAlignment="1">
      <alignment horizontal="left"/>
    </xf>
    <xf numFmtId="165" fontId="49" fillId="41" borderId="218" xfId="0" applyNumberFormat="1" applyFont="1" applyFill="1" applyBorder="1" applyAlignment="1">
      <alignment horizontal="center" vertical="center"/>
    </xf>
    <xf numFmtId="0" fontId="49" fillId="41" borderId="218" xfId="0" applyFont="1" applyFill="1" applyBorder="1" applyAlignment="1">
      <alignment horizontal="center" vertical="center" wrapText="1"/>
    </xf>
    <xf numFmtId="0" fontId="53" fillId="41" borderId="218" xfId="0" applyFont="1" applyFill="1" applyBorder="1" applyAlignment="1">
      <alignment horizontal="center" vertical="center" wrapText="1"/>
    </xf>
    <xf numFmtId="0" fontId="49" fillId="41" borderId="218" xfId="0" applyFont="1" applyFill="1" applyBorder="1" applyAlignment="1">
      <alignment horizontal="left" vertical="center" wrapText="1"/>
    </xf>
    <xf numFmtId="0" fontId="49" fillId="41" borderId="219" xfId="0" applyFont="1" applyFill="1" applyBorder="1" applyAlignment="1">
      <alignment horizontal="left" vertical="center"/>
    </xf>
    <xf numFmtId="0" fontId="49" fillId="41" borderId="179" xfId="0" applyFont="1" applyFill="1" applyBorder="1" applyAlignment="1">
      <alignment horizontal="left" vertical="center"/>
    </xf>
    <xf numFmtId="0" fontId="0" fillId="41" borderId="230" xfId="0" applyFill="1" applyBorder="1" applyAlignment="1">
      <alignment horizontal="left"/>
    </xf>
    <xf numFmtId="1" fontId="49" fillId="41" borderId="230" xfId="0" applyNumberFormat="1" applyFont="1" applyFill="1" applyBorder="1" applyAlignment="1">
      <alignment horizontal="center" vertical="center"/>
    </xf>
    <xf numFmtId="0" fontId="49" fillId="41" borderId="230" xfId="0" applyFont="1" applyFill="1" applyBorder="1" applyAlignment="1">
      <alignment horizontal="center" vertical="center" wrapText="1"/>
    </xf>
    <xf numFmtId="0" fontId="53" fillId="41" borderId="230" xfId="0" applyFont="1" applyFill="1" applyBorder="1" applyAlignment="1">
      <alignment horizontal="center" vertical="center" wrapText="1"/>
    </xf>
    <xf numFmtId="0" fontId="49" fillId="41" borderId="230" xfId="0" applyFont="1" applyFill="1" applyBorder="1" applyAlignment="1">
      <alignment horizontal="left" vertical="center" wrapText="1"/>
    </xf>
    <xf numFmtId="0" fontId="49" fillId="41" borderId="181" xfId="0" applyFont="1" applyFill="1" applyBorder="1" applyAlignment="1">
      <alignment horizontal="left" vertical="center"/>
    </xf>
    <xf numFmtId="0" fontId="46" fillId="0" borderId="231" xfId="0" applyFont="1" applyFill="1" applyBorder="1" applyAlignment="1">
      <alignment horizontal="center" vertical="center"/>
    </xf>
    <xf numFmtId="0" fontId="46" fillId="5" borderId="231" xfId="0" applyFont="1" applyFill="1" applyBorder="1" applyAlignment="1">
      <alignment horizontal="center" vertical="center"/>
    </xf>
    <xf numFmtId="0" fontId="46" fillId="0" borderId="231" xfId="0" quotePrefix="1" applyFont="1" applyFill="1" applyBorder="1" applyAlignment="1">
      <alignment horizontal="left" vertical="center" wrapText="1"/>
    </xf>
    <xf numFmtId="0" fontId="46" fillId="8" borderId="15" xfId="0" quotePrefix="1" applyFont="1" applyFill="1" applyBorder="1" applyAlignment="1">
      <alignment horizontal="center" vertical="center"/>
    </xf>
    <xf numFmtId="0" fontId="46" fillId="8" borderId="231" xfId="0" quotePrefix="1" applyFont="1" applyFill="1" applyBorder="1" applyAlignment="1">
      <alignment horizontal="center" vertical="center"/>
    </xf>
    <xf numFmtId="0" fontId="46" fillId="21" borderId="231" xfId="0" quotePrefix="1" applyFont="1" applyFill="1" applyBorder="1" applyAlignment="1">
      <alignment horizontal="center" vertical="center"/>
    </xf>
    <xf numFmtId="0" fontId="46" fillId="11" borderId="231" xfId="0" quotePrefix="1" applyFont="1" applyFill="1" applyBorder="1" applyAlignment="1">
      <alignment horizontal="center" vertical="center"/>
    </xf>
    <xf numFmtId="0" fontId="46" fillId="11" borderId="231" xfId="0" applyFont="1" applyFill="1" applyBorder="1" applyAlignment="1">
      <alignment horizontal="center" vertical="center"/>
    </xf>
    <xf numFmtId="0" fontId="46" fillId="10" borderId="231" xfId="0" applyFont="1" applyFill="1" applyBorder="1" applyAlignment="1">
      <alignment horizontal="center" vertical="center"/>
    </xf>
    <xf numFmtId="0" fontId="46" fillId="22" borderId="231" xfId="0" applyFont="1" applyFill="1" applyBorder="1" applyAlignment="1">
      <alignment horizontal="center" vertical="center"/>
    </xf>
    <xf numFmtId="0" fontId="46" fillId="20" borderId="231" xfId="0" quotePrefix="1" applyFont="1" applyFill="1" applyBorder="1" applyAlignment="1">
      <alignment horizontal="center" vertical="center"/>
    </xf>
    <xf numFmtId="0" fontId="46" fillId="20" borderId="231" xfId="0" applyFont="1" applyFill="1" applyBorder="1" applyAlignment="1">
      <alignment horizontal="center" vertical="center"/>
    </xf>
    <xf numFmtId="0" fontId="46" fillId="12" borderId="231" xfId="0" quotePrefix="1" applyFont="1" applyFill="1" applyBorder="1" applyAlignment="1">
      <alignment horizontal="center" vertical="center"/>
    </xf>
    <xf numFmtId="0" fontId="46" fillId="12" borderId="231" xfId="0" applyFont="1" applyFill="1" applyBorder="1" applyAlignment="1">
      <alignment horizontal="center" vertical="center"/>
    </xf>
    <xf numFmtId="0" fontId="46" fillId="18" borderId="231" xfId="0" quotePrefix="1" applyFont="1" applyFill="1" applyBorder="1" applyAlignment="1">
      <alignment horizontal="center" vertical="center"/>
    </xf>
    <xf numFmtId="0" fontId="46" fillId="18" borderId="231" xfId="0" applyFont="1" applyFill="1" applyBorder="1" applyAlignment="1">
      <alignment horizontal="center" vertical="center"/>
    </xf>
    <xf numFmtId="0" fontId="46" fillId="9" borderId="231" xfId="0" applyFont="1" applyFill="1" applyBorder="1" applyAlignment="1">
      <alignment horizontal="center" vertical="center"/>
    </xf>
    <xf numFmtId="0" fontId="46" fillId="7" borderId="231" xfId="0" applyFont="1" applyFill="1" applyBorder="1" applyAlignment="1">
      <alignment horizontal="center" vertical="center"/>
    </xf>
    <xf numFmtId="0" fontId="46" fillId="7" borderId="231" xfId="0" quotePrefix="1" applyFont="1" applyFill="1" applyBorder="1" applyAlignment="1">
      <alignment horizontal="center" vertical="center"/>
    </xf>
    <xf numFmtId="0" fontId="46" fillId="16" borderId="231" xfId="0" quotePrefix="1" applyFont="1" applyFill="1" applyBorder="1" applyAlignment="1">
      <alignment horizontal="center" vertical="center"/>
    </xf>
    <xf numFmtId="0" fontId="46" fillId="9" borderId="231" xfId="0" quotePrefix="1" applyFont="1" applyFill="1" applyBorder="1" applyAlignment="1">
      <alignment horizontal="center" vertical="center"/>
    </xf>
    <xf numFmtId="0" fontId="46" fillId="15" borderId="231" xfId="0" quotePrefix="1" applyFont="1" applyFill="1" applyBorder="1" applyAlignment="1">
      <alignment horizontal="center" vertical="center"/>
    </xf>
    <xf numFmtId="0" fontId="91" fillId="28" borderId="231" xfId="0" applyFont="1" applyFill="1" applyBorder="1" applyAlignment="1">
      <alignment horizontal="center" vertical="center"/>
    </xf>
    <xf numFmtId="0" fontId="46" fillId="4" borderId="231" xfId="0" quotePrefix="1" applyFont="1" applyFill="1" applyBorder="1" applyAlignment="1">
      <alignment horizontal="center" vertical="center"/>
    </xf>
    <xf numFmtId="0" fontId="46" fillId="5" borderId="218" xfId="0" applyFont="1" applyFill="1" applyBorder="1" applyAlignment="1">
      <alignment horizontal="center" vertical="center"/>
    </xf>
    <xf numFmtId="0" fontId="49" fillId="5" borderId="231" xfId="0" applyFont="1" applyFill="1" applyBorder="1" applyAlignment="1">
      <alignment horizontal="center" vertical="center"/>
    </xf>
    <xf numFmtId="0" fontId="46" fillId="5" borderId="230" xfId="0" applyFont="1" applyFill="1" applyBorder="1" applyAlignment="1">
      <alignment horizontal="center" vertical="center"/>
    </xf>
    <xf numFmtId="0" fontId="46" fillId="8" borderId="15" xfId="0" quotePrefix="1" applyNumberFormat="1" applyFont="1" applyFill="1" applyBorder="1" applyAlignment="1">
      <alignment horizontal="center" vertical="center"/>
    </xf>
    <xf numFmtId="0" fontId="46" fillId="8" borderId="231" xfId="0" quotePrefix="1" applyNumberFormat="1" applyFont="1" applyFill="1" applyBorder="1" applyAlignment="1">
      <alignment horizontal="center" vertical="center"/>
    </xf>
    <xf numFmtId="0" fontId="46" fillId="21" borderId="231" xfId="0" quotePrefix="1" applyNumberFormat="1" applyFont="1" applyFill="1" applyBorder="1" applyAlignment="1">
      <alignment horizontal="center" vertical="center"/>
    </xf>
    <xf numFmtId="0" fontId="46" fillId="11" borderId="231" xfId="0" quotePrefix="1" applyNumberFormat="1" applyFont="1" applyFill="1" applyBorder="1" applyAlignment="1">
      <alignment horizontal="center" vertical="center"/>
    </xf>
    <xf numFmtId="0" fontId="46" fillId="11" borderId="231" xfId="0" applyNumberFormat="1" applyFont="1" applyFill="1" applyBorder="1" applyAlignment="1">
      <alignment horizontal="center" vertical="center"/>
    </xf>
    <xf numFmtId="0" fontId="46" fillId="10" borderId="231" xfId="0" applyNumberFormat="1" applyFont="1" applyFill="1" applyBorder="1" applyAlignment="1">
      <alignment horizontal="center" vertical="center"/>
    </xf>
    <xf numFmtId="0" fontId="46" fillId="22" borderId="231" xfId="0" applyNumberFormat="1" applyFont="1" applyFill="1" applyBorder="1" applyAlignment="1">
      <alignment horizontal="center" vertical="center"/>
    </xf>
    <xf numFmtId="0" fontId="46" fillId="20" borderId="231" xfId="0" quotePrefix="1" applyNumberFormat="1" applyFont="1" applyFill="1" applyBorder="1" applyAlignment="1">
      <alignment horizontal="center" vertical="center"/>
    </xf>
    <xf numFmtId="0" fontId="46" fillId="20" borderId="231" xfId="0" applyNumberFormat="1" applyFont="1" applyFill="1" applyBorder="1" applyAlignment="1">
      <alignment horizontal="center" vertical="center"/>
    </xf>
    <xf numFmtId="0" fontId="46" fillId="12" borderId="231" xfId="0" quotePrefix="1" applyNumberFormat="1" applyFont="1" applyFill="1" applyBorder="1" applyAlignment="1">
      <alignment horizontal="center" vertical="center"/>
    </xf>
    <xf numFmtId="0" fontId="46" fillId="12" borderId="231" xfId="0" applyNumberFormat="1" applyFont="1" applyFill="1" applyBorder="1" applyAlignment="1">
      <alignment horizontal="center" vertical="center"/>
    </xf>
    <xf numFmtId="0" fontId="46" fillId="18" borderId="231" xfId="0" quotePrefix="1" applyNumberFormat="1" applyFont="1" applyFill="1" applyBorder="1" applyAlignment="1">
      <alignment horizontal="center" vertical="center"/>
    </xf>
    <xf numFmtId="0" fontId="46" fillId="18" borderId="231" xfId="0" applyNumberFormat="1" applyFont="1" applyFill="1" applyBorder="1" applyAlignment="1">
      <alignment horizontal="center" vertical="center"/>
    </xf>
    <xf numFmtId="0" fontId="46" fillId="9" borderId="231" xfId="0" applyNumberFormat="1" applyFont="1" applyFill="1" applyBorder="1" applyAlignment="1">
      <alignment horizontal="center" vertical="center"/>
    </xf>
    <xf numFmtId="0" fontId="46" fillId="7" borderId="231" xfId="0" applyNumberFormat="1" applyFont="1" applyFill="1" applyBorder="1" applyAlignment="1">
      <alignment horizontal="center" vertical="center"/>
    </xf>
    <xf numFmtId="0" fontId="46" fillId="7" borderId="231" xfId="0" quotePrefix="1" applyNumberFormat="1" applyFont="1" applyFill="1" applyBorder="1" applyAlignment="1">
      <alignment horizontal="center" vertical="center"/>
    </xf>
    <xf numFmtId="0" fontId="46" fillId="16" borderId="231" xfId="0" quotePrefix="1" applyNumberFormat="1" applyFont="1" applyFill="1" applyBorder="1" applyAlignment="1">
      <alignment horizontal="center" vertical="center"/>
    </xf>
    <xf numFmtId="0" fontId="46" fillId="9" borderId="231" xfId="0" quotePrefix="1" applyNumberFormat="1" applyFont="1" applyFill="1" applyBorder="1" applyAlignment="1">
      <alignment horizontal="center" vertical="center"/>
    </xf>
    <xf numFmtId="0" fontId="46" fillId="15" borderId="231" xfId="0" quotePrefix="1" applyNumberFormat="1" applyFont="1" applyFill="1" applyBorder="1" applyAlignment="1">
      <alignment horizontal="center" vertical="center"/>
    </xf>
    <xf numFmtId="0" fontId="91" fillId="28" borderId="231" xfId="0" applyNumberFormat="1" applyFont="1" applyFill="1" applyBorder="1" applyAlignment="1">
      <alignment horizontal="center" vertical="center"/>
    </xf>
    <xf numFmtId="0" fontId="46" fillId="4" borderId="231" xfId="0" quotePrefix="1" applyNumberFormat="1" applyFont="1" applyFill="1" applyBorder="1" applyAlignment="1">
      <alignment horizontal="center" vertical="center"/>
    </xf>
    <xf numFmtId="0" fontId="61" fillId="7" borderId="234" xfId="3" applyFont="1" applyFill="1" applyBorder="1" applyAlignment="1">
      <alignment horizontal="center" vertical="center" wrapText="1"/>
    </xf>
    <xf numFmtId="0" fontId="0" fillId="29" borderId="231" xfId="0" applyFill="1" applyBorder="1" applyAlignment="1">
      <alignment horizontal="left" vertical="center"/>
    </xf>
    <xf numFmtId="0" fontId="46" fillId="29" borderId="231" xfId="0" applyFont="1" applyFill="1" applyBorder="1"/>
    <xf numFmtId="0" fontId="0" fillId="29" borderId="231" xfId="0" applyFill="1" applyBorder="1"/>
    <xf numFmtId="0" fontId="46" fillId="11" borderId="231" xfId="0" applyFont="1" applyFill="1" applyBorder="1" applyAlignment="1">
      <alignment horizontal="left" vertical="center"/>
    </xf>
    <xf numFmtId="0" fontId="46" fillId="11" borderId="229" xfId="0" applyFont="1" applyFill="1" applyBorder="1" applyAlignment="1">
      <alignment horizontal="left" vertical="center"/>
    </xf>
    <xf numFmtId="0" fontId="48" fillId="18" borderId="179" xfId="0" applyFont="1" applyFill="1" applyBorder="1" applyAlignment="1">
      <alignment horizontal="center" vertical="center"/>
    </xf>
    <xf numFmtId="0" fontId="48" fillId="18" borderId="230" xfId="0" applyFont="1" applyFill="1" applyBorder="1" applyAlignment="1">
      <alignment horizontal="center" vertical="center"/>
    </xf>
    <xf numFmtId="0" fontId="46" fillId="18" borderId="230" xfId="0" applyFont="1" applyFill="1" applyBorder="1" applyAlignment="1">
      <alignment horizontal="left" vertical="center"/>
    </xf>
    <xf numFmtId="0" fontId="46" fillId="18" borderId="230" xfId="0" applyFont="1" applyFill="1" applyBorder="1" applyAlignment="1">
      <alignment horizontal="center" vertical="center"/>
    </xf>
    <xf numFmtId="0" fontId="46" fillId="18" borderId="230" xfId="0" quotePrefix="1" applyFont="1" applyFill="1" applyBorder="1" applyAlignment="1">
      <alignment horizontal="center" vertical="center"/>
    </xf>
    <xf numFmtId="0" fontId="46" fillId="18" borderId="181" xfId="0" applyFont="1" applyFill="1" applyBorder="1" applyAlignment="1">
      <alignment horizontal="left" vertical="center"/>
    </xf>
    <xf numFmtId="0" fontId="48" fillId="10" borderId="228" xfId="0" applyFont="1" applyFill="1" applyBorder="1" applyAlignment="1">
      <alignment horizontal="center" vertical="center"/>
    </xf>
    <xf numFmtId="0" fontId="48" fillId="10" borderId="231" xfId="0" applyFont="1" applyFill="1" applyBorder="1" applyAlignment="1">
      <alignment horizontal="center" vertical="center"/>
    </xf>
    <xf numFmtId="0" fontId="46" fillId="10" borderId="231" xfId="0" applyFont="1" applyFill="1" applyBorder="1" applyAlignment="1">
      <alignment horizontal="left" vertical="center"/>
    </xf>
    <xf numFmtId="0" fontId="46" fillId="10" borderId="231" xfId="0" quotePrefix="1" applyFont="1" applyFill="1" applyBorder="1" applyAlignment="1">
      <alignment horizontal="center" vertical="center"/>
    </xf>
    <xf numFmtId="0" fontId="46" fillId="10" borderId="231" xfId="0" quotePrefix="1" applyFont="1" applyFill="1" applyBorder="1" applyAlignment="1">
      <alignment horizontal="left" vertical="center"/>
    </xf>
    <xf numFmtId="0" fontId="46" fillId="10" borderId="229" xfId="0" quotePrefix="1" applyFont="1" applyFill="1" applyBorder="1" applyAlignment="1">
      <alignment horizontal="left" vertical="center"/>
    </xf>
    <xf numFmtId="0" fontId="57" fillId="11" borderId="228" xfId="0" applyFont="1" applyFill="1" applyBorder="1" applyAlignment="1">
      <alignment horizontal="center" vertical="center"/>
    </xf>
    <xf numFmtId="0" fontId="57" fillId="11" borderId="231" xfId="0" applyFont="1" applyFill="1" applyBorder="1" applyAlignment="1">
      <alignment horizontal="center" vertical="center"/>
    </xf>
    <xf numFmtId="0" fontId="0" fillId="11" borderId="231" xfId="0" applyFill="1" applyBorder="1" applyAlignment="1">
      <alignment horizontal="left" vertical="center"/>
    </xf>
    <xf numFmtId="0" fontId="0" fillId="11" borderId="231" xfId="0" applyFill="1" applyBorder="1" applyAlignment="1">
      <alignment horizontal="center" vertical="center"/>
    </xf>
    <xf numFmtId="0" fontId="46" fillId="10" borderId="231" xfId="0" quotePrefix="1" applyNumberFormat="1" applyFont="1" applyFill="1" applyBorder="1" applyAlignment="1">
      <alignment horizontal="center" vertical="center"/>
    </xf>
    <xf numFmtId="0" fontId="46" fillId="18" borderId="230" xfId="0" applyNumberFormat="1" applyFont="1" applyFill="1" applyBorder="1" applyAlignment="1">
      <alignment horizontal="center" vertical="center"/>
    </xf>
    <xf numFmtId="0" fontId="46" fillId="11" borderId="231" xfId="0" applyNumberFormat="1" applyFont="1" applyFill="1" applyBorder="1" applyAlignment="1">
      <alignment horizontal="left" vertical="center"/>
    </xf>
    <xf numFmtId="0" fontId="46" fillId="18" borderId="230" xfId="0" quotePrefix="1" applyNumberFormat="1" applyFont="1" applyFill="1" applyBorder="1" applyAlignment="1">
      <alignment horizontal="center" vertical="center"/>
    </xf>
    <xf numFmtId="0" fontId="46" fillId="10" borderId="231" xfId="0" quotePrefix="1" applyNumberFormat="1" applyFont="1" applyFill="1" applyBorder="1" applyAlignment="1">
      <alignment horizontal="left" vertical="center"/>
    </xf>
    <xf numFmtId="0" fontId="46" fillId="32" borderId="231" xfId="0" quotePrefix="1" applyNumberFormat="1" applyFont="1" applyFill="1" applyBorder="1" applyAlignment="1">
      <alignment horizontal="left" vertical="center"/>
    </xf>
    <xf numFmtId="0" fontId="46" fillId="35" borderId="230" xfId="0" quotePrefix="1" applyNumberFormat="1" applyFont="1" applyFill="1" applyBorder="1" applyAlignment="1">
      <alignment horizontal="left" vertical="center"/>
    </xf>
    <xf numFmtId="166" fontId="49" fillId="9" borderId="98" xfId="0" applyNumberFormat="1" applyFont="1" applyFill="1" applyBorder="1" applyAlignment="1">
      <alignment horizontal="center" vertical="center"/>
    </xf>
    <xf numFmtId="166" fontId="49" fillId="9" borderId="230" xfId="0" applyNumberFormat="1" applyFont="1" applyFill="1" applyBorder="1" applyAlignment="1">
      <alignment horizontal="center" vertical="center"/>
    </xf>
    <xf numFmtId="0" fontId="49" fillId="4" borderId="231" xfId="0" applyFont="1" applyFill="1" applyBorder="1" applyAlignment="1">
      <alignment horizontal="left" vertical="center"/>
    </xf>
    <xf numFmtId="0" fontId="49" fillId="4" borderId="229" xfId="0" applyFont="1" applyFill="1" applyBorder="1" applyAlignment="1">
      <alignment horizontal="left" vertical="center"/>
    </xf>
    <xf numFmtId="0" fontId="49" fillId="8" borderId="218" xfId="0" applyFont="1" applyFill="1" applyBorder="1" applyAlignment="1">
      <alignment horizontal="center" vertical="center" wrapText="1"/>
    </xf>
    <xf numFmtId="0" fontId="49" fillId="8" borderId="231" xfId="0" applyFont="1" applyFill="1" applyBorder="1" applyAlignment="1">
      <alignment horizontal="center" vertical="center" wrapText="1"/>
    </xf>
    <xf numFmtId="0" fontId="49" fillId="11" borderId="231" xfId="0" applyFont="1" applyFill="1" applyBorder="1" applyAlignment="1">
      <alignment horizontal="center" vertical="center" wrapText="1"/>
    </xf>
    <xf numFmtId="0" fontId="49" fillId="19" borderId="231" xfId="0" applyFont="1" applyFill="1" applyBorder="1" applyAlignment="1">
      <alignment horizontal="center" vertical="center" wrapText="1"/>
    </xf>
    <xf numFmtId="0" fontId="49" fillId="10" borderId="231" xfId="0" applyFont="1" applyFill="1" applyBorder="1" applyAlignment="1">
      <alignment horizontal="center" vertical="center" wrapText="1"/>
    </xf>
    <xf numFmtId="0" fontId="49" fillId="12" borderId="231" xfId="0" applyFont="1" applyFill="1" applyBorder="1" applyAlignment="1">
      <alignment horizontal="center" vertical="center" wrapText="1"/>
    </xf>
    <xf numFmtId="0" fontId="49" fillId="18" borderId="230" xfId="0" applyFont="1" applyFill="1" applyBorder="1" applyAlignment="1">
      <alignment horizontal="center" vertical="center" wrapText="1"/>
    </xf>
    <xf numFmtId="2" fontId="49" fillId="8" borderId="218" xfId="0" applyNumberFormat="1" applyFont="1" applyFill="1" applyBorder="1" applyAlignment="1">
      <alignment horizontal="center" vertical="center" wrapText="1"/>
    </xf>
    <xf numFmtId="2" fontId="49" fillId="8" borderId="231" xfId="0" applyNumberFormat="1" applyFont="1" applyFill="1" applyBorder="1" applyAlignment="1">
      <alignment horizontal="center" vertical="center" wrapText="1"/>
    </xf>
    <xf numFmtId="2" fontId="49" fillId="11" borderId="231" xfId="0" applyNumberFormat="1" applyFont="1" applyFill="1" applyBorder="1" applyAlignment="1">
      <alignment horizontal="center" vertical="center" wrapText="1"/>
    </xf>
    <xf numFmtId="165" fontId="49" fillId="11" borderId="231" xfId="0" applyNumberFormat="1" applyFont="1" applyFill="1" applyBorder="1" applyAlignment="1">
      <alignment horizontal="center" vertical="center" wrapText="1"/>
    </xf>
    <xf numFmtId="0" fontId="49" fillId="0" borderId="228" xfId="0" applyFont="1" applyFill="1" applyBorder="1" applyAlignment="1">
      <alignment horizontal="left" vertical="center"/>
    </xf>
    <xf numFmtId="0" fontId="49" fillId="0" borderId="231" xfId="0" applyFont="1" applyFill="1" applyBorder="1" applyAlignment="1">
      <alignment horizontal="left" vertical="center" wrapText="1"/>
    </xf>
    <xf numFmtId="165" fontId="49" fillId="0" borderId="235" xfId="0" applyNumberFormat="1" applyFont="1" applyFill="1" applyBorder="1" applyAlignment="1">
      <alignment horizontal="left" vertical="center"/>
    </xf>
    <xf numFmtId="0" fontId="49" fillId="0" borderId="229" xfId="0" quotePrefix="1" applyFont="1" applyFill="1" applyBorder="1" applyAlignment="1">
      <alignment horizontal="left" vertical="center"/>
    </xf>
    <xf numFmtId="0" fontId="49" fillId="0" borderId="228" xfId="2" applyFont="1" applyFill="1" applyBorder="1" applyAlignment="1">
      <alignment horizontal="left" vertical="center" wrapText="1"/>
    </xf>
    <xf numFmtId="0" fontId="53" fillId="0" borderId="179" xfId="0" applyFont="1" applyFill="1" applyBorder="1" applyAlignment="1">
      <alignment horizontal="left" vertical="center"/>
    </xf>
    <xf numFmtId="0" fontId="53" fillId="0" borderId="0" xfId="0" applyFont="1" applyFill="1" applyBorder="1" applyAlignment="1">
      <alignment horizontal="left" vertical="center"/>
    </xf>
    <xf numFmtId="0" fontId="49" fillId="0" borderId="230" xfId="0" applyFont="1" applyFill="1" applyBorder="1" applyAlignment="1">
      <alignment horizontal="left" vertical="center" wrapText="1"/>
    </xf>
    <xf numFmtId="0" fontId="49" fillId="0" borderId="0" xfId="0" applyFont="1" applyFill="1" applyBorder="1" applyAlignment="1">
      <alignment horizontal="left" vertical="center" wrapText="1"/>
    </xf>
    <xf numFmtId="166" fontId="49" fillId="0" borderId="230" xfId="0" applyNumberFormat="1" applyFont="1" applyFill="1" applyBorder="1" applyAlignment="1">
      <alignment horizontal="center" vertical="center"/>
    </xf>
    <xf numFmtId="0" fontId="49" fillId="0" borderId="231" xfId="0" applyFont="1" applyFill="1" applyBorder="1" applyAlignment="1">
      <alignment horizontal="center" vertical="center" wrapText="1"/>
    </xf>
    <xf numFmtId="0" fontId="53" fillId="0" borderId="230" xfId="0" applyFont="1" applyFill="1" applyBorder="1" applyAlignment="1">
      <alignment horizontal="center" vertical="center"/>
    </xf>
    <xf numFmtId="0" fontId="53" fillId="0" borderId="0" xfId="0" applyFont="1" applyFill="1" applyBorder="1" applyAlignment="1">
      <alignment horizontal="center" vertical="center"/>
    </xf>
    <xf numFmtId="0" fontId="49" fillId="0" borderId="138" xfId="0" applyFont="1" applyFill="1" applyBorder="1" applyAlignment="1">
      <alignment horizontal="center" vertical="center"/>
    </xf>
    <xf numFmtId="0" fontId="49" fillId="0" borderId="231" xfId="0" quotePrefix="1" applyFont="1" applyFill="1" applyBorder="1" applyAlignment="1">
      <alignment horizontal="center" vertical="center" wrapText="1"/>
    </xf>
    <xf numFmtId="0" fontId="49" fillId="0" borderId="231" xfId="0" applyFont="1" applyFill="1" applyBorder="1" applyAlignment="1">
      <alignment horizontal="center" vertical="center"/>
    </xf>
    <xf numFmtId="0" fontId="49" fillId="0" borderId="229" xfId="0" applyFont="1" applyFill="1" applyBorder="1" applyAlignment="1">
      <alignment horizontal="center" vertical="center" wrapText="1"/>
    </xf>
    <xf numFmtId="0" fontId="53" fillId="0" borderId="181" xfId="0" applyFont="1" applyFill="1" applyBorder="1" applyAlignment="1">
      <alignment horizontal="center" vertical="center"/>
    </xf>
    <xf numFmtId="0" fontId="53" fillId="0" borderId="231" xfId="0" applyFont="1" applyFill="1" applyBorder="1" applyAlignment="1">
      <alignment horizontal="center" vertical="center"/>
    </xf>
    <xf numFmtId="0" fontId="53" fillId="0" borderId="231" xfId="0" applyFont="1" applyFill="1" applyBorder="1" applyAlignment="1">
      <alignment horizontal="center" vertical="center" wrapText="1"/>
    </xf>
    <xf numFmtId="166" fontId="53" fillId="0" borderId="231" xfId="0" applyNumberFormat="1" applyFont="1" applyFill="1" applyBorder="1" applyAlignment="1">
      <alignment horizontal="center" vertical="center"/>
    </xf>
    <xf numFmtId="0" fontId="56" fillId="0" borderId="231" xfId="0" applyFont="1" applyFill="1" applyBorder="1" applyAlignment="1">
      <alignment horizontal="center" vertical="center"/>
    </xf>
    <xf numFmtId="166" fontId="56" fillId="0" borderId="231" xfId="0" applyNumberFormat="1" applyFont="1" applyFill="1" applyBorder="1" applyAlignment="1">
      <alignment horizontal="center" vertical="center"/>
    </xf>
    <xf numFmtId="166" fontId="56" fillId="0" borderId="0" xfId="0" applyNumberFormat="1" applyFont="1" applyFill="1" applyAlignment="1">
      <alignment horizontal="center" vertical="center"/>
    </xf>
    <xf numFmtId="0" fontId="56" fillId="0" borderId="0" xfId="0" applyFont="1" applyFill="1" applyAlignment="1">
      <alignment horizontal="left" vertical="center" wrapText="1"/>
    </xf>
    <xf numFmtId="0" fontId="57" fillId="0" borderId="37" xfId="3" applyFont="1" applyFill="1" applyBorder="1" applyAlignment="1">
      <alignment horizontal="left" vertical="center" wrapText="1"/>
    </xf>
    <xf numFmtId="2" fontId="46" fillId="0" borderId="15" xfId="0" applyNumberFormat="1" applyFont="1" applyFill="1" applyBorder="1" applyAlignment="1">
      <alignment horizontal="left" vertical="center"/>
    </xf>
    <xf numFmtId="0" fontId="46" fillId="0" borderId="98" xfId="0" applyFont="1" applyFill="1" applyBorder="1" applyAlignment="1">
      <alignment horizontal="center" vertical="center"/>
    </xf>
    <xf numFmtId="0" fontId="46" fillId="0" borderId="15" xfId="0" applyFont="1" applyFill="1" applyBorder="1" applyAlignment="1">
      <alignment horizontal="center" vertical="center"/>
    </xf>
    <xf numFmtId="0" fontId="46" fillId="0" borderId="15" xfId="0" applyFont="1" applyFill="1" applyBorder="1" applyAlignment="1">
      <alignment horizontal="left" vertical="center"/>
    </xf>
    <xf numFmtId="0" fontId="57" fillId="0" borderId="7" xfId="3" applyFont="1" applyFill="1" applyBorder="1" applyAlignment="1">
      <alignment horizontal="left" vertical="center" wrapText="1"/>
    </xf>
    <xf numFmtId="2" fontId="46" fillId="0" borderId="6" xfId="0" applyNumberFormat="1" applyFont="1" applyFill="1" applyBorder="1" applyAlignment="1">
      <alignment horizontal="left" vertical="center"/>
    </xf>
    <xf numFmtId="0" fontId="46" fillId="0" borderId="6" xfId="0" applyFont="1" applyFill="1" applyBorder="1" applyAlignment="1">
      <alignment horizontal="center" vertical="center"/>
    </xf>
    <xf numFmtId="11" fontId="46" fillId="0" borderId="6" xfId="0" applyNumberFormat="1" applyFont="1" applyFill="1" applyBorder="1" applyAlignment="1">
      <alignment horizontal="center" vertical="center"/>
    </xf>
    <xf numFmtId="0" fontId="46" fillId="0" borderId="193" xfId="0" applyFont="1" applyFill="1" applyBorder="1" applyAlignment="1">
      <alignment horizontal="center" vertical="center"/>
    </xf>
    <xf numFmtId="2" fontId="46" fillId="0" borderId="97" xfId="0" applyNumberFormat="1" applyFont="1" applyFill="1" applyBorder="1" applyAlignment="1">
      <alignment horizontal="left" vertical="center"/>
    </xf>
    <xf numFmtId="2" fontId="46" fillId="0" borderId="97" xfId="0" applyNumberFormat="1" applyFont="1" applyFill="1" applyBorder="1" applyAlignment="1">
      <alignment horizontal="center" vertical="center"/>
    </xf>
    <xf numFmtId="0" fontId="73" fillId="0" borderId="7" xfId="3" applyFont="1" applyFill="1" applyBorder="1" applyAlignment="1">
      <alignment horizontal="left" vertical="center" wrapText="1"/>
    </xf>
    <xf numFmtId="0" fontId="67" fillId="0" borderId="7" xfId="0" applyFont="1" applyFill="1" applyBorder="1" applyAlignment="1">
      <alignment horizontal="left" vertical="center"/>
    </xf>
    <xf numFmtId="0" fontId="67" fillId="0" borderId="139" xfId="0" applyFont="1" applyFill="1" applyBorder="1" applyAlignment="1">
      <alignment horizontal="left" vertical="center"/>
    </xf>
    <xf numFmtId="2" fontId="46" fillId="0" borderId="166" xfId="0" applyNumberFormat="1" applyFont="1" applyFill="1" applyBorder="1" applyAlignment="1">
      <alignment horizontal="left" vertical="center"/>
    </xf>
    <xf numFmtId="2" fontId="46" fillId="0" borderId="166" xfId="0" applyNumberFormat="1" applyFont="1" applyFill="1" applyBorder="1" applyAlignment="1">
      <alignment horizontal="center" vertical="center"/>
    </xf>
    <xf numFmtId="11" fontId="46" fillId="0" borderId="166" xfId="0" applyNumberFormat="1" applyFont="1" applyFill="1" applyBorder="1" applyAlignment="1">
      <alignment horizontal="center" vertical="center"/>
    </xf>
    <xf numFmtId="2" fontId="46" fillId="0" borderId="98" xfId="0" applyNumberFormat="1" applyFont="1" applyFill="1" applyBorder="1" applyAlignment="1">
      <alignment horizontal="center" vertical="center"/>
    </xf>
    <xf numFmtId="0" fontId="46" fillId="0" borderId="166" xfId="0" applyFont="1" applyFill="1" applyBorder="1" applyAlignment="1">
      <alignment horizontal="center" vertical="center"/>
    </xf>
    <xf numFmtId="167" fontId="10" fillId="0" borderId="166" xfId="35" applyNumberFormat="1" applyFill="1" applyBorder="1" applyAlignment="1">
      <alignment horizontal="center" vertical="center"/>
    </xf>
    <xf numFmtId="0" fontId="61" fillId="0" borderId="7" xfId="3" applyFont="1" applyFill="1" applyBorder="1" applyAlignment="1">
      <alignment horizontal="left" vertical="center" wrapText="1"/>
    </xf>
    <xf numFmtId="0" fontId="73" fillId="0" borderId="177" xfId="3" applyFont="1" applyFill="1" applyBorder="1" applyAlignment="1">
      <alignment horizontal="left" vertical="center" wrapText="1"/>
    </xf>
    <xf numFmtId="2" fontId="46" fillId="0" borderId="231" xfId="0" applyNumberFormat="1" applyFont="1" applyFill="1" applyBorder="1" applyAlignment="1">
      <alignment horizontal="center" vertical="center"/>
    </xf>
    <xf numFmtId="0" fontId="46" fillId="0" borderId="175" xfId="0" applyFont="1" applyFill="1" applyBorder="1" applyAlignment="1">
      <alignment horizontal="center" vertical="center"/>
    </xf>
    <xf numFmtId="0" fontId="73" fillId="0" borderId="228" xfId="3" applyFont="1" applyFill="1" applyBorder="1" applyAlignment="1">
      <alignment horizontal="left" vertical="center" wrapText="1"/>
    </xf>
    <xf numFmtId="2" fontId="46" fillId="0" borderId="231" xfId="0" applyNumberFormat="1" applyFont="1" applyFill="1" applyBorder="1" applyAlignment="1">
      <alignment horizontal="left" vertical="center"/>
    </xf>
    <xf numFmtId="1" fontId="46" fillId="0" borderId="231" xfId="0" applyNumberFormat="1" applyFont="1" applyFill="1" applyBorder="1" applyAlignment="1">
      <alignment horizontal="center" vertical="center"/>
    </xf>
    <xf numFmtId="0" fontId="46" fillId="0" borderId="231" xfId="0" applyFont="1" applyFill="1" applyBorder="1" applyAlignment="1">
      <alignment horizontal="left" vertical="center"/>
    </xf>
    <xf numFmtId="0" fontId="46" fillId="0" borderId="229" xfId="0" applyFont="1" applyFill="1" applyBorder="1" applyAlignment="1">
      <alignment horizontal="left" vertical="center"/>
    </xf>
    <xf numFmtId="0" fontId="67" fillId="0" borderId="105" xfId="0" applyFont="1" applyFill="1" applyBorder="1" applyAlignment="1">
      <alignment horizontal="left" vertical="center"/>
    </xf>
    <xf numFmtId="0" fontId="46" fillId="0" borderId="123" xfId="0" applyFont="1" applyFill="1" applyBorder="1" applyAlignment="1">
      <alignment horizontal="left" vertical="center"/>
    </xf>
    <xf numFmtId="167" fontId="7" fillId="0" borderId="153" xfId="45" applyNumberFormat="1" applyFill="1" applyBorder="1" applyAlignment="1">
      <alignment horizontal="center" vertical="center"/>
    </xf>
    <xf numFmtId="167" fontId="7" fillId="0" borderId="231" xfId="45" applyNumberFormat="1" applyFill="1" applyBorder="1" applyAlignment="1">
      <alignment horizontal="center" vertical="center"/>
    </xf>
    <xf numFmtId="0" fontId="10" fillId="0" borderId="123" xfId="39" applyFill="1" applyBorder="1" applyAlignment="1">
      <alignment horizontal="center" vertical="center"/>
    </xf>
    <xf numFmtId="2" fontId="46" fillId="0" borderId="123" xfId="0" applyNumberFormat="1" applyFont="1" applyFill="1" applyBorder="1" applyAlignment="1">
      <alignment horizontal="left" vertical="center"/>
    </xf>
    <xf numFmtId="0" fontId="46" fillId="0" borderId="153" xfId="0" applyFont="1" applyFill="1" applyBorder="1" applyAlignment="1">
      <alignment horizontal="center" vertical="center"/>
    </xf>
    <xf numFmtId="0" fontId="0" fillId="0" borderId="123" xfId="0" applyFill="1" applyBorder="1" applyAlignment="1">
      <alignment horizontal="center" vertical="center"/>
    </xf>
    <xf numFmtId="0" fontId="10" fillId="0" borderId="123" xfId="40" applyFill="1" applyBorder="1" applyAlignment="1">
      <alignment horizontal="center" vertical="center"/>
    </xf>
    <xf numFmtId="167" fontId="7" fillId="0" borderId="153" xfId="46" applyNumberFormat="1" applyFill="1" applyBorder="1" applyAlignment="1">
      <alignment horizontal="center" vertical="center"/>
    </xf>
    <xf numFmtId="0" fontId="10" fillId="0" borderId="123" xfId="41" applyFill="1" applyBorder="1" applyAlignment="1">
      <alignment horizontal="center" vertical="center"/>
    </xf>
    <xf numFmtId="0" fontId="46" fillId="0" borderId="123" xfId="0" applyFont="1" applyFill="1" applyBorder="1" applyAlignment="1">
      <alignment horizontal="center" vertical="center" wrapText="1"/>
    </xf>
    <xf numFmtId="0" fontId="46" fillId="0" borderId="193" xfId="0" applyFont="1" applyFill="1" applyBorder="1" applyAlignment="1">
      <alignment horizontal="center" vertical="center" wrapText="1"/>
    </xf>
    <xf numFmtId="0" fontId="46" fillId="0" borderId="123" xfId="0" applyFont="1" applyFill="1" applyBorder="1" applyAlignment="1">
      <alignment horizontal="left" vertical="center" wrapText="1"/>
    </xf>
    <xf numFmtId="167" fontId="7" fillId="0" borderId="231" xfId="46" applyNumberFormat="1" applyFill="1" applyBorder="1" applyAlignment="1">
      <alignment horizontal="center" vertical="center"/>
    </xf>
    <xf numFmtId="0" fontId="10" fillId="0" borderId="123" xfId="42" applyFill="1" applyBorder="1" applyAlignment="1">
      <alignment horizontal="center" vertical="center"/>
    </xf>
    <xf numFmtId="0" fontId="67" fillId="0" borderId="9" xfId="0" applyFont="1" applyFill="1" applyBorder="1" applyAlignment="1">
      <alignment horizontal="left" vertical="center"/>
    </xf>
    <xf numFmtId="0" fontId="46" fillId="0" borderId="122" xfId="0" applyFont="1" applyFill="1" applyBorder="1" applyAlignment="1">
      <alignment horizontal="left" vertical="center"/>
    </xf>
    <xf numFmtId="167" fontId="7" fillId="0" borderId="138" xfId="45" applyNumberFormat="1" applyFill="1" applyBorder="1" applyAlignment="1">
      <alignment horizontal="center" vertical="center"/>
    </xf>
    <xf numFmtId="167" fontId="7" fillId="0" borderId="230" xfId="45" applyNumberFormat="1" applyFill="1" applyBorder="1" applyAlignment="1">
      <alignment horizontal="center" vertical="center"/>
    </xf>
    <xf numFmtId="167" fontId="10" fillId="0" borderId="122" xfId="38" applyNumberFormat="1" applyFill="1" applyBorder="1" applyAlignment="1">
      <alignment horizontal="center" vertical="center"/>
    </xf>
    <xf numFmtId="0" fontId="46" fillId="0" borderId="122" xfId="0" applyFont="1" applyFill="1" applyBorder="1" applyAlignment="1">
      <alignment horizontal="center" vertical="center"/>
    </xf>
    <xf numFmtId="0" fontId="10" fillId="0" borderId="122" xfId="43" applyFill="1" applyBorder="1" applyAlignment="1">
      <alignment horizontal="center" vertical="center"/>
    </xf>
    <xf numFmtId="0" fontId="46" fillId="0" borderId="180" xfId="0" applyFont="1" applyFill="1" applyBorder="1" applyAlignment="1">
      <alignment horizontal="center" vertical="center"/>
    </xf>
    <xf numFmtId="0" fontId="46" fillId="0" borderId="11" xfId="0" applyFont="1" applyFill="1" applyBorder="1" applyAlignment="1">
      <alignment horizontal="left" vertical="center"/>
    </xf>
    <xf numFmtId="0" fontId="67" fillId="0" borderId="114" xfId="0" applyFont="1" applyFill="1" applyBorder="1" applyAlignment="1">
      <alignment horizontal="left" vertical="center"/>
    </xf>
    <xf numFmtId="0" fontId="46" fillId="0" borderId="115" xfId="0" applyFont="1" applyFill="1" applyBorder="1" applyAlignment="1">
      <alignment horizontal="left" vertical="center"/>
    </xf>
    <xf numFmtId="167" fontId="10" fillId="0" borderId="115" xfId="35" applyNumberFormat="1" applyFill="1" applyBorder="1" applyAlignment="1">
      <alignment horizontal="center" vertical="center"/>
    </xf>
    <xf numFmtId="167" fontId="10" fillId="0" borderId="218" xfId="35" applyNumberFormat="1" applyFill="1" applyBorder="1" applyAlignment="1">
      <alignment horizontal="center" vertical="center"/>
    </xf>
    <xf numFmtId="0" fontId="46" fillId="0" borderId="115" xfId="0" applyFont="1" applyFill="1" applyBorder="1" applyAlignment="1">
      <alignment horizontal="center" vertical="center"/>
    </xf>
    <xf numFmtId="0" fontId="10" fillId="0" borderId="115" xfId="39" applyFill="1" applyBorder="1" applyAlignment="1">
      <alignment horizontal="center" vertical="center"/>
    </xf>
    <xf numFmtId="0" fontId="46" fillId="0" borderId="194" xfId="0" applyFont="1" applyFill="1" applyBorder="1" applyAlignment="1">
      <alignment horizontal="center" vertical="center"/>
    </xf>
    <xf numFmtId="0" fontId="46" fillId="0" borderId="116" xfId="0" applyFont="1" applyFill="1" applyBorder="1" applyAlignment="1">
      <alignment horizontal="left" vertical="center"/>
    </xf>
    <xf numFmtId="167" fontId="10" fillId="0" borderId="123" xfId="35" applyNumberFormat="1" applyFill="1" applyBorder="1" applyAlignment="1">
      <alignment horizontal="center" vertical="center"/>
    </xf>
    <xf numFmtId="167" fontId="10" fillId="0" borderId="231" xfId="35" applyNumberFormat="1" applyFill="1" applyBorder="1" applyAlignment="1">
      <alignment horizontal="center" vertical="center"/>
    </xf>
    <xf numFmtId="167" fontId="10" fillId="0" borderId="122" xfId="35" applyNumberFormat="1" applyFill="1" applyBorder="1" applyAlignment="1">
      <alignment horizontal="center" vertical="center"/>
    </xf>
    <xf numFmtId="167" fontId="10" fillId="0" borderId="230" xfId="35" applyNumberFormat="1" applyFill="1" applyBorder="1" applyAlignment="1">
      <alignment horizontal="center" vertical="center"/>
    </xf>
    <xf numFmtId="0" fontId="10" fillId="0" borderId="122" xfId="39" applyFill="1" applyBorder="1" applyAlignment="1">
      <alignment horizontal="center" vertical="center"/>
    </xf>
    <xf numFmtId="0" fontId="76" fillId="0" borderId="0" xfId="0" applyFont="1" applyFill="1" applyAlignment="1">
      <alignment horizontal="left" vertical="center"/>
    </xf>
    <xf numFmtId="0" fontId="49" fillId="0" borderId="198" xfId="0" applyFont="1" applyFill="1" applyBorder="1" applyAlignment="1">
      <alignment horizontal="left" vertical="center"/>
    </xf>
    <xf numFmtId="0" fontId="49" fillId="0" borderId="231" xfId="0" applyFont="1" applyFill="1" applyBorder="1" applyAlignment="1">
      <alignment horizontal="left" vertical="center"/>
    </xf>
    <xf numFmtId="0" fontId="49" fillId="0" borderId="208" xfId="0" applyFont="1" applyFill="1" applyBorder="1" applyAlignment="1">
      <alignment horizontal="left" vertical="center" wrapText="1"/>
    </xf>
    <xf numFmtId="165" fontId="49" fillId="0" borderId="231" xfId="0" applyNumberFormat="1" applyFont="1" applyFill="1" applyBorder="1" applyAlignment="1">
      <alignment horizontal="left" vertical="center"/>
    </xf>
    <xf numFmtId="165" fontId="49" fillId="0" borderId="208" xfId="0" applyNumberFormat="1" applyFont="1" applyFill="1" applyBorder="1" applyAlignment="1">
      <alignment horizontal="left" vertical="center"/>
    </xf>
    <xf numFmtId="165" fontId="0" fillId="0" borderId="0" xfId="0" applyNumberFormat="1" applyFill="1" applyAlignment="1">
      <alignment horizontal="left" vertical="center"/>
    </xf>
    <xf numFmtId="0" fontId="49" fillId="0" borderId="208" xfId="0" applyFont="1" applyFill="1" applyBorder="1" applyAlignment="1">
      <alignment horizontal="left" vertical="center"/>
    </xf>
    <xf numFmtId="0" fontId="49" fillId="0" borderId="229" xfId="0" applyFont="1" applyFill="1" applyBorder="1" applyAlignment="1">
      <alignment horizontal="left" vertical="center"/>
    </xf>
    <xf numFmtId="0" fontId="49" fillId="0" borderId="229" xfId="0" applyFont="1" applyFill="1" applyBorder="1" applyAlignment="1">
      <alignment horizontal="center" vertical="center"/>
    </xf>
    <xf numFmtId="0" fontId="49" fillId="0" borderId="207" xfId="0" applyFont="1" applyFill="1" applyBorder="1" applyAlignment="1">
      <alignment horizontal="left" vertical="center"/>
    </xf>
    <xf numFmtId="0" fontId="57" fillId="7" borderId="186" xfId="0" applyFont="1" applyFill="1" applyBorder="1" applyAlignment="1">
      <alignment horizontal="left" vertical="center"/>
    </xf>
    <xf numFmtId="0" fontId="57" fillId="7" borderId="210" xfId="0" applyFont="1" applyFill="1" applyBorder="1" applyAlignment="1">
      <alignment horizontal="left" vertical="center"/>
    </xf>
    <xf numFmtId="0" fontId="57" fillId="7" borderId="203" xfId="0" applyFont="1" applyFill="1" applyBorder="1" applyAlignment="1">
      <alignment horizontal="left" vertical="center"/>
    </xf>
    <xf numFmtId="0" fontId="73" fillId="7" borderId="187" xfId="0" applyFont="1" applyFill="1" applyBorder="1" applyAlignment="1">
      <alignment horizontal="left" vertical="center"/>
    </xf>
    <xf numFmtId="0" fontId="73" fillId="7" borderId="211" xfId="0" applyFont="1" applyFill="1" applyBorder="1" applyAlignment="1">
      <alignment horizontal="left" vertical="center"/>
    </xf>
    <xf numFmtId="0" fontId="73" fillId="7" borderId="204" xfId="0" applyFont="1" applyFill="1" applyBorder="1" applyAlignment="1">
      <alignment horizontal="left" vertical="center"/>
    </xf>
    <xf numFmtId="0" fontId="57" fillId="7" borderId="187" xfId="0" applyFont="1" applyFill="1" applyBorder="1" applyAlignment="1">
      <alignment horizontal="left" vertical="center"/>
    </xf>
    <xf numFmtId="0" fontId="57" fillId="7" borderId="211" xfId="0" applyFont="1" applyFill="1" applyBorder="1" applyAlignment="1">
      <alignment horizontal="left" vertical="center"/>
    </xf>
    <xf numFmtId="0" fontId="57" fillId="7" borderId="204" xfId="0" applyFont="1" applyFill="1" applyBorder="1" applyAlignment="1">
      <alignment horizontal="left" vertical="center"/>
    </xf>
    <xf numFmtId="0" fontId="57" fillId="7" borderId="188" xfId="0" applyFont="1" applyFill="1" applyBorder="1" applyAlignment="1">
      <alignment horizontal="left" vertical="center"/>
    </xf>
    <xf numFmtId="0" fontId="57" fillId="7" borderId="212" xfId="0" applyFont="1" applyFill="1" applyBorder="1" applyAlignment="1">
      <alignment horizontal="left" vertical="center"/>
    </xf>
    <xf numFmtId="0" fontId="57" fillId="7" borderId="205" xfId="0" applyFont="1" applyFill="1" applyBorder="1" applyAlignment="1">
      <alignment horizontal="left" vertical="center"/>
    </xf>
    <xf numFmtId="0" fontId="49" fillId="0" borderId="153" xfId="0" applyFont="1" applyBorder="1" applyAlignment="1">
      <alignment horizontal="left" vertical="center"/>
    </xf>
    <xf numFmtId="0" fontId="49" fillId="0" borderId="140" xfId="0" applyFont="1" applyBorder="1" applyAlignment="1">
      <alignment horizontal="left" vertical="center"/>
    </xf>
    <xf numFmtId="0" fontId="49" fillId="0" borderId="138" xfId="0" applyFont="1" applyBorder="1" applyAlignment="1">
      <alignment horizontal="left" vertical="center"/>
    </xf>
    <xf numFmtId="0" fontId="49" fillId="0" borderId="142" xfId="0" applyFont="1" applyBorder="1" applyAlignment="1">
      <alignment horizontal="left" vertical="center"/>
    </xf>
    <xf numFmtId="0" fontId="57" fillId="7" borderId="151" xfId="0" applyFont="1" applyFill="1" applyBorder="1" applyAlignment="1">
      <alignment horizontal="left" vertical="center" wrapText="1"/>
    </xf>
    <xf numFmtId="0" fontId="57" fillId="7" borderId="152" xfId="0" applyFont="1" applyFill="1" applyBorder="1" applyAlignment="1">
      <alignment horizontal="left" vertical="center" wrapText="1"/>
    </xf>
    <xf numFmtId="0" fontId="49" fillId="0" borderId="15" xfId="0" applyFont="1" applyBorder="1" applyAlignment="1">
      <alignment horizontal="left" vertical="center"/>
    </xf>
    <xf numFmtId="0" fontId="49" fillId="0" borderId="38" xfId="0" applyFont="1" applyBorder="1" applyAlignment="1">
      <alignment horizontal="left" vertical="center"/>
    </xf>
    <xf numFmtId="0" fontId="42" fillId="3" borderId="20" xfId="0" applyFont="1" applyFill="1" applyBorder="1" applyAlignment="1">
      <alignment horizontal="center" vertical="top" wrapText="1"/>
    </xf>
    <xf numFmtId="0" fontId="42" fillId="3" borderId="0" xfId="0" applyFont="1" applyFill="1" applyAlignment="1">
      <alignment horizontal="center" vertical="top" wrapText="1"/>
    </xf>
    <xf numFmtId="0" fontId="42" fillId="3" borderId="21" xfId="0" applyFont="1" applyFill="1" applyBorder="1" applyAlignment="1">
      <alignment horizontal="center" vertical="top" wrapText="1"/>
    </xf>
    <xf numFmtId="0" fontId="42" fillId="3" borderId="22" xfId="0" applyFont="1" applyFill="1" applyBorder="1" applyAlignment="1">
      <alignment wrapText="1"/>
    </xf>
    <xf numFmtId="0" fontId="42" fillId="3" borderId="23" xfId="0" applyFont="1" applyFill="1" applyBorder="1" applyAlignment="1">
      <alignment wrapText="1"/>
    </xf>
    <xf numFmtId="0" fontId="42" fillId="3" borderId="24" xfId="0" applyFont="1" applyFill="1" applyBorder="1" applyAlignment="1">
      <alignment wrapText="1"/>
    </xf>
    <xf numFmtId="0" fontId="0" fillId="2" borderId="0" xfId="0" applyFill="1" applyAlignment="1">
      <alignment wrapText="1"/>
    </xf>
  </cellXfs>
  <cellStyles count="51">
    <cellStyle name="Hivatkozás" xfId="4" builtinId="8"/>
    <cellStyle name="Normál" xfId="0" builtinId="0"/>
    <cellStyle name="Normal 10" xfId="16"/>
    <cellStyle name="Normal 10 2" xfId="28"/>
    <cellStyle name="Normal 10 3" xfId="30"/>
    <cellStyle name="Normal 11" xfId="19"/>
    <cellStyle name="Normal 11 2" xfId="24"/>
    <cellStyle name="Normal 11 2 2" xfId="31"/>
    <cellStyle name="Normal 11 2 3" xfId="44"/>
    <cellStyle name="Normal 11 2 3 2" xfId="49"/>
    <cellStyle name="Normal 11 2 7" xfId="47"/>
    <cellStyle name="Normal 12" xfId="23"/>
    <cellStyle name="Normal 13" xfId="27"/>
    <cellStyle name="Normal 14" xfId="29"/>
    <cellStyle name="Normal 2" xfId="1"/>
    <cellStyle name="Normál 2" xfId="11"/>
    <cellStyle name="Normal 2 2" xfId="6"/>
    <cellStyle name="Normal 2 3" xfId="22"/>
    <cellStyle name="Normál 24" xfId="40"/>
    <cellStyle name="Normál 25" xfId="41"/>
    <cellStyle name="Normál 26" xfId="39"/>
    <cellStyle name="Normál 27" xfId="43"/>
    <cellStyle name="Normál 28" xfId="42"/>
    <cellStyle name="Normal 3" xfId="3"/>
    <cellStyle name="Normál 3" xfId="48"/>
    <cellStyle name="Normal 3 2" xfId="13"/>
    <cellStyle name="Normal 3 3" xfId="17"/>
    <cellStyle name="Normal 3 4" xfId="20"/>
    <cellStyle name="Normal 3 5" xfId="25"/>
    <cellStyle name="Normal 3 5 2" xfId="32"/>
    <cellStyle name="Normál 35" xfId="35"/>
    <cellStyle name="Normal 4" xfId="5"/>
    <cellStyle name="Normal 4 2" xfId="8"/>
    <cellStyle name="Normal 4 3" xfId="14"/>
    <cellStyle name="Normal 4 4" xfId="18"/>
    <cellStyle name="Normal 4 5" xfId="21"/>
    <cellStyle name="Normal 4 6" xfId="26"/>
    <cellStyle name="Normal 4 6 2" xfId="33"/>
    <cellStyle name="Normál 40" xfId="36"/>
    <cellStyle name="Normál 40 4" xfId="45"/>
    <cellStyle name="Normál 42" xfId="37"/>
    <cellStyle name="Normál 46" xfId="38"/>
    <cellStyle name="Normál 46 4" xfId="46"/>
    <cellStyle name="Normal 5" xfId="7"/>
    <cellStyle name="Normal 6" xfId="9"/>
    <cellStyle name="Normal 7" xfId="10"/>
    <cellStyle name="Normal 8" xfId="12"/>
    <cellStyle name="Normal 9" xfId="15"/>
    <cellStyle name="Normal 9 6" xfId="50"/>
    <cellStyle name="Normal_ASM1" xfId="34"/>
    <cellStyle name="Normal_Kinetic matrix" xfId="2"/>
  </cellStyles>
  <dxfs count="13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mruColors>
      <color rgb="FFFFFF66"/>
      <color rgb="FFFFFFCC"/>
      <color rgb="FFFFFFFF"/>
      <color rgb="FF333333"/>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240</xdr:row>
      <xdr:rowOff>58232</xdr:rowOff>
    </xdr:from>
    <xdr:ext cx="5000625" cy="833438"/>
    <xdr:pic>
      <xdr:nvPicPr>
        <xdr:cNvPr id="9" name="Picture 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236</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148</xdr:row>
      <xdr:rowOff>114300</xdr:rowOff>
    </xdr:from>
    <xdr:to>
      <xdr:col>5</xdr:col>
      <xdr:colOff>476251</xdr:colOff>
      <xdr:row>151</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5</xdr:row>
      <xdr:rowOff>0</xdr:rowOff>
    </xdr:from>
    <xdr:to>
      <xdr:col>15</xdr:col>
      <xdr:colOff>327670</xdr:colOff>
      <xdr:row>13</xdr:row>
      <xdr:rowOff>30483</xdr:rowOff>
    </xdr:to>
    <xdr:pic>
      <xdr:nvPicPr>
        <xdr:cNvPr id="3" name="Copyright"/>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29425" y="13620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589355</xdr:colOff>
      <xdr:row>0</xdr:row>
      <xdr:rowOff>59691</xdr:rowOff>
    </xdr:from>
    <xdr:to>
      <xdr:col>1</xdr:col>
      <xdr:colOff>1370680</xdr:colOff>
      <xdr:row>0</xdr:row>
      <xdr:rowOff>591185</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327</xdr:row>
      <xdr:rowOff>136070</xdr:rowOff>
    </xdr:from>
    <xdr:to>
      <xdr:col>15</xdr:col>
      <xdr:colOff>1545179</xdr:colOff>
      <xdr:row>351</xdr:row>
      <xdr:rowOff>97476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6249094" y="69913499"/>
          <a:ext cx="7214969" cy="59078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76010</xdr:colOff>
      <xdr:row>0</xdr:row>
      <xdr:rowOff>63500</xdr:rowOff>
    </xdr:from>
    <xdr:to>
      <xdr:col>3</xdr:col>
      <xdr:colOff>646529</xdr:colOff>
      <xdr:row>0</xdr:row>
      <xdr:rowOff>595313</xdr:rowOff>
    </xdr:to>
    <xdr:sp macro="[0]!bt_chkcont_click" textlink="">
      <xdr:nvSpPr>
        <xdr:cNvPr id="2" name="bt_chkcont">
          <a:extLst>
            <a:ext uri="{FF2B5EF4-FFF2-40B4-BE49-F238E27FC236}">
              <a16:creationId xmlns:a16="http://schemas.microsoft.com/office/drawing/2014/main" id="{00000000-0008-0000-0300-000002000000}"/>
            </a:ext>
          </a:extLst>
        </xdr:cNvPr>
        <xdr:cNvSpPr/>
      </xdr:nvSpPr>
      <xdr:spPr>
        <a:xfrm>
          <a:off x="339989" y="63500"/>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920108</xdr:colOff>
      <xdr:row>0</xdr:row>
      <xdr:rowOff>76200</xdr:rowOff>
    </xdr:from>
    <xdr:to>
      <xdr:col>3</xdr:col>
      <xdr:colOff>2357590</xdr:colOff>
      <xdr:row>0</xdr:row>
      <xdr:rowOff>608013</xdr:rowOff>
    </xdr:to>
    <xdr:sp macro="[0]!bt_chkcont_norates_click" textlink="">
      <xdr:nvSpPr>
        <xdr:cNvPr id="3" name="bt_chkcont">
          <a:extLst>
            <a:ext uri="{FF2B5EF4-FFF2-40B4-BE49-F238E27FC236}">
              <a16:creationId xmlns:a16="http://schemas.microsoft.com/office/drawing/2014/main" id="{00000000-0008-0000-03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83007</xdr:colOff>
      <xdr:row>0</xdr:row>
      <xdr:rowOff>466725</xdr:rowOff>
    </xdr:to>
    <xdr:sp macro="[0]!bt_pewpph" textlink="">
      <xdr:nvSpPr>
        <xdr:cNvPr id="2" name="bt_prepph">
          <a:extLst>
            <a:ext uri="{FF2B5EF4-FFF2-40B4-BE49-F238E27FC236}">
              <a16:creationId xmlns:a16="http://schemas.microsoft.com/office/drawing/2014/main" id="{00000000-0008-0000-04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5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5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7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0</xdr:colOff>
      <xdr:row>0</xdr:row>
      <xdr:rowOff>95250</xdr:rowOff>
    </xdr:from>
    <xdr:to>
      <xdr:col>2</xdr:col>
      <xdr:colOff>1581150</xdr:colOff>
      <xdr:row>0</xdr:row>
      <xdr:rowOff>523875</xdr:rowOff>
    </xdr:to>
    <xdr:sp macro="[0]!bt_chkst_click" textlink="">
      <xdr:nvSpPr>
        <xdr:cNvPr id="3" name="bt_chkst">
          <a:extLst>
            <a:ext uri="{FF2B5EF4-FFF2-40B4-BE49-F238E27FC236}">
              <a16:creationId xmlns:a16="http://schemas.microsoft.com/office/drawing/2014/main" id="{00000000-0008-0000-07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8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184468</xdr:rowOff>
    </xdr:from>
    <xdr:to>
      <xdr:col>1</xdr:col>
      <xdr:colOff>1395585</xdr:colOff>
      <xdr:row>0</xdr:row>
      <xdr:rowOff>552450</xdr:rowOff>
    </xdr:to>
    <xdr:sp macro="[0]!bt_calcvar" textlink="">
      <xdr:nvSpPr>
        <xdr:cNvPr id="2" name="bt_calc">
          <a:extLst>
            <a:ext uri="{FF2B5EF4-FFF2-40B4-BE49-F238E27FC236}">
              <a16:creationId xmlns:a16="http://schemas.microsoft.com/office/drawing/2014/main" id="{00000000-0008-0000-0A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172AC7F8-EE4B-4123-BD89-353DA38FC102}" userId="09190b45b532d636" providerId="Windows Live"/>
</personList>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5" dT="2020-02-03T15:48:49.14" personId="{172AC7F8-EE4B-4123-BD89-353DA38FC102}" id="{EFC543CF-5BE4-43AF-B9F4-EDB24559D8ED}">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9.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1.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2"/>
  <dimension ref="A1:L260"/>
  <sheetViews>
    <sheetView showGridLines="0" tabSelected="1" zoomScaleNormal="100" workbookViewId="0"/>
  </sheetViews>
  <sheetFormatPr defaultColWidth="9.140625" defaultRowHeight="15" x14ac:dyDescent="0.25"/>
  <cols>
    <col min="1" max="1" width="3.85546875" customWidth="1"/>
    <col min="2" max="2" width="13.140625" customWidth="1"/>
    <col min="3" max="3" width="12.42578125" customWidth="1"/>
    <col min="5" max="5" width="25.140625" customWidth="1"/>
    <col min="6" max="6" width="25.28515625" customWidth="1"/>
    <col min="7" max="7" width="13.42578125" customWidth="1"/>
    <col min="14" max="14" width="5.140625" customWidth="1"/>
  </cols>
  <sheetData>
    <row r="1" spans="2:8" s="47" customFormat="1" ht="47.25" customHeight="1" x14ac:dyDescent="0.25"/>
    <row r="3" spans="2:8" x14ac:dyDescent="0.25">
      <c r="B3" s="52" t="s">
        <v>153</v>
      </c>
      <c r="C3" s="1" t="s">
        <v>3171</v>
      </c>
      <c r="D3" t="s">
        <v>4545</v>
      </c>
    </row>
    <row r="4" spans="2:8" x14ac:dyDescent="0.25">
      <c r="B4" s="120"/>
      <c r="C4" s="1"/>
      <c r="D4" s="123" t="s">
        <v>4533</v>
      </c>
    </row>
    <row r="5" spans="2:8" x14ac:dyDescent="0.25">
      <c r="D5" t="s">
        <v>220</v>
      </c>
    </row>
    <row r="6" spans="2:8" x14ac:dyDescent="0.25">
      <c r="D6" t="s">
        <v>221</v>
      </c>
    </row>
    <row r="7" spans="2:8" x14ac:dyDescent="0.25">
      <c r="D7" t="s">
        <v>3431</v>
      </c>
    </row>
    <row r="8" spans="2:8" x14ac:dyDescent="0.25">
      <c r="D8" t="s">
        <v>222</v>
      </c>
    </row>
    <row r="9" spans="2:8" x14ac:dyDescent="0.25">
      <c r="D9" t="s">
        <v>3432</v>
      </c>
    </row>
    <row r="10" spans="2:8" x14ac:dyDescent="0.25">
      <c r="D10" t="s">
        <v>4526</v>
      </c>
    </row>
    <row r="11" spans="2:8" x14ac:dyDescent="0.25">
      <c r="D11" t="s">
        <v>283</v>
      </c>
    </row>
    <row r="12" spans="2:8" x14ac:dyDescent="0.25">
      <c r="D12" t="s">
        <v>1619</v>
      </c>
    </row>
    <row r="13" spans="2:8" x14ac:dyDescent="0.25">
      <c r="D13" t="s">
        <v>285</v>
      </c>
    </row>
    <row r="14" spans="2:8" x14ac:dyDescent="0.25">
      <c r="D14" t="s">
        <v>286</v>
      </c>
      <c r="H14" s="1669" t="s">
        <v>1169</v>
      </c>
    </row>
    <row r="15" spans="2:8" x14ac:dyDescent="0.25">
      <c r="D15" t="s">
        <v>2139</v>
      </c>
    </row>
    <row r="19" spans="1:10" x14ac:dyDescent="0.25">
      <c r="B19" s="52" t="s">
        <v>27</v>
      </c>
      <c r="C19" s="53"/>
      <c r="H19" s="52" t="s">
        <v>212</v>
      </c>
      <c r="I19" s="53"/>
      <c r="J19" s="53"/>
    </row>
    <row r="20" spans="1:10" x14ac:dyDescent="0.25">
      <c r="A20" s="120" t="s">
        <v>1930</v>
      </c>
      <c r="H20">
        <v>1</v>
      </c>
      <c r="I20" t="s">
        <v>213</v>
      </c>
    </row>
    <row r="21" spans="1:10" x14ac:dyDescent="0.25">
      <c r="A21">
        <v>1</v>
      </c>
      <c r="B21" t="s">
        <v>1931</v>
      </c>
      <c r="H21">
        <v>2</v>
      </c>
      <c r="I21" t="s">
        <v>3665</v>
      </c>
    </row>
    <row r="22" spans="1:10" x14ac:dyDescent="0.25">
      <c r="A22">
        <v>2</v>
      </c>
      <c r="B22" t="s">
        <v>1932</v>
      </c>
    </row>
    <row r="23" spans="1:10" x14ac:dyDescent="0.25">
      <c r="B23">
        <v>1</v>
      </c>
      <c r="C23" t="s">
        <v>1933</v>
      </c>
    </row>
    <row r="24" spans="1:10" x14ac:dyDescent="0.25">
      <c r="B24">
        <v>2</v>
      </c>
      <c r="C24" t="s">
        <v>1934</v>
      </c>
    </row>
    <row r="25" spans="1:10" x14ac:dyDescent="0.25">
      <c r="B25">
        <v>3</v>
      </c>
      <c r="C25" t="s">
        <v>1935</v>
      </c>
    </row>
    <row r="26" spans="1:10" x14ac:dyDescent="0.25">
      <c r="B26">
        <v>4</v>
      </c>
      <c r="C26" t="s">
        <v>1936</v>
      </c>
    </row>
    <row r="27" spans="1:10" x14ac:dyDescent="0.25">
      <c r="B27">
        <v>5</v>
      </c>
      <c r="C27" t="s">
        <v>1937</v>
      </c>
    </row>
    <row r="28" spans="1:10" x14ac:dyDescent="0.25">
      <c r="A28">
        <v>3</v>
      </c>
      <c r="B28" t="s">
        <v>1938</v>
      </c>
    </row>
    <row r="29" spans="1:10" x14ac:dyDescent="0.25">
      <c r="C29" t="s">
        <v>1939</v>
      </c>
    </row>
    <row r="31" spans="1:10" x14ac:dyDescent="0.25">
      <c r="A31" s="1" t="s">
        <v>28</v>
      </c>
      <c r="B31" s="1" t="s">
        <v>29</v>
      </c>
    </row>
    <row r="32" spans="1:10" x14ac:dyDescent="0.25">
      <c r="B32">
        <v>1</v>
      </c>
      <c r="C32" t="s">
        <v>792</v>
      </c>
    </row>
    <row r="33" spans="2:5" x14ac:dyDescent="0.25">
      <c r="D33" t="s">
        <v>30</v>
      </c>
    </row>
    <row r="34" spans="2:5" x14ac:dyDescent="0.25">
      <c r="D34">
        <v>1</v>
      </c>
      <c r="E34" t="s">
        <v>31</v>
      </c>
    </row>
    <row r="35" spans="2:5" x14ac:dyDescent="0.25">
      <c r="D35">
        <v>2</v>
      </c>
      <c r="E35" t="s">
        <v>101</v>
      </c>
    </row>
    <row r="36" spans="2:5" x14ac:dyDescent="0.25">
      <c r="D36">
        <v>3</v>
      </c>
      <c r="E36" t="s">
        <v>154</v>
      </c>
    </row>
    <row r="37" spans="2:5" x14ac:dyDescent="0.25">
      <c r="D37">
        <v>4</v>
      </c>
      <c r="E37" t="s">
        <v>33</v>
      </c>
    </row>
    <row r="38" spans="2:5" x14ac:dyDescent="0.25">
      <c r="B38">
        <v>2</v>
      </c>
      <c r="C38" t="s">
        <v>793</v>
      </c>
    </row>
    <row r="39" spans="2:5" x14ac:dyDescent="0.25">
      <c r="D39">
        <v>1</v>
      </c>
      <c r="E39" t="s">
        <v>34</v>
      </c>
    </row>
    <row r="40" spans="2:5" x14ac:dyDescent="0.25">
      <c r="D40">
        <v>2</v>
      </c>
      <c r="E40" t="s">
        <v>155</v>
      </c>
    </row>
    <row r="41" spans="2:5" x14ac:dyDescent="0.25">
      <c r="D41">
        <v>3</v>
      </c>
      <c r="E41" t="s">
        <v>156</v>
      </c>
    </row>
    <row r="42" spans="2:5" x14ac:dyDescent="0.25">
      <c r="D42">
        <v>3</v>
      </c>
      <c r="E42" t="s">
        <v>157</v>
      </c>
    </row>
    <row r="43" spans="2:5" x14ac:dyDescent="0.25">
      <c r="D43">
        <v>4</v>
      </c>
      <c r="E43" t="s">
        <v>158</v>
      </c>
    </row>
    <row r="44" spans="2:5" x14ac:dyDescent="0.25">
      <c r="D44" s="121" t="s">
        <v>159</v>
      </c>
      <c r="E44" t="s">
        <v>36</v>
      </c>
    </row>
    <row r="45" spans="2:5" x14ac:dyDescent="0.25">
      <c r="D45">
        <v>6</v>
      </c>
      <c r="E45" t="s">
        <v>37</v>
      </c>
    </row>
    <row r="46" spans="2:5" x14ac:dyDescent="0.25">
      <c r="B46">
        <v>3</v>
      </c>
      <c r="C46" t="s">
        <v>38</v>
      </c>
    </row>
    <row r="47" spans="2:5" x14ac:dyDescent="0.25">
      <c r="D47">
        <v>1</v>
      </c>
      <c r="E47" t="s">
        <v>39</v>
      </c>
    </row>
    <row r="48" spans="2:5" x14ac:dyDescent="0.25">
      <c r="D48">
        <v>2</v>
      </c>
      <c r="E48" t="s">
        <v>40</v>
      </c>
    </row>
    <row r="49" spans="2:10" x14ac:dyDescent="0.25">
      <c r="D49">
        <v>3</v>
      </c>
      <c r="E49" t="s">
        <v>41</v>
      </c>
    </row>
    <row r="50" spans="2:10" x14ac:dyDescent="0.25">
      <c r="B50">
        <v>4</v>
      </c>
      <c r="C50" t="s">
        <v>160</v>
      </c>
    </row>
    <row r="51" spans="2:10" x14ac:dyDescent="0.25">
      <c r="D51">
        <v>1</v>
      </c>
      <c r="E51" t="s">
        <v>161</v>
      </c>
    </row>
    <row r="52" spans="2:10" x14ac:dyDescent="0.25">
      <c r="B52">
        <v>5</v>
      </c>
      <c r="C52" t="s">
        <v>793</v>
      </c>
    </row>
    <row r="53" spans="2:10" x14ac:dyDescent="0.25">
      <c r="D53">
        <v>1</v>
      </c>
      <c r="E53" t="s">
        <v>42</v>
      </c>
    </row>
    <row r="54" spans="2:10" x14ac:dyDescent="0.25">
      <c r="D54">
        <v>2</v>
      </c>
      <c r="E54" t="s">
        <v>99</v>
      </c>
    </row>
    <row r="55" spans="2:10" x14ac:dyDescent="0.25">
      <c r="D55">
        <v>3</v>
      </c>
      <c r="E55" t="s">
        <v>43</v>
      </c>
    </row>
    <row r="56" spans="2:10" x14ac:dyDescent="0.25">
      <c r="B56">
        <v>6</v>
      </c>
      <c r="C56" t="s">
        <v>1926</v>
      </c>
      <c r="J56" s="122"/>
    </row>
    <row r="57" spans="2:10" x14ac:dyDescent="0.25">
      <c r="D57">
        <v>1</v>
      </c>
      <c r="E57" t="s">
        <v>1925</v>
      </c>
    </row>
    <row r="58" spans="2:10" x14ac:dyDescent="0.25">
      <c r="D58">
        <v>2</v>
      </c>
      <c r="E58" t="s">
        <v>1927</v>
      </c>
    </row>
    <row r="59" spans="2:10" x14ac:dyDescent="0.25">
      <c r="D59">
        <v>3</v>
      </c>
      <c r="E59" t="s">
        <v>1928</v>
      </c>
    </row>
    <row r="60" spans="2:10" x14ac:dyDescent="0.25">
      <c r="D60">
        <v>4</v>
      </c>
      <c r="E60" t="s">
        <v>1929</v>
      </c>
    </row>
    <row r="62" spans="2:10" x14ac:dyDescent="0.25">
      <c r="B62" s="1" t="s">
        <v>794</v>
      </c>
    </row>
    <row r="63" spans="2:10" x14ac:dyDescent="0.25">
      <c r="B63">
        <v>1</v>
      </c>
      <c r="C63" t="s">
        <v>795</v>
      </c>
    </row>
    <row r="64" spans="2:10" x14ac:dyDescent="0.25">
      <c r="D64" t="s">
        <v>44</v>
      </c>
    </row>
    <row r="65" spans="2:5" x14ac:dyDescent="0.25">
      <c r="D65">
        <v>1</v>
      </c>
      <c r="E65" t="s">
        <v>45</v>
      </c>
    </row>
    <row r="66" spans="2:5" x14ac:dyDescent="0.25">
      <c r="D66">
        <v>2</v>
      </c>
      <c r="E66" t="s">
        <v>46</v>
      </c>
    </row>
    <row r="67" spans="2:5" x14ac:dyDescent="0.25">
      <c r="D67">
        <v>3</v>
      </c>
      <c r="E67" t="s">
        <v>119</v>
      </c>
    </row>
    <row r="68" spans="2:5" x14ac:dyDescent="0.25">
      <c r="D68">
        <v>4</v>
      </c>
      <c r="E68" t="s">
        <v>1924</v>
      </c>
    </row>
    <row r="69" spans="2:5" x14ac:dyDescent="0.25">
      <c r="B69">
        <v>2</v>
      </c>
      <c r="C69" t="s">
        <v>796</v>
      </c>
    </row>
    <row r="70" spans="2:5" x14ac:dyDescent="0.25">
      <c r="D70">
        <v>1</v>
      </c>
      <c r="E70" t="s">
        <v>162</v>
      </c>
    </row>
    <row r="71" spans="2:5" x14ac:dyDescent="0.25">
      <c r="D71">
        <v>2</v>
      </c>
      <c r="E71" t="s">
        <v>163</v>
      </c>
    </row>
    <row r="72" spans="2:5" x14ac:dyDescent="0.25">
      <c r="B72">
        <v>3</v>
      </c>
      <c r="C72" t="s">
        <v>3666</v>
      </c>
    </row>
    <row r="73" spans="2:5" x14ac:dyDescent="0.25">
      <c r="D73">
        <v>1</v>
      </c>
      <c r="E73" t="s">
        <v>3667</v>
      </c>
    </row>
    <row r="74" spans="2:5" x14ac:dyDescent="0.25">
      <c r="B74">
        <v>4</v>
      </c>
      <c r="C74" t="s">
        <v>3668</v>
      </c>
    </row>
    <row r="75" spans="2:5" x14ac:dyDescent="0.25">
      <c r="D75">
        <v>1</v>
      </c>
      <c r="E75" t="s">
        <v>3669</v>
      </c>
    </row>
    <row r="76" spans="2:5" x14ac:dyDescent="0.25">
      <c r="D76">
        <v>2</v>
      </c>
      <c r="E76" t="s">
        <v>3670</v>
      </c>
    </row>
    <row r="77" spans="2:5" x14ac:dyDescent="0.25">
      <c r="D77">
        <v>3</v>
      </c>
      <c r="E77" t="s">
        <v>3671</v>
      </c>
    </row>
    <row r="79" spans="2:5" x14ac:dyDescent="0.25">
      <c r="B79">
        <v>5</v>
      </c>
      <c r="C79" t="s">
        <v>796</v>
      </c>
    </row>
    <row r="80" spans="2:5" x14ac:dyDescent="0.25">
      <c r="D80">
        <v>1</v>
      </c>
      <c r="E80" t="s">
        <v>47</v>
      </c>
    </row>
    <row r="81" spans="1:6" x14ac:dyDescent="0.25">
      <c r="D81">
        <v>2</v>
      </c>
      <c r="E81" t="s">
        <v>164</v>
      </c>
    </row>
    <row r="83" spans="1:6" x14ac:dyDescent="0.25">
      <c r="A83" s="1" t="s">
        <v>48</v>
      </c>
      <c r="B83" s="1" t="s">
        <v>49</v>
      </c>
    </row>
    <row r="84" spans="1:6" x14ac:dyDescent="0.25">
      <c r="B84">
        <v>1</v>
      </c>
      <c r="C84" t="s">
        <v>792</v>
      </c>
    </row>
    <row r="85" spans="1:6" x14ac:dyDescent="0.25">
      <c r="D85" t="s">
        <v>30</v>
      </c>
    </row>
    <row r="86" spans="1:6" x14ac:dyDescent="0.25">
      <c r="D86">
        <v>1</v>
      </c>
      <c r="E86" t="s">
        <v>50</v>
      </c>
    </row>
    <row r="87" spans="1:6" x14ac:dyDescent="0.25">
      <c r="D87">
        <v>2</v>
      </c>
      <c r="E87" t="s">
        <v>102</v>
      </c>
    </row>
    <row r="88" spans="1:6" x14ac:dyDescent="0.25">
      <c r="D88">
        <v>3</v>
      </c>
      <c r="E88" t="s">
        <v>32</v>
      </c>
    </row>
    <row r="89" spans="1:6" x14ac:dyDescent="0.25">
      <c r="E89" s="910" t="s">
        <v>51</v>
      </c>
      <c r="F89" t="s">
        <v>52</v>
      </c>
    </row>
    <row r="90" spans="1:6" x14ac:dyDescent="0.25">
      <c r="E90" s="910" t="s">
        <v>53</v>
      </c>
      <c r="F90" t="s">
        <v>3672</v>
      </c>
    </row>
    <row r="91" spans="1:6" x14ac:dyDescent="0.25">
      <c r="F91" t="s">
        <v>54</v>
      </c>
    </row>
    <row r="92" spans="1:6" x14ac:dyDescent="0.25">
      <c r="B92">
        <v>2</v>
      </c>
      <c r="C92" t="s">
        <v>793</v>
      </c>
    </row>
    <row r="93" spans="1:6" x14ac:dyDescent="0.25">
      <c r="D93">
        <v>1</v>
      </c>
      <c r="E93" t="s">
        <v>55</v>
      </c>
    </row>
    <row r="94" spans="1:6" x14ac:dyDescent="0.25">
      <c r="D94">
        <v>2</v>
      </c>
      <c r="E94" t="s">
        <v>155</v>
      </c>
    </row>
    <row r="95" spans="1:6" x14ac:dyDescent="0.25">
      <c r="D95" s="121" t="s">
        <v>35</v>
      </c>
      <c r="E95" t="s">
        <v>36</v>
      </c>
    </row>
    <row r="96" spans="1:6" x14ac:dyDescent="0.25">
      <c r="D96">
        <v>4</v>
      </c>
      <c r="E96" t="s">
        <v>56</v>
      </c>
    </row>
    <row r="97" spans="2:10" x14ac:dyDescent="0.25">
      <c r="B97">
        <v>3</v>
      </c>
      <c r="C97" t="s">
        <v>38</v>
      </c>
    </row>
    <row r="98" spans="2:10" x14ac:dyDescent="0.25">
      <c r="D98">
        <v>1</v>
      </c>
      <c r="E98" t="s">
        <v>57</v>
      </c>
    </row>
    <row r="99" spans="2:10" x14ac:dyDescent="0.25">
      <c r="D99">
        <v>2</v>
      </c>
      <c r="E99" t="s">
        <v>40</v>
      </c>
    </row>
    <row r="100" spans="2:10" x14ac:dyDescent="0.25">
      <c r="D100">
        <v>3</v>
      </c>
      <c r="E100" t="s">
        <v>41</v>
      </c>
    </row>
    <row r="101" spans="2:10" x14ac:dyDescent="0.25">
      <c r="B101">
        <v>4</v>
      </c>
      <c r="C101" t="s">
        <v>160</v>
      </c>
    </row>
    <row r="102" spans="2:10" x14ac:dyDescent="0.25">
      <c r="D102">
        <v>1</v>
      </c>
      <c r="E102" t="s">
        <v>161</v>
      </c>
    </row>
    <row r="103" spans="2:10" x14ac:dyDescent="0.25">
      <c r="B103">
        <v>5</v>
      </c>
      <c r="C103" t="s">
        <v>793</v>
      </c>
    </row>
    <row r="104" spans="2:10" x14ac:dyDescent="0.25">
      <c r="D104">
        <v>1</v>
      </c>
      <c r="E104" t="s">
        <v>42</v>
      </c>
    </row>
    <row r="105" spans="2:10" x14ac:dyDescent="0.25">
      <c r="D105">
        <v>2</v>
      </c>
      <c r="E105" t="s">
        <v>99</v>
      </c>
    </row>
    <row r="106" spans="2:10" x14ac:dyDescent="0.25">
      <c r="D106">
        <v>3</v>
      </c>
      <c r="E106" t="s">
        <v>43</v>
      </c>
      <c r="J106" s="122"/>
    </row>
    <row r="107" spans="2:10" x14ac:dyDescent="0.25">
      <c r="B107">
        <v>6</v>
      </c>
      <c r="C107" t="s">
        <v>1926</v>
      </c>
    </row>
    <row r="108" spans="2:10" x14ac:dyDescent="0.25">
      <c r="D108">
        <v>1</v>
      </c>
      <c r="E108" t="s">
        <v>1925</v>
      </c>
    </row>
    <row r="109" spans="2:10" x14ac:dyDescent="0.25">
      <c r="D109">
        <v>2</v>
      </c>
      <c r="E109" t="s">
        <v>1927</v>
      </c>
    </row>
    <row r="110" spans="2:10" x14ac:dyDescent="0.25">
      <c r="D110">
        <v>3</v>
      </c>
      <c r="E110" t="s">
        <v>1928</v>
      </c>
    </row>
    <row r="111" spans="2:10" x14ac:dyDescent="0.25">
      <c r="D111">
        <v>4</v>
      </c>
      <c r="E111" t="s">
        <v>1929</v>
      </c>
    </row>
    <row r="112" spans="2:10" x14ac:dyDescent="0.25">
      <c r="B112" s="1" t="s">
        <v>58</v>
      </c>
    </row>
    <row r="113" spans="2:6" x14ac:dyDescent="0.25">
      <c r="B113">
        <v>1</v>
      </c>
      <c r="C113" t="s">
        <v>795</v>
      </c>
    </row>
    <row r="114" spans="2:6" x14ac:dyDescent="0.25">
      <c r="D114" t="s">
        <v>44</v>
      </c>
    </row>
    <row r="115" spans="2:6" x14ac:dyDescent="0.25">
      <c r="D115">
        <v>1</v>
      </c>
      <c r="E115" t="s">
        <v>59</v>
      </c>
    </row>
    <row r="116" spans="2:6" x14ac:dyDescent="0.25">
      <c r="D116">
        <v>2</v>
      </c>
      <c r="E116" t="s">
        <v>46</v>
      </c>
    </row>
    <row r="117" spans="2:6" x14ac:dyDescent="0.25">
      <c r="E117" s="910" t="s">
        <v>51</v>
      </c>
      <c r="F117" t="s">
        <v>60</v>
      </c>
    </row>
    <row r="118" spans="2:6" x14ac:dyDescent="0.25">
      <c r="E118" s="910" t="s">
        <v>53</v>
      </c>
      <c r="F118" t="s">
        <v>61</v>
      </c>
    </row>
    <row r="119" spans="2:6" x14ac:dyDescent="0.25">
      <c r="F119" t="s">
        <v>62</v>
      </c>
    </row>
    <row r="120" spans="2:6" x14ac:dyDescent="0.25">
      <c r="D120">
        <v>3</v>
      </c>
      <c r="E120" t="s">
        <v>1924</v>
      </c>
    </row>
    <row r="121" spans="2:6" x14ac:dyDescent="0.25">
      <c r="B121">
        <v>2</v>
      </c>
      <c r="C121" t="s">
        <v>796</v>
      </c>
    </row>
    <row r="122" spans="2:6" x14ac:dyDescent="0.25">
      <c r="D122">
        <v>1</v>
      </c>
      <c r="E122" t="s">
        <v>63</v>
      </c>
    </row>
    <row r="123" spans="2:6" x14ac:dyDescent="0.25">
      <c r="D123">
        <v>2</v>
      </c>
      <c r="E123" t="s">
        <v>163</v>
      </c>
    </row>
    <row r="124" spans="2:6" x14ac:dyDescent="0.25">
      <c r="E124" t="s">
        <v>3673</v>
      </c>
    </row>
    <row r="125" spans="2:6" x14ac:dyDescent="0.25">
      <c r="B125">
        <v>3</v>
      </c>
      <c r="C125" t="s">
        <v>3666</v>
      </c>
    </row>
    <row r="126" spans="2:6" x14ac:dyDescent="0.25">
      <c r="D126">
        <v>1</v>
      </c>
      <c r="E126" t="s">
        <v>3667</v>
      </c>
    </row>
    <row r="127" spans="2:6" x14ac:dyDescent="0.25">
      <c r="B127">
        <v>4</v>
      </c>
      <c r="C127" t="s">
        <v>3668</v>
      </c>
    </row>
    <row r="128" spans="2:6" x14ac:dyDescent="0.25">
      <c r="D128">
        <v>1</v>
      </c>
      <c r="E128" t="s">
        <v>3669</v>
      </c>
    </row>
    <row r="129" spans="2:7" x14ac:dyDescent="0.25">
      <c r="D129">
        <v>2</v>
      </c>
      <c r="E129" t="s">
        <v>3670</v>
      </c>
    </row>
    <row r="130" spans="2:7" x14ac:dyDescent="0.25">
      <c r="D130">
        <v>3</v>
      </c>
      <c r="E130" t="s">
        <v>3674</v>
      </c>
    </row>
    <row r="131" spans="2:7" x14ac:dyDescent="0.25">
      <c r="D131">
        <v>4</v>
      </c>
      <c r="E131" t="s">
        <v>3671</v>
      </c>
    </row>
    <row r="132" spans="2:7" x14ac:dyDescent="0.25">
      <c r="B132">
        <v>5</v>
      </c>
      <c r="C132" t="s">
        <v>796</v>
      </c>
    </row>
    <row r="133" spans="2:7" x14ac:dyDescent="0.25">
      <c r="D133">
        <v>1</v>
      </c>
      <c r="E133" t="s">
        <v>47</v>
      </c>
    </row>
    <row r="138" spans="2:7" x14ac:dyDescent="0.25">
      <c r="B138" s="52" t="s">
        <v>64</v>
      </c>
      <c r="C138" s="52"/>
      <c r="D138" s="52"/>
    </row>
    <row r="140" spans="2:7" x14ac:dyDescent="0.25">
      <c r="B140" s="1" t="s">
        <v>65</v>
      </c>
      <c r="C140" t="s">
        <v>66</v>
      </c>
    </row>
    <row r="141" spans="2:7" x14ac:dyDescent="0.25">
      <c r="C141" t="s">
        <v>67</v>
      </c>
    </row>
    <row r="142" spans="2:7" x14ac:dyDescent="0.25">
      <c r="C142" t="s">
        <v>125</v>
      </c>
    </row>
    <row r="143" spans="2:7" ht="15.75" thickBot="1" x14ac:dyDescent="0.3">
      <c r="C143" s="911"/>
      <c r="D143" s="912"/>
      <c r="E143" s="912"/>
      <c r="F143" s="912"/>
      <c r="G143" s="911"/>
    </row>
    <row r="144" spans="2:7" x14ac:dyDescent="0.25">
      <c r="C144" s="124"/>
      <c r="D144" s="913" t="s">
        <v>26</v>
      </c>
      <c r="E144" s="914"/>
      <c r="F144" s="915">
        <v>3.52</v>
      </c>
      <c r="G144" s="916"/>
    </row>
    <row r="145" spans="2:7" x14ac:dyDescent="0.25">
      <c r="C145" s="124"/>
      <c r="D145" s="917" t="s">
        <v>68</v>
      </c>
      <c r="E145" s="918"/>
      <c r="F145" s="919">
        <v>1.23</v>
      </c>
      <c r="G145" s="916"/>
    </row>
    <row r="146" spans="2:7" x14ac:dyDescent="0.25">
      <c r="C146" s="124"/>
      <c r="D146" s="917" t="s">
        <v>69</v>
      </c>
      <c r="E146" s="918"/>
      <c r="F146" s="919">
        <v>0.02</v>
      </c>
      <c r="G146" s="916"/>
    </row>
    <row r="147" spans="2:7" ht="15.75" thickBot="1" x14ac:dyDescent="0.3">
      <c r="C147" s="124"/>
      <c r="D147" s="920" t="s">
        <v>70</v>
      </c>
      <c r="E147" s="921"/>
      <c r="F147" s="922">
        <v>4.21</v>
      </c>
      <c r="G147" s="916"/>
    </row>
    <row r="148" spans="2:7" x14ac:dyDescent="0.25">
      <c r="C148" s="911"/>
      <c r="D148" s="125"/>
      <c r="E148" s="125"/>
      <c r="F148" s="125"/>
      <c r="G148" s="911"/>
    </row>
    <row r="156" spans="2:7" x14ac:dyDescent="0.25">
      <c r="B156" s="1" t="s">
        <v>792</v>
      </c>
    </row>
    <row r="157" spans="2:7" x14ac:dyDescent="0.25">
      <c r="C157" s="8" t="s">
        <v>71</v>
      </c>
    </row>
    <row r="158" spans="2:7" x14ac:dyDescent="0.25">
      <c r="C158" t="s">
        <v>72</v>
      </c>
    </row>
    <row r="159" spans="2:7" x14ac:dyDescent="0.25">
      <c r="C159" t="s">
        <v>73</v>
      </c>
    </row>
    <row r="160" spans="2:7" x14ac:dyDescent="0.25">
      <c r="C160" t="s">
        <v>74</v>
      </c>
    </row>
    <row r="162" spans="2:4" x14ac:dyDescent="0.25">
      <c r="C162" s="8" t="s">
        <v>75</v>
      </c>
    </row>
    <row r="163" spans="2:4" x14ac:dyDescent="0.25">
      <c r="C163" t="s">
        <v>76</v>
      </c>
    </row>
    <row r="164" spans="2:4" x14ac:dyDescent="0.25">
      <c r="D164" t="s">
        <v>16</v>
      </c>
    </row>
    <row r="165" spans="2:4" x14ac:dyDescent="0.25">
      <c r="C165" t="s">
        <v>103</v>
      </c>
    </row>
    <row r="167" spans="2:4" x14ac:dyDescent="0.25">
      <c r="B167" s="1" t="s">
        <v>795</v>
      </c>
    </row>
    <row r="168" spans="2:4" x14ac:dyDescent="0.25">
      <c r="C168" s="8" t="s">
        <v>77</v>
      </c>
    </row>
    <row r="169" spans="2:4" x14ac:dyDescent="0.25">
      <c r="C169" t="s">
        <v>78</v>
      </c>
    </row>
    <row r="170" spans="2:4" x14ac:dyDescent="0.25">
      <c r="C170" t="s">
        <v>73</v>
      </c>
    </row>
    <row r="172" spans="2:4" x14ac:dyDescent="0.25">
      <c r="C172" s="8" t="s">
        <v>79</v>
      </c>
    </row>
    <row r="173" spans="2:4" x14ac:dyDescent="0.25">
      <c r="C173" s="127" t="s">
        <v>17</v>
      </c>
    </row>
    <row r="174" spans="2:4" x14ac:dyDescent="0.25">
      <c r="C174" s="127"/>
      <c r="D174" t="s">
        <v>16</v>
      </c>
    </row>
    <row r="175" spans="2:4" x14ac:dyDescent="0.25">
      <c r="C175" s="127"/>
    </row>
    <row r="176" spans="2:4" x14ac:dyDescent="0.25">
      <c r="B176" s="1" t="s">
        <v>793</v>
      </c>
      <c r="C176" s="127"/>
    </row>
    <row r="177" spans="3:5" x14ac:dyDescent="0.25">
      <c r="C177" s="8" t="s">
        <v>104</v>
      </c>
    </row>
    <row r="178" spans="3:5" x14ac:dyDescent="0.25">
      <c r="C178" t="s">
        <v>105</v>
      </c>
    </row>
    <row r="179" spans="3:5" x14ac:dyDescent="0.25">
      <c r="D179" t="s">
        <v>80</v>
      </c>
    </row>
    <row r="180" spans="3:5" x14ac:dyDescent="0.25">
      <c r="E180" t="s">
        <v>81</v>
      </c>
    </row>
    <row r="181" spans="3:5" x14ac:dyDescent="0.25">
      <c r="E181" t="s">
        <v>82</v>
      </c>
    </row>
    <row r="182" spans="3:5" x14ac:dyDescent="0.25">
      <c r="D182" t="s">
        <v>18</v>
      </c>
    </row>
    <row r="183" spans="3:5" x14ac:dyDescent="0.25">
      <c r="E183" t="s">
        <v>19</v>
      </c>
    </row>
    <row r="184" spans="3:5" x14ac:dyDescent="0.25">
      <c r="E184" t="s">
        <v>10</v>
      </c>
    </row>
    <row r="185" spans="3:5" x14ac:dyDescent="0.25">
      <c r="E185" t="s">
        <v>83</v>
      </c>
    </row>
    <row r="186" spans="3:5" x14ac:dyDescent="0.25">
      <c r="D186" t="s">
        <v>84</v>
      </c>
    </row>
    <row r="187" spans="3:5" x14ac:dyDescent="0.25">
      <c r="D187" t="s">
        <v>100</v>
      </c>
    </row>
    <row r="188" spans="3:5" x14ac:dyDescent="0.25">
      <c r="D188" t="s">
        <v>20</v>
      </c>
    </row>
    <row r="189" spans="3:5" x14ac:dyDescent="0.25">
      <c r="C189" t="s">
        <v>106</v>
      </c>
    </row>
    <row r="191" spans="3:5" x14ac:dyDescent="0.25">
      <c r="D191" t="s">
        <v>797</v>
      </c>
    </row>
    <row r="192" spans="3:5" ht="15.75" thickBot="1" x14ac:dyDescent="0.3"/>
    <row r="193" spans="4:12" ht="15.75" thickBot="1" x14ac:dyDescent="0.3">
      <c r="E193" s="923" t="s">
        <v>0</v>
      </c>
      <c r="F193" s="924" t="s">
        <v>1</v>
      </c>
      <c r="G193" s="2548" t="s">
        <v>5</v>
      </c>
      <c r="H193" s="2548"/>
      <c r="I193" s="2548"/>
      <c r="J193" s="2548"/>
      <c r="K193" s="2548"/>
      <c r="L193" s="2549"/>
    </row>
    <row r="194" spans="4:12" x14ac:dyDescent="0.25">
      <c r="E194" s="135" t="s">
        <v>165</v>
      </c>
      <c r="F194" s="88" t="s">
        <v>166</v>
      </c>
      <c r="G194" s="2550" t="s">
        <v>167</v>
      </c>
      <c r="H194" s="2550"/>
      <c r="I194" s="2550"/>
      <c r="J194" s="2550"/>
      <c r="K194" s="2550"/>
      <c r="L194" s="2551"/>
    </row>
    <row r="195" spans="4:12" x14ac:dyDescent="0.25">
      <c r="E195" s="875" t="s">
        <v>168</v>
      </c>
      <c r="F195" s="876" t="s">
        <v>169</v>
      </c>
      <c r="G195" s="2544" t="s">
        <v>170</v>
      </c>
      <c r="H195" s="2544"/>
      <c r="I195" s="2544"/>
      <c r="J195" s="2544"/>
      <c r="K195" s="2544"/>
      <c r="L195" s="2545"/>
    </row>
    <row r="196" spans="4:12" x14ac:dyDescent="0.25">
      <c r="E196" s="875" t="s">
        <v>171</v>
      </c>
      <c r="F196" s="876" t="s">
        <v>172</v>
      </c>
      <c r="G196" s="2544" t="s">
        <v>173</v>
      </c>
      <c r="H196" s="2544"/>
      <c r="I196" s="2544"/>
      <c r="J196" s="2544"/>
      <c r="K196" s="2544"/>
      <c r="L196" s="2545"/>
    </row>
    <row r="197" spans="4:12" x14ac:dyDescent="0.25">
      <c r="E197" s="875" t="s">
        <v>174</v>
      </c>
      <c r="F197" s="876" t="s">
        <v>175</v>
      </c>
      <c r="G197" s="2544" t="s">
        <v>176</v>
      </c>
      <c r="H197" s="2544"/>
      <c r="I197" s="2544"/>
      <c r="J197" s="2544"/>
      <c r="K197" s="2544"/>
      <c r="L197" s="2545"/>
    </row>
    <row r="198" spans="4:12" x14ac:dyDescent="0.25">
      <c r="E198" s="875" t="s">
        <v>177</v>
      </c>
      <c r="F198" s="876" t="s">
        <v>178</v>
      </c>
      <c r="G198" s="2544" t="s">
        <v>179</v>
      </c>
      <c r="H198" s="2544"/>
      <c r="I198" s="2544"/>
      <c r="J198" s="2544"/>
      <c r="K198" s="2544"/>
      <c r="L198" s="2545"/>
    </row>
    <row r="199" spans="4:12" x14ac:dyDescent="0.25">
      <c r="E199" s="875" t="s">
        <v>180</v>
      </c>
      <c r="F199" s="876" t="s">
        <v>181</v>
      </c>
      <c r="G199" s="2544" t="s">
        <v>182</v>
      </c>
      <c r="H199" s="2544"/>
      <c r="I199" s="2544"/>
      <c r="J199" s="2544"/>
      <c r="K199" s="2544"/>
      <c r="L199" s="2545"/>
    </row>
    <row r="200" spans="4:12" x14ac:dyDescent="0.25">
      <c r="E200" s="875" t="s">
        <v>183</v>
      </c>
      <c r="F200" s="876" t="s">
        <v>184</v>
      </c>
      <c r="G200" s="2544" t="s">
        <v>185</v>
      </c>
      <c r="H200" s="2544"/>
      <c r="I200" s="2544"/>
      <c r="J200" s="2544"/>
      <c r="K200" s="2544"/>
      <c r="L200" s="2545"/>
    </row>
    <row r="201" spans="4:12" x14ac:dyDescent="0.25">
      <c r="E201" s="875" t="s">
        <v>151</v>
      </c>
      <c r="F201" s="876" t="s">
        <v>149</v>
      </c>
      <c r="G201" s="2544" t="s">
        <v>150</v>
      </c>
      <c r="H201" s="2544"/>
      <c r="I201" s="2544"/>
      <c r="J201" s="2544"/>
      <c r="K201" s="2544"/>
      <c r="L201" s="2545"/>
    </row>
    <row r="202" spans="4:12" ht="15.75" thickBot="1" x14ac:dyDescent="0.3">
      <c r="E202" s="925" t="s">
        <v>186</v>
      </c>
      <c r="F202" s="926" t="s">
        <v>187</v>
      </c>
      <c r="G202" s="2546" t="s">
        <v>188</v>
      </c>
      <c r="H202" s="2546"/>
      <c r="I202" s="2546"/>
      <c r="J202" s="2546"/>
      <c r="K202" s="2546"/>
      <c r="L202" s="2547"/>
    </row>
    <row r="203" spans="4:12" x14ac:dyDescent="0.25">
      <c r="E203" s="45"/>
      <c r="F203" s="46"/>
      <c r="G203" s="46"/>
    </row>
    <row r="204" spans="4:12" ht="15.75" thickBot="1" x14ac:dyDescent="0.3">
      <c r="D204" t="s">
        <v>189</v>
      </c>
    </row>
    <row r="205" spans="4:12" ht="15.75" thickBot="1" x14ac:dyDescent="0.3">
      <c r="E205" s="368" t="s">
        <v>0</v>
      </c>
      <c r="F205" s="287" t="s">
        <v>1</v>
      </c>
      <c r="G205" s="927" t="s">
        <v>5</v>
      </c>
    </row>
    <row r="206" spans="4:12" x14ac:dyDescent="0.25">
      <c r="E206" s="928" t="s">
        <v>190</v>
      </c>
      <c r="F206" s="929" t="s">
        <v>191</v>
      </c>
      <c r="G206" s="930" t="s">
        <v>192</v>
      </c>
    </row>
    <row r="207" spans="4:12" x14ac:dyDescent="0.25">
      <c r="E207" s="931" t="s">
        <v>193</v>
      </c>
      <c r="F207" s="932" t="s">
        <v>194</v>
      </c>
      <c r="G207" s="933" t="s">
        <v>195</v>
      </c>
    </row>
    <row r="208" spans="4:12" x14ac:dyDescent="0.25">
      <c r="E208" s="931" t="s">
        <v>196</v>
      </c>
      <c r="F208" s="934" t="s">
        <v>197</v>
      </c>
      <c r="G208" s="935" t="s">
        <v>198</v>
      </c>
    </row>
    <row r="209" spans="2:7" x14ac:dyDescent="0.25">
      <c r="E209" s="931" t="s">
        <v>199</v>
      </c>
      <c r="F209" s="934" t="s">
        <v>200</v>
      </c>
      <c r="G209" s="935" t="s">
        <v>201</v>
      </c>
    </row>
    <row r="210" spans="2:7" x14ac:dyDescent="0.25">
      <c r="E210" s="931" t="s">
        <v>202</v>
      </c>
      <c r="F210" s="934" t="s">
        <v>203</v>
      </c>
      <c r="G210" s="935" t="s">
        <v>204</v>
      </c>
    </row>
    <row r="211" spans="2:7" ht="15.75" thickBot="1" x14ac:dyDescent="0.3">
      <c r="E211" s="936" t="s">
        <v>205</v>
      </c>
      <c r="F211" s="937" t="s">
        <v>206</v>
      </c>
      <c r="G211" s="938" t="s">
        <v>207</v>
      </c>
    </row>
    <row r="213" spans="2:7" x14ac:dyDescent="0.25">
      <c r="D213" t="s">
        <v>208</v>
      </c>
    </row>
    <row r="215" spans="2:7" x14ac:dyDescent="0.25">
      <c r="C215" t="s">
        <v>3675</v>
      </c>
    </row>
    <row r="216" spans="2:7" x14ac:dyDescent="0.25">
      <c r="C216" t="s">
        <v>111</v>
      </c>
    </row>
    <row r="217" spans="2:7" x14ac:dyDescent="0.25">
      <c r="D217" t="s">
        <v>114</v>
      </c>
    </row>
    <row r="218" spans="2:7" x14ac:dyDescent="0.25">
      <c r="C218" t="s">
        <v>112</v>
      </c>
    </row>
    <row r="219" spans="2:7" x14ac:dyDescent="0.25">
      <c r="C219" t="s">
        <v>209</v>
      </c>
    </row>
    <row r="222" spans="2:7" x14ac:dyDescent="0.25">
      <c r="B222" s="1" t="s">
        <v>796</v>
      </c>
    </row>
    <row r="223" spans="2:7" x14ac:dyDescent="0.25">
      <c r="C223" s="8" t="s">
        <v>85</v>
      </c>
    </row>
    <row r="224" spans="2:7" x14ac:dyDescent="0.25">
      <c r="C224" t="s">
        <v>86</v>
      </c>
    </row>
    <row r="225" spans="3:7" x14ac:dyDescent="0.25">
      <c r="D225" t="s">
        <v>87</v>
      </c>
      <c r="F225" s="126"/>
      <c r="G225" s="126"/>
    </row>
    <row r="226" spans="3:7" x14ac:dyDescent="0.25">
      <c r="E226" t="s">
        <v>21</v>
      </c>
    </row>
    <row r="227" spans="3:7" x14ac:dyDescent="0.25">
      <c r="E227" t="s">
        <v>22</v>
      </c>
    </row>
    <row r="228" spans="3:7" x14ac:dyDescent="0.25">
      <c r="D228" t="s">
        <v>88</v>
      </c>
    </row>
    <row r="229" spans="3:7" ht="18" x14ac:dyDescent="0.35">
      <c r="E229" t="s">
        <v>23</v>
      </c>
    </row>
    <row r="230" spans="3:7" ht="18" x14ac:dyDescent="0.35">
      <c r="E230" t="s">
        <v>89</v>
      </c>
    </row>
    <row r="231" spans="3:7" x14ac:dyDescent="0.25">
      <c r="D231" t="s">
        <v>25</v>
      </c>
    </row>
    <row r="232" spans="3:7" x14ac:dyDescent="0.25">
      <c r="D232" t="s">
        <v>24</v>
      </c>
    </row>
    <row r="233" spans="3:7" x14ac:dyDescent="0.25">
      <c r="D233" t="s">
        <v>90</v>
      </c>
    </row>
    <row r="235" spans="3:7" x14ac:dyDescent="0.25">
      <c r="C235" s="8"/>
    </row>
    <row r="239" spans="3:7" x14ac:dyDescent="0.25">
      <c r="D239" t="s">
        <v>91</v>
      </c>
    </row>
    <row r="243" spans="2:4" x14ac:dyDescent="0.25">
      <c r="D243" t="s">
        <v>92</v>
      </c>
    </row>
    <row r="246" spans="2:4" x14ac:dyDescent="0.25">
      <c r="B246" s="8" t="s">
        <v>121</v>
      </c>
    </row>
    <row r="247" spans="2:4" x14ac:dyDescent="0.25">
      <c r="B247" s="8"/>
      <c r="C247" s="8" t="s">
        <v>122</v>
      </c>
    </row>
    <row r="248" spans="2:4" x14ac:dyDescent="0.25">
      <c r="B248" s="8"/>
      <c r="C248" t="s">
        <v>123</v>
      </c>
    </row>
    <row r="249" spans="2:4" x14ac:dyDescent="0.25">
      <c r="B249" s="8"/>
      <c r="D249" t="s">
        <v>124</v>
      </c>
    </row>
    <row r="250" spans="2:4" x14ac:dyDescent="0.25">
      <c r="B250" s="8"/>
    </row>
    <row r="251" spans="2:4" x14ac:dyDescent="0.25">
      <c r="B251" s="8" t="s">
        <v>160</v>
      </c>
    </row>
    <row r="252" spans="2:4" x14ac:dyDescent="0.25">
      <c r="B252" s="8"/>
      <c r="C252" s="8" t="s">
        <v>210</v>
      </c>
    </row>
    <row r="253" spans="2:4" x14ac:dyDescent="0.25">
      <c r="B253" s="8"/>
      <c r="C253" t="s">
        <v>211</v>
      </c>
    </row>
    <row r="254" spans="2:4" x14ac:dyDescent="0.25">
      <c r="B254" s="8"/>
    </row>
    <row r="255" spans="2:4" x14ac:dyDescent="0.25">
      <c r="B255" s="8" t="s">
        <v>94</v>
      </c>
    </row>
    <row r="256" spans="2:4" x14ac:dyDescent="0.25">
      <c r="C256" t="s">
        <v>798</v>
      </c>
    </row>
    <row r="257" spans="3:4" x14ac:dyDescent="0.25">
      <c r="C257" s="8" t="s">
        <v>98</v>
      </c>
    </row>
    <row r="258" spans="3:4" x14ac:dyDescent="0.25">
      <c r="D258" t="s">
        <v>95</v>
      </c>
    </row>
    <row r="259" spans="3:4" x14ac:dyDescent="0.25">
      <c r="D259" t="s">
        <v>96</v>
      </c>
    </row>
    <row r="260" spans="3:4" x14ac:dyDescent="0.25">
      <c r="D260" t="s">
        <v>97</v>
      </c>
    </row>
  </sheetData>
  <mergeCells count="10">
    <mergeCell ref="G199:L199"/>
    <mergeCell ref="G200:L200"/>
    <mergeCell ref="G201:L201"/>
    <mergeCell ref="G202:L202"/>
    <mergeCell ref="G193:L193"/>
    <mergeCell ref="G194:L194"/>
    <mergeCell ref="G195:L195"/>
    <mergeCell ref="G196:L196"/>
    <mergeCell ref="G197:L197"/>
    <mergeCell ref="G198:L198"/>
  </mergeCells>
  <hyperlinks>
    <hyperlink ref="H14"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R439"/>
  <sheetViews>
    <sheetView showGridLines="0" zoomScale="85" zoomScaleNormal="85" workbookViewId="0">
      <pane ySplit="1" topLeftCell="A2" activePane="bottomLeft" state="frozen"/>
      <selection pane="bottomLeft"/>
    </sheetView>
  </sheetViews>
  <sheetFormatPr defaultColWidth="9.140625" defaultRowHeight="15" x14ac:dyDescent="0.25"/>
  <cols>
    <col min="1" max="1" width="9.7109375" style="104" bestFit="1" customWidth="1"/>
    <col min="2" max="2" width="23.5703125" style="113" bestFit="1" customWidth="1"/>
    <col min="3" max="3" width="92.140625" style="113" bestFit="1" customWidth="1"/>
    <col min="4" max="4" width="21.140625" style="104" customWidth="1"/>
    <col min="5" max="6" width="14.42578125" style="104" customWidth="1"/>
    <col min="7" max="7" width="16.42578125" style="104" customWidth="1"/>
    <col min="8" max="8" width="11.42578125" style="104" customWidth="1"/>
    <col min="9" max="9" width="18.5703125" style="113" customWidth="1"/>
    <col min="10" max="10" width="63" style="113" customWidth="1"/>
    <col min="11" max="11" width="8.85546875" style="104" customWidth="1"/>
    <col min="12" max="12" width="19.5703125" style="104" customWidth="1"/>
    <col min="13" max="13" width="7.85546875" style="104" customWidth="1"/>
    <col min="14" max="14" width="9.140625" style="104" customWidth="1"/>
    <col min="15" max="15" width="48.140625" style="104" bestFit="1" customWidth="1"/>
    <col min="16" max="16" width="53.85546875" style="104" bestFit="1" customWidth="1"/>
    <col min="17" max="16384" width="9.140625" style="104"/>
  </cols>
  <sheetData>
    <row r="1" spans="1:16" s="102" customFormat="1" ht="57.6" customHeight="1" x14ac:dyDescent="0.25">
      <c r="A1" s="101"/>
      <c r="B1" s="141"/>
      <c r="C1" s="141"/>
      <c r="I1" s="141"/>
      <c r="J1" s="141"/>
    </row>
    <row r="2" spans="1:16" s="103" customFormat="1" ht="15.75" thickBot="1" x14ac:dyDescent="0.3">
      <c r="B2" s="138"/>
      <c r="C2" s="143"/>
      <c r="D2" s="139"/>
      <c r="E2" s="140"/>
      <c r="F2" s="140"/>
      <c r="G2" s="140"/>
      <c r="H2" s="140"/>
      <c r="I2" s="143"/>
      <c r="J2" s="143"/>
    </row>
    <row r="3" spans="1:16" s="275" customFormat="1" ht="15.75" thickBot="1" x14ac:dyDescent="0.3">
      <c r="A3" s="282" t="s">
        <v>1158</v>
      </c>
      <c r="B3" s="1127"/>
      <c r="C3" s="285"/>
      <c r="D3" s="290"/>
      <c r="E3" s="292"/>
      <c r="F3" s="292"/>
      <c r="G3" s="292"/>
      <c r="H3" s="292"/>
      <c r="I3" s="285"/>
      <c r="J3" s="285"/>
      <c r="K3" s="281"/>
      <c r="L3" s="281"/>
      <c r="M3" s="281"/>
      <c r="N3" s="281"/>
      <c r="O3" s="281"/>
      <c r="P3" s="281"/>
    </row>
    <row r="4" spans="1:16" s="103" customFormat="1" ht="15.75" thickBot="1" x14ac:dyDescent="0.3">
      <c r="A4" s="1182"/>
      <c r="B4" s="1187"/>
      <c r="C4" s="1210"/>
      <c r="D4" s="1234"/>
      <c r="E4" s="1244"/>
      <c r="F4" s="1244"/>
      <c r="G4" s="1244"/>
      <c r="H4" s="1244"/>
      <c r="I4" s="1210"/>
      <c r="J4" s="1188"/>
      <c r="K4" s="1182"/>
      <c r="L4" s="1182"/>
      <c r="M4" s="1182"/>
      <c r="N4" s="1182"/>
      <c r="O4" s="1182"/>
      <c r="P4" s="1182"/>
    </row>
    <row r="5" spans="1:16" ht="15.75" thickBot="1" x14ac:dyDescent="0.3">
      <c r="A5" s="1182"/>
      <c r="B5" s="1187"/>
      <c r="C5" s="1689" t="s">
        <v>2223</v>
      </c>
      <c r="D5" s="1185" t="s">
        <v>299</v>
      </c>
      <c r="E5" s="1185"/>
      <c r="F5" s="1185"/>
      <c r="G5" s="1185"/>
      <c r="H5" s="1185"/>
      <c r="I5" s="1187"/>
      <c r="J5" s="1187"/>
      <c r="K5" s="1185"/>
      <c r="L5" s="1185"/>
      <c r="M5" s="1185"/>
      <c r="N5" s="1185"/>
      <c r="O5" s="1185"/>
      <c r="P5" s="1185"/>
    </row>
    <row r="6" spans="1:16" s="103" customFormat="1" ht="15.75" thickBot="1" x14ac:dyDescent="0.3">
      <c r="A6" s="1182"/>
      <c r="B6" s="283" t="s">
        <v>0</v>
      </c>
      <c r="C6" s="286" t="s">
        <v>1</v>
      </c>
      <c r="D6" s="288" t="s">
        <v>840</v>
      </c>
      <c r="E6" s="288" t="s">
        <v>470</v>
      </c>
      <c r="F6" s="288" t="s">
        <v>471</v>
      </c>
      <c r="G6" s="288" t="s">
        <v>2</v>
      </c>
      <c r="H6" s="288" t="s">
        <v>298</v>
      </c>
      <c r="I6" s="286" t="s">
        <v>116</v>
      </c>
      <c r="J6" s="295" t="s">
        <v>117</v>
      </c>
      <c r="K6" s="1182"/>
      <c r="L6" s="1182"/>
      <c r="M6" s="1182"/>
      <c r="N6" s="1182"/>
      <c r="O6" s="1182"/>
      <c r="P6" s="1182"/>
    </row>
    <row r="7" spans="1:16" s="103" customFormat="1" ht="18" x14ac:dyDescent="0.25">
      <c r="A7" s="1182"/>
      <c r="B7" s="175" t="s">
        <v>1188</v>
      </c>
      <c r="C7" s="515" t="s">
        <v>274</v>
      </c>
      <c r="D7" s="176">
        <v>4</v>
      </c>
      <c r="E7" s="177">
        <v>0</v>
      </c>
      <c r="F7" s="177" t="s">
        <v>1257</v>
      </c>
      <c r="G7" s="177" t="s">
        <v>443</v>
      </c>
      <c r="H7" s="177">
        <v>1</v>
      </c>
      <c r="I7" s="1697" t="s">
        <v>2027</v>
      </c>
      <c r="J7" s="1698"/>
      <c r="K7" s="1182"/>
      <c r="L7" s="1182"/>
      <c r="M7" s="1182"/>
      <c r="N7" s="1182"/>
      <c r="O7" s="1182"/>
      <c r="P7" s="1182"/>
    </row>
    <row r="8" spans="1:16" s="103" customFormat="1" ht="18" x14ac:dyDescent="0.25">
      <c r="A8" s="1182"/>
      <c r="B8" s="175" t="s">
        <v>1190</v>
      </c>
      <c r="C8" s="515" t="s">
        <v>2518</v>
      </c>
      <c r="D8" s="176">
        <v>0.3</v>
      </c>
      <c r="E8" s="177">
        <v>0</v>
      </c>
      <c r="F8" s="177" t="s">
        <v>1257</v>
      </c>
      <c r="G8" s="177" t="s">
        <v>443</v>
      </c>
      <c r="H8" s="177">
        <v>1</v>
      </c>
      <c r="I8" s="1697"/>
      <c r="J8" s="1699"/>
      <c r="K8" s="1182"/>
      <c r="L8" s="1182"/>
      <c r="M8" s="1182"/>
      <c r="N8" s="1182"/>
      <c r="O8" s="1182"/>
      <c r="P8" s="1182"/>
    </row>
    <row r="9" spans="1:16" s="103" customFormat="1" ht="18" x14ac:dyDescent="0.25">
      <c r="A9" s="1182"/>
      <c r="B9" s="175" t="s">
        <v>1189</v>
      </c>
      <c r="C9" s="515" t="s">
        <v>2519</v>
      </c>
      <c r="D9" s="178">
        <v>0.62</v>
      </c>
      <c r="E9" s="177">
        <v>0</v>
      </c>
      <c r="F9" s="177" t="s">
        <v>1257</v>
      </c>
      <c r="G9" s="177" t="s">
        <v>443</v>
      </c>
      <c r="H9" s="177">
        <v>2</v>
      </c>
      <c r="I9" s="1697"/>
      <c r="J9" s="1699"/>
      <c r="K9" s="1182"/>
      <c r="L9" s="1182"/>
      <c r="M9" s="1182"/>
      <c r="N9" s="1182"/>
      <c r="O9" s="1182"/>
      <c r="P9" s="1182"/>
    </row>
    <row r="10" spans="1:16" s="103" customFormat="1" ht="18" x14ac:dyDescent="0.25">
      <c r="A10" s="1182"/>
      <c r="B10" s="175" t="s">
        <v>1733</v>
      </c>
      <c r="C10" s="515" t="s">
        <v>2520</v>
      </c>
      <c r="D10" s="178">
        <v>0.6</v>
      </c>
      <c r="E10" s="177">
        <v>0</v>
      </c>
      <c r="F10" s="177" t="s">
        <v>1257</v>
      </c>
      <c r="G10" s="422" t="s">
        <v>2018</v>
      </c>
      <c r="H10" s="177">
        <v>2</v>
      </c>
      <c r="I10" s="1697"/>
      <c r="J10" s="1699"/>
      <c r="K10" s="1182"/>
      <c r="L10" s="1182"/>
      <c r="M10" s="1182"/>
      <c r="N10" s="1182"/>
      <c r="O10" s="1182"/>
      <c r="P10" s="1182"/>
    </row>
    <row r="11" spans="1:16" s="103" customFormat="1" ht="18" x14ac:dyDescent="0.25">
      <c r="A11" s="1182"/>
      <c r="B11" s="175" t="s">
        <v>1940</v>
      </c>
      <c r="C11" s="515" t="s">
        <v>2521</v>
      </c>
      <c r="D11" s="176">
        <v>5</v>
      </c>
      <c r="E11" s="177">
        <v>0</v>
      </c>
      <c r="F11" s="177" t="s">
        <v>1257</v>
      </c>
      <c r="G11" s="177" t="s">
        <v>1183</v>
      </c>
      <c r="H11" s="177">
        <v>1</v>
      </c>
      <c r="I11" s="1697" t="s">
        <v>2026</v>
      </c>
      <c r="J11" s="1698"/>
      <c r="K11" s="1182"/>
      <c r="L11" s="1182"/>
      <c r="M11" s="1182"/>
      <c r="N11" s="1182"/>
      <c r="O11" s="1182"/>
      <c r="P11" s="1182"/>
    </row>
    <row r="12" spans="1:16" s="103" customFormat="1" ht="18.75" x14ac:dyDescent="0.25">
      <c r="A12" s="1182"/>
      <c r="B12" s="175" t="s">
        <v>1943</v>
      </c>
      <c r="C12" s="515" t="s">
        <v>2522</v>
      </c>
      <c r="D12" s="939">
        <v>0.15</v>
      </c>
      <c r="E12" s="177">
        <v>0</v>
      </c>
      <c r="F12" s="177" t="s">
        <v>1257</v>
      </c>
      <c r="G12" s="177" t="s">
        <v>1182</v>
      </c>
      <c r="H12" s="177">
        <v>2</v>
      </c>
      <c r="I12" s="1697" t="s">
        <v>2025</v>
      </c>
      <c r="J12" s="1698"/>
      <c r="K12" s="1182"/>
      <c r="L12" s="1182"/>
      <c r="M12" s="1182"/>
      <c r="N12" s="1182"/>
      <c r="O12" s="1182"/>
      <c r="P12" s="1182"/>
    </row>
    <row r="13" spans="1:16" s="103" customFormat="1" ht="18" x14ac:dyDescent="0.25">
      <c r="A13" s="1182"/>
      <c r="B13" s="175" t="s">
        <v>1941</v>
      </c>
      <c r="C13" s="515" t="s">
        <v>2523</v>
      </c>
      <c r="D13" s="176">
        <v>0.5</v>
      </c>
      <c r="E13" s="177">
        <v>0</v>
      </c>
      <c r="F13" s="177" t="s">
        <v>1257</v>
      </c>
      <c r="G13" s="177" t="s">
        <v>1183</v>
      </c>
      <c r="H13" s="177">
        <v>1</v>
      </c>
      <c r="I13" s="1697"/>
      <c r="J13" s="1698"/>
      <c r="K13" s="1182"/>
      <c r="L13" s="1182"/>
      <c r="M13" s="1182"/>
      <c r="N13" s="1182"/>
      <c r="O13" s="1182"/>
      <c r="P13" s="1182"/>
    </row>
    <row r="14" spans="1:16" s="103" customFormat="1" ht="18" x14ac:dyDescent="0.25">
      <c r="A14" s="1182"/>
      <c r="B14" s="175" t="s">
        <v>1942</v>
      </c>
      <c r="C14" s="515" t="s">
        <v>2524</v>
      </c>
      <c r="D14" s="176">
        <v>0.1</v>
      </c>
      <c r="E14" s="177">
        <v>0</v>
      </c>
      <c r="F14" s="177" t="s">
        <v>1257</v>
      </c>
      <c r="G14" s="177" t="s">
        <v>1183</v>
      </c>
      <c r="H14" s="177">
        <v>1</v>
      </c>
      <c r="I14" s="1697"/>
      <c r="J14" s="1698"/>
      <c r="K14" s="1182"/>
      <c r="L14" s="1278"/>
      <c r="M14" s="1182"/>
      <c r="N14" s="1182"/>
      <c r="O14" s="1182"/>
      <c r="P14" s="1182"/>
    </row>
    <row r="15" spans="1:16" s="103" customFormat="1" ht="18" x14ac:dyDescent="0.25">
      <c r="A15" s="1182"/>
      <c r="B15" s="175" t="s">
        <v>1944</v>
      </c>
      <c r="C15" s="515" t="s">
        <v>2525</v>
      </c>
      <c r="D15" s="178">
        <v>0.1</v>
      </c>
      <c r="E15" s="177">
        <v>0</v>
      </c>
      <c r="F15" s="177" t="s">
        <v>1257</v>
      </c>
      <c r="G15" s="177" t="s">
        <v>886</v>
      </c>
      <c r="H15" s="177">
        <v>2</v>
      </c>
      <c r="I15" s="1697"/>
      <c r="J15" s="1698"/>
      <c r="K15" s="1182"/>
      <c r="L15" s="1182"/>
      <c r="M15" s="1182"/>
      <c r="N15" s="1182"/>
      <c r="O15" s="1182"/>
      <c r="P15" s="1182"/>
    </row>
    <row r="16" spans="1:16" s="103" customFormat="1" ht="18" x14ac:dyDescent="0.25">
      <c r="A16" s="1182"/>
      <c r="B16" s="175" t="s">
        <v>2286</v>
      </c>
      <c r="C16" s="515" t="s">
        <v>2526</v>
      </c>
      <c r="D16" s="178">
        <v>0.05</v>
      </c>
      <c r="E16" s="177">
        <v>0</v>
      </c>
      <c r="F16" s="177" t="s">
        <v>1257</v>
      </c>
      <c r="G16" s="177" t="s">
        <v>886</v>
      </c>
      <c r="H16" s="177">
        <v>2</v>
      </c>
      <c r="I16" s="1697"/>
      <c r="J16" s="1698"/>
      <c r="K16" s="1182"/>
      <c r="L16" s="1182"/>
      <c r="M16" s="1182"/>
      <c r="N16" s="1182"/>
      <c r="O16" s="1182"/>
      <c r="P16" s="1182"/>
    </row>
    <row r="17" spans="1:16" s="103" customFormat="1" ht="18" x14ac:dyDescent="0.25">
      <c r="A17" s="1182"/>
      <c r="B17" s="175" t="s">
        <v>2204</v>
      </c>
      <c r="C17" s="515" t="s">
        <v>2760</v>
      </c>
      <c r="D17" s="176">
        <v>50</v>
      </c>
      <c r="E17" s="177">
        <v>0</v>
      </c>
      <c r="F17" s="177" t="s">
        <v>1257</v>
      </c>
      <c r="G17" s="177" t="s">
        <v>1183</v>
      </c>
      <c r="H17" s="177">
        <v>1</v>
      </c>
      <c r="I17" s="1697"/>
      <c r="J17" s="1698"/>
      <c r="K17" s="1182"/>
      <c r="L17" s="1182"/>
      <c r="M17" s="1182"/>
      <c r="N17" s="1182"/>
      <c r="O17" s="1182"/>
      <c r="P17" s="1182"/>
    </row>
    <row r="18" spans="1:16" s="103" customFormat="1" ht="18" x14ac:dyDescent="0.25">
      <c r="A18" s="1182"/>
      <c r="B18" s="1887" t="s">
        <v>4598</v>
      </c>
      <c r="C18" s="1888" t="s">
        <v>4599</v>
      </c>
      <c r="D18" s="1975">
        <v>1.2E-2</v>
      </c>
      <c r="E18" s="1960">
        <v>0</v>
      </c>
      <c r="F18" s="1960">
        <v>2</v>
      </c>
      <c r="G18" s="1889" t="s">
        <v>282</v>
      </c>
      <c r="H18" s="1889">
        <v>3</v>
      </c>
      <c r="I18" s="1888"/>
      <c r="J18" s="1890" t="s">
        <v>4600</v>
      </c>
      <c r="K18" s="1182"/>
      <c r="L18" s="1182"/>
      <c r="M18" s="1182"/>
      <c r="N18" s="1182"/>
      <c r="O18" s="1182"/>
      <c r="P18" s="1182"/>
    </row>
    <row r="19" spans="1:16" s="103" customFormat="1" ht="18" x14ac:dyDescent="0.25">
      <c r="A19" s="1182"/>
      <c r="B19" s="1128" t="s">
        <v>1945</v>
      </c>
      <c r="C19" s="1018" t="s">
        <v>3806</v>
      </c>
      <c r="D19" s="1019">
        <v>5</v>
      </c>
      <c r="E19" s="1020">
        <v>0</v>
      </c>
      <c r="F19" s="1020" t="s">
        <v>1257</v>
      </c>
      <c r="G19" s="1020" t="s">
        <v>1183</v>
      </c>
      <c r="H19" s="1020">
        <v>1</v>
      </c>
      <c r="I19" s="1018"/>
      <c r="J19" s="1700"/>
      <c r="K19" s="1182"/>
      <c r="L19" s="1182"/>
      <c r="M19" s="1182"/>
      <c r="N19" s="1182"/>
      <c r="O19" s="1182"/>
      <c r="P19" s="1182"/>
    </row>
    <row r="20" spans="1:16" s="103" customFormat="1" ht="18.75" thickBot="1" x14ac:dyDescent="0.4">
      <c r="A20" s="1182"/>
      <c r="B20" s="1129" t="s">
        <v>3805</v>
      </c>
      <c r="C20" s="1014" t="s">
        <v>4583</v>
      </c>
      <c r="D20" s="1015">
        <v>350</v>
      </c>
      <c r="E20" s="1016">
        <v>0</v>
      </c>
      <c r="F20" s="1017" t="s">
        <v>1257</v>
      </c>
      <c r="G20" s="1017" t="s">
        <v>1183</v>
      </c>
      <c r="H20" s="1017">
        <v>1</v>
      </c>
      <c r="I20" s="1014"/>
      <c r="J20" s="1701"/>
      <c r="K20" s="1182"/>
      <c r="L20" s="1182"/>
      <c r="M20" s="1182"/>
      <c r="N20" s="1182"/>
      <c r="O20" s="1182"/>
      <c r="P20" s="1182"/>
    </row>
    <row r="21" spans="1:16" s="103" customFormat="1" ht="15.75" thickBot="1" x14ac:dyDescent="0.3">
      <c r="A21" s="1182"/>
      <c r="B21" s="1187"/>
      <c r="C21" s="1210"/>
      <c r="D21" s="1234"/>
      <c r="E21" s="1244"/>
      <c r="F21" s="1244"/>
      <c r="G21" s="1244"/>
      <c r="H21" s="1244"/>
      <c r="I21" s="1210"/>
      <c r="J21" s="1188"/>
      <c r="K21" s="1182"/>
      <c r="L21" s="1182"/>
      <c r="M21" s="1182"/>
      <c r="N21" s="1182"/>
      <c r="O21" s="1182"/>
      <c r="P21" s="1182"/>
    </row>
    <row r="22" spans="1:16" s="103" customFormat="1" ht="15.75" thickBot="1" x14ac:dyDescent="0.3">
      <c r="A22" s="1182"/>
      <c r="B22" s="1187"/>
      <c r="C22" s="439" t="s">
        <v>2189</v>
      </c>
      <c r="D22" s="1185" t="s">
        <v>299</v>
      </c>
      <c r="E22" s="1185"/>
      <c r="F22" s="1185"/>
      <c r="G22" s="1185"/>
      <c r="H22" s="1185"/>
      <c r="I22" s="1187"/>
      <c r="J22" s="1188"/>
      <c r="K22" s="1182"/>
      <c r="L22" s="1182"/>
      <c r="M22" s="1182"/>
      <c r="N22" s="1182"/>
      <c r="O22" s="1182"/>
      <c r="P22" s="1182"/>
    </row>
    <row r="23" spans="1:16" s="103" customFormat="1" ht="15.75" thickBot="1" x14ac:dyDescent="0.3">
      <c r="A23" s="1182"/>
      <c r="B23" s="283" t="s">
        <v>0</v>
      </c>
      <c r="C23" s="286" t="s">
        <v>1</v>
      </c>
      <c r="D23" s="288" t="s">
        <v>840</v>
      </c>
      <c r="E23" s="288" t="s">
        <v>470</v>
      </c>
      <c r="F23" s="288" t="s">
        <v>471</v>
      </c>
      <c r="G23" s="288" t="s">
        <v>2</v>
      </c>
      <c r="H23" s="288" t="s">
        <v>298</v>
      </c>
      <c r="I23" s="286" t="s">
        <v>116</v>
      </c>
      <c r="J23" s="1702" t="s">
        <v>117</v>
      </c>
      <c r="K23" s="1182"/>
      <c r="L23" s="1182"/>
      <c r="M23" s="1182"/>
      <c r="N23" s="1182"/>
      <c r="O23" s="1182"/>
      <c r="P23" s="1182"/>
    </row>
    <row r="24" spans="1:16" s="103" customFormat="1" ht="18" x14ac:dyDescent="0.25">
      <c r="A24" s="1182"/>
      <c r="B24" s="1130" t="s">
        <v>1191</v>
      </c>
      <c r="C24" s="523" t="s">
        <v>2527</v>
      </c>
      <c r="D24" s="524">
        <v>1.3</v>
      </c>
      <c r="E24" s="525">
        <v>0</v>
      </c>
      <c r="F24" s="525" t="s">
        <v>1257</v>
      </c>
      <c r="G24" s="525" t="s">
        <v>443</v>
      </c>
      <c r="H24" s="525">
        <v>1</v>
      </c>
      <c r="I24" s="523"/>
      <c r="J24" s="1703"/>
      <c r="K24" s="1182"/>
      <c r="L24" s="1182"/>
      <c r="M24" s="1182"/>
      <c r="N24" s="1182"/>
      <c r="O24" s="1182"/>
      <c r="P24" s="1182"/>
    </row>
    <row r="25" spans="1:16" s="103" customFormat="1" ht="18" x14ac:dyDescent="0.25">
      <c r="A25" s="1182"/>
      <c r="B25" s="1131" t="s">
        <v>1192</v>
      </c>
      <c r="C25" s="516" t="s">
        <v>2528</v>
      </c>
      <c r="D25" s="526">
        <v>0.05</v>
      </c>
      <c r="E25" s="527">
        <v>0</v>
      </c>
      <c r="F25" s="527" t="s">
        <v>1257</v>
      </c>
      <c r="G25" s="527" t="s">
        <v>443</v>
      </c>
      <c r="H25" s="527">
        <v>2</v>
      </c>
      <c r="I25" s="516"/>
      <c r="J25" s="1704"/>
      <c r="K25" s="1182"/>
      <c r="L25" s="1182"/>
      <c r="M25" s="1182"/>
      <c r="N25" s="1182"/>
      <c r="O25" s="1182"/>
      <c r="P25" s="1182"/>
    </row>
    <row r="26" spans="1:16" s="103" customFormat="1" ht="18" customHeight="1" x14ac:dyDescent="0.25">
      <c r="A26" s="1182"/>
      <c r="B26" s="1132" t="s">
        <v>1193</v>
      </c>
      <c r="C26" s="517" t="s">
        <v>2529</v>
      </c>
      <c r="D26" s="521">
        <v>10</v>
      </c>
      <c r="E26" s="522">
        <v>0</v>
      </c>
      <c r="F26" s="522" t="s">
        <v>1257</v>
      </c>
      <c r="G26" s="522" t="s">
        <v>443</v>
      </c>
      <c r="H26" s="522">
        <v>1</v>
      </c>
      <c r="I26" s="1705"/>
      <c r="J26" s="1706" t="s">
        <v>1160</v>
      </c>
      <c r="K26" s="1182"/>
      <c r="L26" s="1182"/>
      <c r="M26" s="1182"/>
      <c r="N26" s="1182"/>
      <c r="O26" s="1182"/>
      <c r="P26" s="1182"/>
    </row>
    <row r="27" spans="1:16" s="103" customFormat="1" ht="18" x14ac:dyDescent="0.25">
      <c r="A27" s="1182"/>
      <c r="B27" s="1133" t="s">
        <v>1946</v>
      </c>
      <c r="C27" s="516" t="s">
        <v>2530</v>
      </c>
      <c r="D27" s="519">
        <v>0.5</v>
      </c>
      <c r="E27" s="520">
        <v>0</v>
      </c>
      <c r="F27" s="520" t="s">
        <v>1257</v>
      </c>
      <c r="G27" s="520" t="s">
        <v>1183</v>
      </c>
      <c r="H27" s="520">
        <v>1</v>
      </c>
      <c r="I27" s="1707"/>
      <c r="J27" s="1708"/>
      <c r="K27" s="1182"/>
      <c r="L27" s="1182"/>
      <c r="M27" s="1182"/>
      <c r="N27" s="1182"/>
      <c r="O27" s="1182"/>
      <c r="P27" s="1182"/>
    </row>
    <row r="28" spans="1:16" s="103" customFormat="1" ht="18.75" x14ac:dyDescent="0.25">
      <c r="A28" s="1182"/>
      <c r="B28" s="1131" t="s">
        <v>3584</v>
      </c>
      <c r="C28" s="516" t="s">
        <v>3585</v>
      </c>
      <c r="D28" s="526">
        <v>0.05</v>
      </c>
      <c r="E28" s="527">
        <v>0</v>
      </c>
      <c r="F28" s="527" t="s">
        <v>1257</v>
      </c>
      <c r="G28" s="527" t="s">
        <v>1182</v>
      </c>
      <c r="H28" s="527">
        <v>2</v>
      </c>
      <c r="I28" s="516"/>
      <c r="J28" s="1704"/>
      <c r="K28" s="1182"/>
      <c r="L28" s="1182"/>
      <c r="M28" s="1182"/>
      <c r="N28" s="1182"/>
      <c r="O28" s="1182"/>
      <c r="P28" s="1182"/>
    </row>
    <row r="29" spans="1:16" s="103" customFormat="1" ht="18" x14ac:dyDescent="0.25">
      <c r="A29" s="1182"/>
      <c r="B29" s="1131" t="s">
        <v>1947</v>
      </c>
      <c r="C29" s="516" t="s">
        <v>2531</v>
      </c>
      <c r="D29" s="526">
        <v>0.05</v>
      </c>
      <c r="E29" s="527">
        <v>0</v>
      </c>
      <c r="F29" s="527" t="s">
        <v>1257</v>
      </c>
      <c r="G29" s="527" t="s">
        <v>886</v>
      </c>
      <c r="H29" s="527">
        <v>2</v>
      </c>
      <c r="I29" s="516"/>
      <c r="J29" s="1704"/>
      <c r="K29" s="1182"/>
      <c r="L29" s="1182"/>
      <c r="M29" s="1182"/>
      <c r="N29" s="1182"/>
      <c r="O29" s="1182"/>
      <c r="P29" s="1182"/>
    </row>
    <row r="30" spans="1:16" s="103" customFormat="1" ht="18.75" thickBot="1" x14ac:dyDescent="0.3">
      <c r="A30" s="1182"/>
      <c r="B30" s="1134" t="s">
        <v>2287</v>
      </c>
      <c r="C30" s="518" t="s">
        <v>2532</v>
      </c>
      <c r="D30" s="528">
        <v>0.02</v>
      </c>
      <c r="E30" s="529">
        <v>0</v>
      </c>
      <c r="F30" s="529" t="s">
        <v>1257</v>
      </c>
      <c r="G30" s="529" t="s">
        <v>886</v>
      </c>
      <c r="H30" s="529">
        <v>2</v>
      </c>
      <c r="I30" s="518"/>
      <c r="J30" s="1709"/>
      <c r="K30" s="1182"/>
      <c r="L30" s="1182"/>
      <c r="M30" s="1182"/>
      <c r="N30" s="1182"/>
      <c r="O30" s="1182"/>
      <c r="P30" s="1182"/>
    </row>
    <row r="31" spans="1:16" s="103" customFormat="1" ht="15.75" thickBot="1" x14ac:dyDescent="0.3">
      <c r="A31" s="1182"/>
      <c r="B31" s="1188"/>
      <c r="C31" s="1188"/>
      <c r="D31" s="1182"/>
      <c r="E31" s="1182"/>
      <c r="F31" s="1182"/>
      <c r="G31" s="1182"/>
      <c r="H31" s="1182"/>
      <c r="I31" s="1188"/>
      <c r="J31" s="1188"/>
      <c r="K31" s="1182"/>
      <c r="L31" s="1182"/>
      <c r="M31" s="1182"/>
      <c r="N31" s="1182"/>
      <c r="O31" s="1182"/>
      <c r="P31" s="1182"/>
    </row>
    <row r="32" spans="1:16" s="103" customFormat="1" ht="15.75" thickBot="1" x14ac:dyDescent="0.3">
      <c r="A32" s="1182"/>
      <c r="B32" s="1187"/>
      <c r="C32" s="1450" t="s">
        <v>4280</v>
      </c>
      <c r="D32" s="1185" t="s">
        <v>299</v>
      </c>
      <c r="E32" s="1185"/>
      <c r="F32" s="1185"/>
      <c r="G32" s="1185"/>
      <c r="H32" s="1185"/>
      <c r="I32" s="1187"/>
      <c r="J32" s="1188"/>
      <c r="K32" s="1182"/>
      <c r="L32" s="1182"/>
      <c r="M32" s="1182"/>
      <c r="N32" s="1182"/>
      <c r="O32" s="1182"/>
      <c r="P32" s="1182"/>
    </row>
    <row r="33" spans="1:16" s="103" customFormat="1" ht="15.75" thickBot="1" x14ac:dyDescent="0.3">
      <c r="A33" s="1182"/>
      <c r="B33" s="283" t="s">
        <v>0</v>
      </c>
      <c r="C33" s="286" t="s">
        <v>1</v>
      </c>
      <c r="D33" s="288" t="s">
        <v>840</v>
      </c>
      <c r="E33" s="288" t="s">
        <v>470</v>
      </c>
      <c r="F33" s="288" t="s">
        <v>471</v>
      </c>
      <c r="G33" s="288" t="s">
        <v>2</v>
      </c>
      <c r="H33" s="288" t="s">
        <v>298</v>
      </c>
      <c r="I33" s="286" t="s">
        <v>116</v>
      </c>
      <c r="J33" s="1702" t="s">
        <v>117</v>
      </c>
      <c r="K33" s="1182"/>
      <c r="L33" s="1182"/>
      <c r="M33" s="1182"/>
      <c r="N33" s="1182"/>
      <c r="O33" s="1182"/>
      <c r="P33" s="1182"/>
    </row>
    <row r="34" spans="1:16" s="103" customFormat="1" ht="18" x14ac:dyDescent="0.25">
      <c r="A34" s="1182"/>
      <c r="B34" s="1135" t="s">
        <v>4248</v>
      </c>
      <c r="C34" s="1436" t="s">
        <v>4247</v>
      </c>
      <c r="D34" s="883">
        <v>1</v>
      </c>
      <c r="E34" s="884">
        <v>0</v>
      </c>
      <c r="F34" s="884" t="s">
        <v>1257</v>
      </c>
      <c r="G34" s="1441" t="s">
        <v>443</v>
      </c>
      <c r="H34" s="884">
        <v>2</v>
      </c>
      <c r="I34" s="1710" t="s">
        <v>2024</v>
      </c>
      <c r="J34" s="1711"/>
      <c r="K34" s="1182"/>
      <c r="L34" s="1182"/>
      <c r="M34" s="1182"/>
      <c r="N34" s="1182"/>
      <c r="O34" s="1182"/>
      <c r="P34" s="1182"/>
    </row>
    <row r="35" spans="1:16" s="103" customFormat="1" ht="18" x14ac:dyDescent="0.25">
      <c r="A35" s="1182"/>
      <c r="B35" s="1136" t="s">
        <v>3807</v>
      </c>
      <c r="C35" s="1436" t="s">
        <v>4249</v>
      </c>
      <c r="D35" s="1021">
        <v>0.1</v>
      </c>
      <c r="E35" s="1022">
        <v>0</v>
      </c>
      <c r="F35" s="1022" t="s">
        <v>1257</v>
      </c>
      <c r="G35" s="1022" t="s">
        <v>443</v>
      </c>
      <c r="H35" s="1022">
        <v>1</v>
      </c>
      <c r="I35" s="1712" t="s">
        <v>2024</v>
      </c>
      <c r="J35" s="1713"/>
      <c r="K35" s="1182"/>
      <c r="L35" s="1182"/>
      <c r="M35" s="1182"/>
      <c r="N35" s="1182"/>
      <c r="O35" s="1182"/>
      <c r="P35" s="1182"/>
    </row>
    <row r="36" spans="1:16" s="103" customFormat="1" ht="18" x14ac:dyDescent="0.25">
      <c r="A36" s="1182"/>
      <c r="B36" s="1137" t="s">
        <v>2540</v>
      </c>
      <c r="C36" s="1386" t="s">
        <v>2533</v>
      </c>
      <c r="D36" s="886">
        <v>0.45</v>
      </c>
      <c r="E36" s="887">
        <v>0</v>
      </c>
      <c r="F36" s="887" t="s">
        <v>1257</v>
      </c>
      <c r="G36" s="1022" t="s">
        <v>443</v>
      </c>
      <c r="H36" s="887">
        <v>1</v>
      </c>
      <c r="I36" s="885"/>
      <c r="J36" s="1714"/>
      <c r="K36" s="1182"/>
      <c r="L36" s="1182"/>
      <c r="M36" s="1182"/>
      <c r="N36" s="1182"/>
      <c r="O36" s="1182"/>
      <c r="P36" s="1182"/>
    </row>
    <row r="37" spans="1:16" s="103" customFormat="1" ht="18" x14ac:dyDescent="0.25">
      <c r="A37" s="1182"/>
      <c r="B37" s="1137" t="s">
        <v>1717</v>
      </c>
      <c r="C37" s="888" t="s">
        <v>2534</v>
      </c>
      <c r="D37" s="886">
        <v>0.49</v>
      </c>
      <c r="E37" s="887">
        <v>0</v>
      </c>
      <c r="F37" s="887" t="s">
        <v>1257</v>
      </c>
      <c r="G37" s="1440" t="s">
        <v>443</v>
      </c>
      <c r="H37" s="887">
        <v>2</v>
      </c>
      <c r="I37" s="885"/>
      <c r="J37" s="890"/>
      <c r="K37" s="1182"/>
      <c r="L37" s="1182"/>
      <c r="M37" s="1182"/>
      <c r="N37" s="1182"/>
      <c r="O37" s="1182"/>
      <c r="P37" s="1182"/>
    </row>
    <row r="38" spans="1:16" s="103" customFormat="1" ht="18" x14ac:dyDescent="0.25">
      <c r="A38" s="1182"/>
      <c r="B38" s="1137" t="s">
        <v>4251</v>
      </c>
      <c r="C38" s="1437" t="s">
        <v>4250</v>
      </c>
      <c r="D38" s="892">
        <v>0.08</v>
      </c>
      <c r="E38" s="887">
        <v>0</v>
      </c>
      <c r="F38" s="887" t="s">
        <v>1257</v>
      </c>
      <c r="G38" s="1440" t="s">
        <v>443</v>
      </c>
      <c r="H38" s="887">
        <v>2</v>
      </c>
      <c r="I38" s="885"/>
      <c r="J38" s="1714" t="s">
        <v>4252</v>
      </c>
      <c r="K38" s="1182"/>
      <c r="L38" s="1182"/>
      <c r="M38" s="1182"/>
      <c r="N38" s="1182"/>
      <c r="O38" s="1182"/>
      <c r="P38" s="1182"/>
    </row>
    <row r="39" spans="1:16" s="103" customFormat="1" ht="18" x14ac:dyDescent="0.25">
      <c r="A39" s="1182"/>
      <c r="B39" s="1137" t="s">
        <v>4253</v>
      </c>
      <c r="C39" s="1386" t="s">
        <v>4254</v>
      </c>
      <c r="D39" s="1385">
        <v>7.0000000000000007E-2</v>
      </c>
      <c r="E39" s="887">
        <v>0</v>
      </c>
      <c r="F39" s="887" t="s">
        <v>1257</v>
      </c>
      <c r="G39" s="1440" t="s">
        <v>443</v>
      </c>
      <c r="H39" s="887">
        <v>2</v>
      </c>
      <c r="I39" s="885"/>
      <c r="J39" s="1714"/>
      <c r="K39" s="1182"/>
      <c r="L39" s="1182"/>
      <c r="M39" s="1182"/>
      <c r="N39" s="1182"/>
      <c r="O39" s="1182"/>
      <c r="P39" s="1182"/>
    </row>
    <row r="40" spans="1:16" s="103" customFormat="1" ht="18" x14ac:dyDescent="0.25">
      <c r="A40" s="1182"/>
      <c r="B40" s="1137" t="s">
        <v>2142</v>
      </c>
      <c r="C40" s="885" t="s">
        <v>2535</v>
      </c>
      <c r="D40" s="892">
        <v>5.0000000000000001E-3</v>
      </c>
      <c r="E40" s="887">
        <v>0</v>
      </c>
      <c r="F40" s="887" t="s">
        <v>1257</v>
      </c>
      <c r="G40" s="1440" t="s">
        <v>443</v>
      </c>
      <c r="H40" s="887">
        <v>2</v>
      </c>
      <c r="I40" s="885"/>
      <c r="J40" s="1714"/>
      <c r="K40" s="1182"/>
      <c r="L40" s="1182"/>
      <c r="M40" s="1182"/>
      <c r="N40" s="1182"/>
      <c r="O40" s="1182"/>
      <c r="P40" s="1182"/>
    </row>
    <row r="41" spans="1:16" s="103" customFormat="1" ht="18" x14ac:dyDescent="0.25">
      <c r="A41" s="1182"/>
      <c r="B41" s="1137" t="s">
        <v>4524</v>
      </c>
      <c r="C41" s="885" t="s">
        <v>4330</v>
      </c>
      <c r="D41" s="1439">
        <v>7</v>
      </c>
      <c r="E41" s="887">
        <v>0</v>
      </c>
      <c r="F41" s="887" t="s">
        <v>1257</v>
      </c>
      <c r="G41" s="1440" t="s">
        <v>443</v>
      </c>
      <c r="H41" s="887">
        <v>1</v>
      </c>
      <c r="I41" s="885"/>
      <c r="J41" s="1714"/>
      <c r="K41" s="1182"/>
      <c r="L41" s="1182"/>
      <c r="M41" s="1182"/>
      <c r="N41" s="1182"/>
      <c r="O41" s="1182"/>
      <c r="P41" s="1182"/>
    </row>
    <row r="42" spans="1:16" s="103" customFormat="1" ht="18" x14ac:dyDescent="0.25">
      <c r="A42" s="1182"/>
      <c r="B42" s="1137" t="s">
        <v>4525</v>
      </c>
      <c r="C42" s="1438" t="s">
        <v>4329</v>
      </c>
      <c r="D42" s="1439">
        <v>4</v>
      </c>
      <c r="E42" s="887">
        <v>0</v>
      </c>
      <c r="F42" s="1022" t="s">
        <v>1257</v>
      </c>
      <c r="G42" s="1440" t="s">
        <v>443</v>
      </c>
      <c r="H42" s="1022">
        <v>1</v>
      </c>
      <c r="I42" s="1386"/>
      <c r="J42" s="1714"/>
      <c r="K42" s="1182"/>
      <c r="L42" s="1182"/>
      <c r="M42" s="1182"/>
      <c r="N42" s="1182"/>
      <c r="O42" s="1182"/>
      <c r="P42" s="1182"/>
    </row>
    <row r="43" spans="1:16" s="103" customFormat="1" ht="18" x14ac:dyDescent="0.25">
      <c r="A43" s="1182"/>
      <c r="B43" s="1137" t="s">
        <v>4255</v>
      </c>
      <c r="C43" s="1437" t="s">
        <v>4256</v>
      </c>
      <c r="D43" s="892">
        <v>0.66</v>
      </c>
      <c r="E43" s="887">
        <v>0</v>
      </c>
      <c r="F43" s="887" t="s">
        <v>1257</v>
      </c>
      <c r="G43" s="1440" t="s">
        <v>2018</v>
      </c>
      <c r="H43" s="887">
        <v>2</v>
      </c>
      <c r="I43" s="885"/>
      <c r="J43" s="1714"/>
      <c r="K43" s="1182"/>
      <c r="L43" s="1182"/>
      <c r="M43" s="1182"/>
      <c r="N43" s="1182"/>
      <c r="O43" s="1182"/>
      <c r="P43" s="1182"/>
    </row>
    <row r="44" spans="1:16" s="103" customFormat="1" ht="18" x14ac:dyDescent="0.25">
      <c r="A44" s="1182"/>
      <c r="B44" s="1137" t="s">
        <v>4258</v>
      </c>
      <c r="C44" s="1690" t="s">
        <v>4257</v>
      </c>
      <c r="D44" s="892">
        <v>0.5</v>
      </c>
      <c r="E44" s="887">
        <v>0</v>
      </c>
      <c r="F44" s="887" t="s">
        <v>1257</v>
      </c>
      <c r="G44" s="1442" t="s">
        <v>2018</v>
      </c>
      <c r="H44" s="887">
        <v>2</v>
      </c>
      <c r="I44" s="885"/>
      <c r="J44" s="1714"/>
      <c r="K44" s="1182"/>
      <c r="L44" s="1182"/>
      <c r="M44" s="1182"/>
      <c r="N44" s="1182"/>
      <c r="O44" s="1182"/>
      <c r="P44" s="1182"/>
    </row>
    <row r="45" spans="1:16" s="103" customFormat="1" ht="18" x14ac:dyDescent="0.25">
      <c r="A45" s="1182"/>
      <c r="B45" s="1137" t="s">
        <v>4260</v>
      </c>
      <c r="C45" s="1690" t="s">
        <v>4259</v>
      </c>
      <c r="D45" s="892">
        <v>0.25</v>
      </c>
      <c r="E45" s="887">
        <v>0</v>
      </c>
      <c r="F45" s="887" t="s">
        <v>1257</v>
      </c>
      <c r="G45" s="1442" t="s">
        <v>2018</v>
      </c>
      <c r="H45" s="887">
        <v>2</v>
      </c>
      <c r="I45" s="885"/>
      <c r="J45" s="1714"/>
      <c r="K45" s="1182"/>
      <c r="L45" s="1182"/>
      <c r="M45" s="1182"/>
      <c r="N45" s="1182"/>
      <c r="O45" s="1182"/>
      <c r="P45" s="1182"/>
    </row>
    <row r="46" spans="1:16" s="103" customFormat="1" ht="18" x14ac:dyDescent="0.25">
      <c r="A46" s="1182"/>
      <c r="B46" s="1137" t="s">
        <v>4262</v>
      </c>
      <c r="C46" s="1690" t="s">
        <v>4261</v>
      </c>
      <c r="D46" s="892">
        <v>0.66</v>
      </c>
      <c r="E46" s="887">
        <v>0</v>
      </c>
      <c r="F46" s="887" t="s">
        <v>1257</v>
      </c>
      <c r="G46" s="1440" t="s">
        <v>2018</v>
      </c>
      <c r="H46" s="887">
        <v>2</v>
      </c>
      <c r="I46" s="885"/>
      <c r="J46" s="1714"/>
      <c r="K46" s="1182"/>
      <c r="L46" s="1182"/>
      <c r="M46" s="1182"/>
      <c r="N46" s="1182"/>
      <c r="O46" s="1182"/>
      <c r="P46" s="1182"/>
    </row>
    <row r="47" spans="1:16" s="103" customFormat="1" ht="18" x14ac:dyDescent="0.25">
      <c r="A47" s="1182"/>
      <c r="B47" s="1137" t="s">
        <v>2238</v>
      </c>
      <c r="C47" s="885" t="s">
        <v>2536</v>
      </c>
      <c r="D47" s="892">
        <v>0.25</v>
      </c>
      <c r="E47" s="887">
        <v>0</v>
      </c>
      <c r="F47" s="887" t="s">
        <v>1257</v>
      </c>
      <c r="G47" s="1442" t="s">
        <v>2018</v>
      </c>
      <c r="H47" s="887">
        <v>2</v>
      </c>
      <c r="I47" s="885"/>
      <c r="J47" s="1714"/>
      <c r="K47" s="1182"/>
      <c r="L47" s="1182"/>
      <c r="M47" s="1182"/>
      <c r="N47" s="1182"/>
      <c r="O47" s="1182"/>
      <c r="P47" s="1182"/>
    </row>
    <row r="48" spans="1:16" s="103" customFormat="1" ht="18" x14ac:dyDescent="0.25">
      <c r="A48" s="1182"/>
      <c r="B48" s="1137" t="s">
        <v>2239</v>
      </c>
      <c r="C48" s="885" t="s">
        <v>2537</v>
      </c>
      <c r="D48" s="892">
        <v>0.5</v>
      </c>
      <c r="E48" s="887">
        <v>0</v>
      </c>
      <c r="F48" s="887" t="s">
        <v>1257</v>
      </c>
      <c r="G48" s="1442" t="s">
        <v>2018</v>
      </c>
      <c r="H48" s="887">
        <v>2</v>
      </c>
      <c r="I48" s="885"/>
      <c r="J48" s="1714"/>
      <c r="K48" s="1182"/>
      <c r="L48" s="1182"/>
      <c r="M48" s="1182"/>
      <c r="N48" s="1182"/>
      <c r="O48" s="1182"/>
      <c r="P48" s="1182"/>
    </row>
    <row r="49" spans="1:16" s="103" customFormat="1" ht="18" x14ac:dyDescent="0.25">
      <c r="A49" s="1182"/>
      <c r="B49" s="1137" t="s">
        <v>1948</v>
      </c>
      <c r="C49" s="891" t="s">
        <v>2538</v>
      </c>
      <c r="D49" s="892">
        <v>0.3</v>
      </c>
      <c r="E49" s="887">
        <v>0</v>
      </c>
      <c r="F49" s="887" t="s">
        <v>1257</v>
      </c>
      <c r="G49" s="1440" t="s">
        <v>888</v>
      </c>
      <c r="H49" s="887">
        <v>2</v>
      </c>
      <c r="I49" s="885" t="s">
        <v>2023</v>
      </c>
      <c r="J49" s="1714"/>
      <c r="K49" s="1182"/>
      <c r="L49" s="1182"/>
      <c r="M49" s="1182"/>
      <c r="N49" s="1182"/>
      <c r="O49" s="1182"/>
      <c r="P49" s="1182"/>
    </row>
    <row r="50" spans="1:16" s="103" customFormat="1" ht="18" x14ac:dyDescent="0.25">
      <c r="A50" s="1182"/>
      <c r="B50" s="1891" t="s">
        <v>4601</v>
      </c>
      <c r="C50" s="1892" t="s">
        <v>4602</v>
      </c>
      <c r="D50" s="1962">
        <v>0.8</v>
      </c>
      <c r="E50" s="1961">
        <v>0</v>
      </c>
      <c r="F50" s="1961">
        <v>2</v>
      </c>
      <c r="G50" s="1894" t="s">
        <v>282</v>
      </c>
      <c r="H50" s="1893">
        <v>2</v>
      </c>
      <c r="I50" s="1892"/>
      <c r="J50" s="1895" t="s">
        <v>4600</v>
      </c>
      <c r="K50" s="1182"/>
      <c r="L50" s="1182"/>
      <c r="M50" s="1182"/>
      <c r="N50" s="1182"/>
      <c r="O50" s="1182"/>
      <c r="P50" s="1182"/>
    </row>
    <row r="51" spans="1:16" s="103" customFormat="1" ht="18" x14ac:dyDescent="0.25">
      <c r="A51" s="1182"/>
      <c r="B51" s="1891" t="s">
        <v>4603</v>
      </c>
      <c r="C51" s="1892" t="s">
        <v>4604</v>
      </c>
      <c r="D51" s="1962">
        <v>0.4</v>
      </c>
      <c r="E51" s="1961">
        <v>0</v>
      </c>
      <c r="F51" s="1961">
        <v>2</v>
      </c>
      <c r="G51" s="1894" t="s">
        <v>282</v>
      </c>
      <c r="H51" s="1893">
        <v>2</v>
      </c>
      <c r="I51" s="1892"/>
      <c r="J51" s="1895" t="s">
        <v>4600</v>
      </c>
      <c r="K51" s="1182"/>
      <c r="L51" s="1182"/>
      <c r="M51" s="1182"/>
      <c r="N51" s="1182"/>
      <c r="O51" s="1182"/>
      <c r="P51" s="1182"/>
    </row>
    <row r="52" spans="1:16" s="103" customFormat="1" ht="18" x14ac:dyDescent="0.25">
      <c r="A52" s="1182"/>
      <c r="B52" s="1137" t="s">
        <v>4263</v>
      </c>
      <c r="C52" s="1437" t="s">
        <v>4264</v>
      </c>
      <c r="D52" s="1385">
        <v>0.1</v>
      </c>
      <c r="E52" s="1022">
        <v>0</v>
      </c>
      <c r="F52" s="1022" t="s">
        <v>1257</v>
      </c>
      <c r="G52" s="1440" t="s">
        <v>2175</v>
      </c>
      <c r="H52" s="1022">
        <v>2</v>
      </c>
      <c r="I52" s="1386"/>
      <c r="J52" s="1714"/>
      <c r="K52" s="1182"/>
      <c r="L52" s="1182"/>
      <c r="M52" s="1182"/>
      <c r="N52" s="1182"/>
      <c r="O52" s="1182"/>
      <c r="P52" s="1182"/>
    </row>
    <row r="53" spans="1:16" s="103" customFormat="1" ht="18" x14ac:dyDescent="0.25">
      <c r="A53" s="1182"/>
      <c r="B53" s="1137" t="s">
        <v>1793</v>
      </c>
      <c r="C53" s="891" t="s">
        <v>2539</v>
      </c>
      <c r="D53" s="1385">
        <v>0.01</v>
      </c>
      <c r="E53" s="887">
        <v>0</v>
      </c>
      <c r="F53" s="887" t="s">
        <v>1257</v>
      </c>
      <c r="G53" s="1440" t="s">
        <v>2175</v>
      </c>
      <c r="H53" s="887">
        <v>2</v>
      </c>
      <c r="I53" s="885"/>
      <c r="J53" s="1714"/>
      <c r="K53" s="1182"/>
      <c r="L53" s="1182"/>
      <c r="M53" s="1182"/>
      <c r="N53" s="1182"/>
      <c r="O53" s="1182"/>
      <c r="P53" s="1182"/>
    </row>
    <row r="54" spans="1:16" s="103" customFormat="1" ht="18" x14ac:dyDescent="0.25">
      <c r="A54" s="1182"/>
      <c r="B54" s="1137" t="s">
        <v>4265</v>
      </c>
      <c r="C54" s="1437" t="s">
        <v>4266</v>
      </c>
      <c r="D54" s="1385">
        <v>0.1</v>
      </c>
      <c r="E54" s="1022">
        <v>0</v>
      </c>
      <c r="F54" s="1022" t="s">
        <v>1257</v>
      </c>
      <c r="G54" s="1440" t="s">
        <v>2175</v>
      </c>
      <c r="H54" s="1022">
        <v>2</v>
      </c>
      <c r="I54" s="1386"/>
      <c r="J54" s="1714"/>
      <c r="K54" s="1182"/>
      <c r="L54" s="1182"/>
      <c r="M54" s="1182"/>
      <c r="N54" s="1182"/>
      <c r="O54" s="1182"/>
      <c r="P54" s="1182"/>
    </row>
    <row r="55" spans="1:16" s="103" customFormat="1" ht="18" x14ac:dyDescent="0.25">
      <c r="A55" s="1182"/>
      <c r="B55" s="1137" t="s">
        <v>4268</v>
      </c>
      <c r="C55" s="1101" t="s">
        <v>4267</v>
      </c>
      <c r="D55" s="889">
        <v>0.05</v>
      </c>
      <c r="E55" s="887">
        <v>0</v>
      </c>
      <c r="F55" s="889" t="s">
        <v>1257</v>
      </c>
      <c r="G55" s="1440" t="s">
        <v>1182</v>
      </c>
      <c r="H55" s="889">
        <v>2</v>
      </c>
      <c r="I55" s="894"/>
      <c r="J55" s="1384"/>
      <c r="K55" s="1182"/>
      <c r="L55" s="1182"/>
      <c r="M55" s="1182"/>
      <c r="N55" s="1182"/>
      <c r="O55" s="1182"/>
      <c r="P55" s="1182"/>
    </row>
    <row r="56" spans="1:16" s="103" customFormat="1" ht="18" x14ac:dyDescent="0.25">
      <c r="A56" s="1182"/>
      <c r="B56" s="1051" t="s">
        <v>4271</v>
      </c>
      <c r="C56" s="895" t="s">
        <v>4269</v>
      </c>
      <c r="D56" s="1385">
        <v>0.1</v>
      </c>
      <c r="E56" s="887">
        <v>0</v>
      </c>
      <c r="F56" s="889" t="s">
        <v>1257</v>
      </c>
      <c r="G56" s="889" t="s">
        <v>886</v>
      </c>
      <c r="H56" s="889">
        <v>2</v>
      </c>
      <c r="I56" s="894"/>
      <c r="J56" s="1384"/>
      <c r="K56" s="1182"/>
      <c r="L56" s="1182"/>
      <c r="M56" s="1182"/>
      <c r="N56" s="1182"/>
      <c r="O56" s="1182"/>
      <c r="P56" s="1182"/>
    </row>
    <row r="57" spans="1:16" s="103" customFormat="1" ht="18" x14ac:dyDescent="0.25">
      <c r="A57" s="1182"/>
      <c r="B57" s="1051" t="s">
        <v>4272</v>
      </c>
      <c r="C57" s="895" t="s">
        <v>4270</v>
      </c>
      <c r="D57" s="889">
        <v>0.05</v>
      </c>
      <c r="E57" s="887">
        <v>0</v>
      </c>
      <c r="F57" s="889" t="s">
        <v>1257</v>
      </c>
      <c r="G57" s="889" t="s">
        <v>886</v>
      </c>
      <c r="H57" s="889">
        <v>2</v>
      </c>
      <c r="I57" s="894"/>
      <c r="J57" s="1384"/>
      <c r="K57" s="1182"/>
      <c r="L57" s="1182"/>
      <c r="M57" s="1182"/>
      <c r="N57" s="1182"/>
      <c r="O57" s="1182"/>
      <c r="P57" s="1182"/>
    </row>
    <row r="58" spans="1:16" s="103" customFormat="1" ht="18" x14ac:dyDescent="0.25">
      <c r="A58" s="1182"/>
      <c r="B58" s="1137" t="s">
        <v>4274</v>
      </c>
      <c r="C58" s="1438" t="s">
        <v>4273</v>
      </c>
      <c r="D58" s="893">
        <v>5</v>
      </c>
      <c r="E58" s="887">
        <v>0</v>
      </c>
      <c r="F58" s="887" t="s">
        <v>1257</v>
      </c>
      <c r="G58" s="1440" t="s">
        <v>1183</v>
      </c>
      <c r="H58" s="887">
        <v>1</v>
      </c>
      <c r="I58" s="885"/>
      <c r="J58" s="890"/>
      <c r="K58" s="1182"/>
      <c r="L58" s="1182"/>
      <c r="M58" s="1182"/>
      <c r="N58" s="1182"/>
      <c r="O58" s="1182"/>
      <c r="P58" s="1182"/>
    </row>
    <row r="59" spans="1:16" s="103" customFormat="1" ht="18" x14ac:dyDescent="0.25">
      <c r="A59" s="1182"/>
      <c r="B59" s="1137" t="s">
        <v>2143</v>
      </c>
      <c r="C59" s="896" t="s">
        <v>2765</v>
      </c>
      <c r="D59" s="886">
        <v>0.01</v>
      </c>
      <c r="E59" s="887">
        <v>0</v>
      </c>
      <c r="F59" s="887" t="s">
        <v>1257</v>
      </c>
      <c r="G59" s="1440" t="s">
        <v>2175</v>
      </c>
      <c r="H59" s="887">
        <v>2</v>
      </c>
      <c r="I59" s="885"/>
      <c r="J59" s="890"/>
      <c r="K59" s="1182"/>
      <c r="L59" s="1182"/>
      <c r="M59" s="1182"/>
      <c r="N59" s="1182"/>
      <c r="O59" s="1182"/>
      <c r="P59" s="1182"/>
    </row>
    <row r="60" spans="1:16" s="103" customFormat="1" ht="18" x14ac:dyDescent="0.25">
      <c r="A60" s="1182"/>
      <c r="B60" s="1137" t="s">
        <v>2771</v>
      </c>
      <c r="C60" s="896" t="s">
        <v>2546</v>
      </c>
      <c r="D60" s="886">
        <v>0.35</v>
      </c>
      <c r="E60" s="887">
        <v>0</v>
      </c>
      <c r="F60" s="887" t="s">
        <v>1257</v>
      </c>
      <c r="G60" s="1440" t="s">
        <v>1915</v>
      </c>
      <c r="H60" s="887">
        <v>2</v>
      </c>
      <c r="I60" s="885"/>
      <c r="J60" s="890"/>
      <c r="K60" s="1182"/>
      <c r="L60" s="1182"/>
      <c r="M60" s="1182"/>
      <c r="N60" s="1182"/>
      <c r="O60" s="1182"/>
      <c r="P60" s="1182"/>
    </row>
    <row r="61" spans="1:16" s="103" customFormat="1" ht="18" x14ac:dyDescent="0.25">
      <c r="A61" s="1182"/>
      <c r="B61" s="1891" t="s">
        <v>4605</v>
      </c>
      <c r="C61" s="1896" t="s">
        <v>4606</v>
      </c>
      <c r="D61" s="1976">
        <v>0.17</v>
      </c>
      <c r="E61" s="1961">
        <v>0</v>
      </c>
      <c r="F61" s="1963">
        <v>2</v>
      </c>
      <c r="G61" s="1894" t="s">
        <v>282</v>
      </c>
      <c r="H61" s="1893">
        <v>2</v>
      </c>
      <c r="I61" s="1896"/>
      <c r="J61" s="1898" t="s">
        <v>4607</v>
      </c>
      <c r="K61" s="1182"/>
      <c r="L61" s="1182"/>
      <c r="M61" s="1182"/>
      <c r="N61" s="1182"/>
      <c r="O61" s="1182"/>
      <c r="P61" s="1182"/>
    </row>
    <row r="62" spans="1:16" s="103" customFormat="1" ht="18" x14ac:dyDescent="0.25">
      <c r="A62" s="1182"/>
      <c r="B62" s="1137" t="s">
        <v>4550</v>
      </c>
      <c r="C62" s="1101" t="s">
        <v>4551</v>
      </c>
      <c r="D62" s="1667">
        <v>0.1</v>
      </c>
      <c r="E62" s="1022">
        <v>0</v>
      </c>
      <c r="F62" s="1440">
        <v>1</v>
      </c>
      <c r="G62" s="1440" t="s">
        <v>1183</v>
      </c>
      <c r="H62" s="1022">
        <v>2</v>
      </c>
      <c r="I62" s="1101"/>
      <c r="J62" s="1384"/>
      <c r="K62" s="1182"/>
      <c r="L62" s="1182"/>
      <c r="M62" s="1182"/>
      <c r="N62" s="1182"/>
      <c r="O62" s="1182"/>
      <c r="P62" s="1182"/>
    </row>
    <row r="63" spans="1:16" s="103" customFormat="1" ht="18" x14ac:dyDescent="0.25">
      <c r="A63" s="1182"/>
      <c r="B63" s="1137" t="s">
        <v>2772</v>
      </c>
      <c r="C63" s="896" t="s">
        <v>2547</v>
      </c>
      <c r="D63" s="886">
        <v>0.6</v>
      </c>
      <c r="E63" s="887">
        <v>0</v>
      </c>
      <c r="F63" s="887" t="s">
        <v>1257</v>
      </c>
      <c r="G63" s="1440" t="s">
        <v>2175</v>
      </c>
      <c r="H63" s="887">
        <v>2</v>
      </c>
      <c r="I63" s="885"/>
      <c r="J63" s="890"/>
      <c r="K63" s="1182"/>
      <c r="L63" s="1182"/>
      <c r="M63" s="1182"/>
      <c r="N63" s="1182"/>
      <c r="O63" s="1182"/>
      <c r="P63" s="1182"/>
    </row>
    <row r="64" spans="1:16" s="103" customFormat="1" ht="18" x14ac:dyDescent="0.25">
      <c r="A64" s="1182"/>
      <c r="B64" s="1891" t="s">
        <v>4608</v>
      </c>
      <c r="C64" s="1896" t="s">
        <v>4609</v>
      </c>
      <c r="D64" s="1897">
        <v>0.1</v>
      </c>
      <c r="E64" s="1893">
        <v>0</v>
      </c>
      <c r="F64" s="1894">
        <v>2</v>
      </c>
      <c r="G64" s="1894" t="s">
        <v>282</v>
      </c>
      <c r="H64" s="1893">
        <v>2</v>
      </c>
      <c r="I64" s="1896"/>
      <c r="J64" s="1898" t="s">
        <v>4607</v>
      </c>
      <c r="K64" s="1182"/>
      <c r="L64" s="1182"/>
      <c r="M64" s="1182"/>
      <c r="N64" s="1182"/>
      <c r="O64" s="1182"/>
      <c r="P64" s="1182"/>
    </row>
    <row r="65" spans="1:16" s="103" customFormat="1" ht="18" x14ac:dyDescent="0.25">
      <c r="A65" s="1182"/>
      <c r="B65" s="1137" t="s">
        <v>1949</v>
      </c>
      <c r="C65" s="894" t="s">
        <v>2548</v>
      </c>
      <c r="D65" s="889">
        <v>1E-3</v>
      </c>
      <c r="E65" s="887">
        <v>0</v>
      </c>
      <c r="F65" s="889" t="s">
        <v>1257</v>
      </c>
      <c r="G65" s="1440" t="s">
        <v>1613</v>
      </c>
      <c r="H65" s="889">
        <v>4</v>
      </c>
      <c r="I65" s="894"/>
      <c r="J65" s="1384"/>
      <c r="K65" s="1182"/>
      <c r="L65" s="1182"/>
      <c r="M65" s="1182"/>
      <c r="N65" s="1182"/>
      <c r="O65" s="1182"/>
      <c r="P65" s="1182"/>
    </row>
    <row r="66" spans="1:16" s="103" customFormat="1" ht="18" x14ac:dyDescent="0.25">
      <c r="A66" s="1182"/>
      <c r="B66" s="1137" t="s">
        <v>1950</v>
      </c>
      <c r="C66" s="894" t="s">
        <v>2549</v>
      </c>
      <c r="D66" s="889">
        <v>1E-3</v>
      </c>
      <c r="E66" s="887">
        <v>0</v>
      </c>
      <c r="F66" s="889" t="s">
        <v>1257</v>
      </c>
      <c r="G66" s="1440" t="s">
        <v>1614</v>
      </c>
      <c r="H66" s="889">
        <v>4</v>
      </c>
      <c r="I66" s="894"/>
      <c r="J66" s="1384"/>
      <c r="K66" s="1182"/>
      <c r="L66" s="1182"/>
      <c r="M66" s="1182"/>
      <c r="N66" s="1182"/>
      <c r="O66" s="1182"/>
      <c r="P66" s="1182"/>
    </row>
    <row r="67" spans="1:16" s="103" customFormat="1" ht="18" x14ac:dyDescent="0.25">
      <c r="A67" s="1182"/>
      <c r="B67" s="1137" t="s">
        <v>1951</v>
      </c>
      <c r="C67" s="894" t="s">
        <v>2550</v>
      </c>
      <c r="D67" s="889">
        <v>1E-3</v>
      </c>
      <c r="E67" s="887">
        <v>0</v>
      </c>
      <c r="F67" s="889" t="s">
        <v>1257</v>
      </c>
      <c r="G67" s="1440" t="s">
        <v>1615</v>
      </c>
      <c r="H67" s="889">
        <v>4</v>
      </c>
      <c r="I67" s="894"/>
      <c r="J67" s="1384"/>
      <c r="K67" s="1182"/>
      <c r="L67" s="1182"/>
      <c r="M67" s="1182"/>
      <c r="N67" s="1182"/>
      <c r="O67" s="1182"/>
      <c r="P67" s="1182"/>
    </row>
    <row r="68" spans="1:16" s="103" customFormat="1" ht="18" x14ac:dyDescent="0.25">
      <c r="A68" s="1182"/>
      <c r="B68" s="1137" t="s">
        <v>1185</v>
      </c>
      <c r="C68" s="894" t="s">
        <v>2551</v>
      </c>
      <c r="D68" s="889">
        <v>2E-3</v>
      </c>
      <c r="E68" s="887">
        <v>0</v>
      </c>
      <c r="F68" s="889" t="s">
        <v>1257</v>
      </c>
      <c r="G68" s="1440" t="s">
        <v>888</v>
      </c>
      <c r="H68" s="889">
        <v>3</v>
      </c>
      <c r="I68" s="894"/>
      <c r="J68" s="1384"/>
      <c r="K68" s="1182"/>
      <c r="L68" s="1182"/>
      <c r="M68" s="1182"/>
      <c r="N68" s="1182"/>
      <c r="O68" s="1182"/>
      <c r="P68" s="1182"/>
    </row>
    <row r="69" spans="1:16" s="103" customFormat="1" ht="18" x14ac:dyDescent="0.25">
      <c r="A69" s="1182"/>
      <c r="B69" s="1137" t="s">
        <v>2541</v>
      </c>
      <c r="C69" s="894" t="s">
        <v>2552</v>
      </c>
      <c r="D69" s="889">
        <v>5.0000000000000001E-3</v>
      </c>
      <c r="E69" s="887">
        <v>0</v>
      </c>
      <c r="F69" s="889" t="s">
        <v>1257</v>
      </c>
      <c r="G69" s="1440" t="s">
        <v>888</v>
      </c>
      <c r="H69" s="889">
        <v>3</v>
      </c>
      <c r="I69" s="894"/>
      <c r="J69" s="1384"/>
      <c r="K69" s="1182"/>
      <c r="L69" s="1182"/>
      <c r="M69" s="1182"/>
      <c r="N69" s="1182"/>
      <c r="O69" s="1182"/>
      <c r="P69" s="1182"/>
    </row>
    <row r="70" spans="1:16" s="103" customFormat="1" ht="18" x14ac:dyDescent="0.25">
      <c r="A70" s="1182"/>
      <c r="B70" s="1136" t="s">
        <v>2542</v>
      </c>
      <c r="C70" s="535" t="s">
        <v>2543</v>
      </c>
      <c r="D70" s="1439">
        <v>-170</v>
      </c>
      <c r="E70" s="536" t="s">
        <v>2236</v>
      </c>
      <c r="F70" s="537" t="s">
        <v>1257</v>
      </c>
      <c r="G70" s="1440" t="s">
        <v>2193</v>
      </c>
      <c r="H70" s="537">
        <v>0</v>
      </c>
      <c r="I70" s="1712"/>
      <c r="J70" s="1713"/>
      <c r="K70" s="1182"/>
      <c r="L70" s="1182"/>
      <c r="M70" s="1182"/>
      <c r="N70" s="1182"/>
      <c r="O70" s="1182"/>
      <c r="P70" s="1182"/>
    </row>
    <row r="71" spans="1:16" s="103" customFormat="1" ht="18.75" thickBot="1" x14ac:dyDescent="0.3">
      <c r="A71" s="1182"/>
      <c r="B71" s="1138" t="s">
        <v>2544</v>
      </c>
      <c r="C71" s="897" t="s">
        <v>2545</v>
      </c>
      <c r="D71" s="836">
        <v>0.1</v>
      </c>
      <c r="E71" s="898">
        <v>0</v>
      </c>
      <c r="F71" s="898" t="s">
        <v>1257</v>
      </c>
      <c r="G71" s="898" t="s">
        <v>3590</v>
      </c>
      <c r="H71" s="898">
        <v>2</v>
      </c>
      <c r="I71" s="1716"/>
      <c r="J71" s="899"/>
      <c r="K71" s="1182"/>
      <c r="L71" s="1182"/>
      <c r="M71" s="1182"/>
      <c r="N71" s="1182"/>
      <c r="O71" s="1182"/>
      <c r="P71" s="1182"/>
    </row>
    <row r="72" spans="1:16" s="103" customFormat="1" ht="18" x14ac:dyDescent="0.25">
      <c r="A72" s="1182"/>
      <c r="B72" s="1139" t="s">
        <v>2234</v>
      </c>
      <c r="C72" s="880" t="s">
        <v>2553</v>
      </c>
      <c r="D72" s="877">
        <v>0.1</v>
      </c>
      <c r="E72" s="878">
        <v>0</v>
      </c>
      <c r="F72" s="878" t="s">
        <v>1257</v>
      </c>
      <c r="G72" s="879" t="s">
        <v>2018</v>
      </c>
      <c r="H72" s="878">
        <v>2</v>
      </c>
      <c r="I72" s="1717"/>
      <c r="J72" s="1718"/>
      <c r="K72" s="1182"/>
      <c r="L72" s="1182"/>
      <c r="M72" s="1182"/>
      <c r="N72" s="1182"/>
      <c r="O72" s="1182"/>
      <c r="P72" s="1182"/>
    </row>
    <row r="73" spans="1:16" s="103" customFormat="1" ht="18" x14ac:dyDescent="0.25">
      <c r="A73" s="1182"/>
      <c r="B73" s="1139" t="s">
        <v>2147</v>
      </c>
      <c r="C73" s="880" t="s">
        <v>2554</v>
      </c>
      <c r="D73" s="877">
        <v>0.05</v>
      </c>
      <c r="E73" s="878">
        <v>0</v>
      </c>
      <c r="F73" s="878" t="s">
        <v>1257</v>
      </c>
      <c r="G73" s="1443" t="s">
        <v>2175</v>
      </c>
      <c r="H73" s="878">
        <v>2</v>
      </c>
      <c r="I73" s="1717"/>
      <c r="J73" s="1718"/>
      <c r="K73" s="1182"/>
      <c r="L73" s="1182"/>
      <c r="M73" s="1182"/>
      <c r="N73" s="1182"/>
      <c r="O73" s="1182"/>
      <c r="P73" s="1182"/>
    </row>
    <row r="74" spans="1:16" s="103" customFormat="1" ht="18" x14ac:dyDescent="0.25">
      <c r="A74" s="1182"/>
      <c r="B74" s="1139" t="s">
        <v>2774</v>
      </c>
      <c r="C74" s="880" t="s">
        <v>2555</v>
      </c>
      <c r="D74" s="837">
        <v>0.5</v>
      </c>
      <c r="E74" s="878">
        <v>0</v>
      </c>
      <c r="F74" s="878" t="s">
        <v>1257</v>
      </c>
      <c r="G74" s="879" t="s">
        <v>2175</v>
      </c>
      <c r="H74" s="878">
        <v>2</v>
      </c>
      <c r="I74" s="1719"/>
      <c r="J74" s="1720"/>
      <c r="K74" s="1182"/>
      <c r="L74" s="1182"/>
      <c r="M74" s="1182"/>
      <c r="N74" s="1182"/>
      <c r="O74" s="1182"/>
      <c r="P74" s="1182"/>
    </row>
    <row r="75" spans="1:16" s="103" customFormat="1" ht="18" x14ac:dyDescent="0.25">
      <c r="A75" s="1182"/>
      <c r="B75" s="1899" t="s">
        <v>4610</v>
      </c>
      <c r="C75" s="1900" t="s">
        <v>4611</v>
      </c>
      <c r="D75" s="1901">
        <v>0.12</v>
      </c>
      <c r="E75" s="1902">
        <v>0</v>
      </c>
      <c r="F75" s="1903">
        <v>2</v>
      </c>
      <c r="G75" s="1904" t="s">
        <v>282</v>
      </c>
      <c r="H75" s="1903">
        <v>2</v>
      </c>
      <c r="I75" s="1905"/>
      <c r="J75" s="1720" t="s">
        <v>4607</v>
      </c>
      <c r="K75" s="1182"/>
      <c r="L75" s="1182"/>
      <c r="M75" s="1182"/>
      <c r="N75" s="1182"/>
      <c r="O75" s="1182"/>
      <c r="P75" s="1182"/>
    </row>
    <row r="76" spans="1:16" s="103" customFormat="1" ht="18" x14ac:dyDescent="0.25">
      <c r="A76" s="1182"/>
      <c r="B76" s="1447" t="s">
        <v>4275</v>
      </c>
      <c r="C76" s="1691" t="s">
        <v>4276</v>
      </c>
      <c r="D76" s="1444">
        <v>-30</v>
      </c>
      <c r="E76" s="1445" t="s">
        <v>2236</v>
      </c>
      <c r="F76" s="1446" t="s">
        <v>1257</v>
      </c>
      <c r="G76" s="1443" t="s">
        <v>2193</v>
      </c>
      <c r="H76" s="1446">
        <v>0</v>
      </c>
      <c r="I76" s="1721"/>
      <c r="J76" s="1720"/>
      <c r="K76" s="1182"/>
      <c r="L76" s="1182"/>
      <c r="M76" s="1182"/>
      <c r="N76" s="1182"/>
      <c r="O76" s="1182"/>
      <c r="P76" s="1182"/>
    </row>
    <row r="77" spans="1:16" s="103" customFormat="1" ht="18" x14ac:dyDescent="0.25">
      <c r="A77" s="1182"/>
      <c r="B77" s="1447" t="s">
        <v>4277</v>
      </c>
      <c r="C77" s="1691" t="s">
        <v>4278</v>
      </c>
      <c r="D77" s="1444">
        <v>-110</v>
      </c>
      <c r="E77" s="1445" t="s">
        <v>2236</v>
      </c>
      <c r="F77" s="1446" t="s">
        <v>1257</v>
      </c>
      <c r="G77" s="1443" t="s">
        <v>2193</v>
      </c>
      <c r="H77" s="1446">
        <v>0</v>
      </c>
      <c r="I77" s="1721"/>
      <c r="J77" s="1720"/>
      <c r="K77" s="1182"/>
      <c r="L77" s="1182"/>
      <c r="M77" s="1182"/>
      <c r="N77" s="1182"/>
      <c r="O77" s="1182"/>
      <c r="P77" s="1182"/>
    </row>
    <row r="78" spans="1:16" s="103" customFormat="1" ht="18.75" thickBot="1" x14ac:dyDescent="0.3">
      <c r="A78" s="1182"/>
      <c r="B78" s="1448" t="s">
        <v>4279</v>
      </c>
      <c r="C78" s="1692" t="s">
        <v>2556</v>
      </c>
      <c r="D78" s="1449">
        <v>3.5000000000000003E-2</v>
      </c>
      <c r="E78" s="881">
        <v>0</v>
      </c>
      <c r="F78" s="881" t="s">
        <v>1257</v>
      </c>
      <c r="G78" s="882" t="s">
        <v>3590</v>
      </c>
      <c r="H78" s="881">
        <v>2</v>
      </c>
      <c r="I78" s="1722"/>
      <c r="J78" s="452"/>
      <c r="K78" s="1182"/>
      <c r="L78" s="1182"/>
      <c r="M78" s="1182"/>
      <c r="N78" s="1182"/>
      <c r="O78" s="1182"/>
      <c r="P78" s="1182"/>
    </row>
    <row r="79" spans="1:16" s="103" customFormat="1" ht="18" x14ac:dyDescent="0.25">
      <c r="A79" s="1182"/>
      <c r="B79" s="2322" t="s">
        <v>4790</v>
      </c>
      <c r="C79" s="2323" t="s">
        <v>4791</v>
      </c>
      <c r="D79" s="2324">
        <v>1</v>
      </c>
      <c r="E79" s="2325">
        <v>0</v>
      </c>
      <c r="F79" s="2325" t="s">
        <v>1257</v>
      </c>
      <c r="G79" s="2326" t="s">
        <v>848</v>
      </c>
      <c r="H79" s="2325">
        <v>1</v>
      </c>
      <c r="I79" s="2327"/>
      <c r="J79" s="2328" t="s">
        <v>4792</v>
      </c>
      <c r="K79" s="1182"/>
      <c r="L79" s="1182"/>
      <c r="M79" s="1182"/>
      <c r="N79" s="1182"/>
      <c r="O79" s="1182"/>
      <c r="P79" s="1182"/>
    </row>
    <row r="80" spans="1:16" s="103" customFormat="1" ht="18.75" thickBot="1" x14ac:dyDescent="0.3">
      <c r="A80" s="1182"/>
      <c r="B80" s="2329" t="s">
        <v>4793</v>
      </c>
      <c r="C80" s="2330" t="s">
        <v>4794</v>
      </c>
      <c r="D80" s="2331">
        <v>1000</v>
      </c>
      <c r="E80" s="2332">
        <v>1000</v>
      </c>
      <c r="F80" s="2332" t="s">
        <v>1257</v>
      </c>
      <c r="G80" s="2333" t="s">
        <v>2193</v>
      </c>
      <c r="H80" s="2332">
        <v>0</v>
      </c>
      <c r="I80" s="2334"/>
      <c r="J80" s="2335" t="s">
        <v>4795</v>
      </c>
      <c r="K80" s="1182"/>
      <c r="L80" s="1182"/>
      <c r="M80" s="1182"/>
      <c r="N80" s="1182"/>
      <c r="O80" s="1182"/>
      <c r="P80" s="1182"/>
    </row>
    <row r="81" spans="1:18" s="190" customFormat="1" ht="15.75" thickBot="1" x14ac:dyDescent="0.3">
      <c r="A81" s="1183"/>
      <c r="B81" s="1189"/>
      <c r="C81" s="1210"/>
      <c r="D81" s="1234"/>
      <c r="E81" s="1244"/>
      <c r="F81" s="1244"/>
      <c r="G81" s="1244"/>
      <c r="H81" s="1244"/>
      <c r="I81" s="1210"/>
      <c r="J81" s="1188"/>
      <c r="K81" s="1182"/>
      <c r="L81" s="1182"/>
      <c r="M81" s="1182"/>
      <c r="N81" s="1182"/>
      <c r="O81" s="1182"/>
      <c r="P81" s="1182"/>
      <c r="Q81" s="103"/>
      <c r="R81" s="103"/>
    </row>
    <row r="82" spans="1:18" s="190" customFormat="1" ht="15.75" thickBot="1" x14ac:dyDescent="0.3">
      <c r="A82" s="1183"/>
      <c r="B82" s="1187"/>
      <c r="C82" s="580" t="s">
        <v>3014</v>
      </c>
      <c r="D82" s="1185" t="s">
        <v>299</v>
      </c>
      <c r="E82" s="1185"/>
      <c r="F82" s="1185"/>
      <c r="G82" s="1185"/>
      <c r="H82" s="1185"/>
      <c r="I82" s="1187"/>
      <c r="J82" s="1188"/>
      <c r="K82" s="1182"/>
      <c r="L82" s="1182"/>
      <c r="M82" s="1182"/>
      <c r="N82" s="1182"/>
      <c r="O82" s="1182"/>
      <c r="P82" s="1182"/>
      <c r="Q82" s="103"/>
      <c r="R82" s="103"/>
    </row>
    <row r="83" spans="1:18" s="190" customFormat="1" ht="15.75" thickBot="1" x14ac:dyDescent="0.3">
      <c r="A83" s="1183"/>
      <c r="B83" s="1140" t="s">
        <v>0</v>
      </c>
      <c r="C83" s="1693" t="s">
        <v>1</v>
      </c>
      <c r="D83" s="466" t="s">
        <v>840</v>
      </c>
      <c r="E83" s="466" t="s">
        <v>470</v>
      </c>
      <c r="F83" s="466" t="s">
        <v>471</v>
      </c>
      <c r="G83" s="466" t="s">
        <v>2</v>
      </c>
      <c r="H83" s="466" t="s">
        <v>298</v>
      </c>
      <c r="I83" s="1723" t="s">
        <v>116</v>
      </c>
      <c r="J83" s="1381" t="s">
        <v>117</v>
      </c>
      <c r="K83" s="1182"/>
      <c r="L83" s="1182"/>
      <c r="M83" s="1182"/>
      <c r="N83" s="1182"/>
      <c r="O83" s="1182"/>
      <c r="P83" s="1182"/>
      <c r="Q83" s="103"/>
      <c r="R83" s="103"/>
    </row>
    <row r="84" spans="1:18" s="190" customFormat="1" ht="18" x14ac:dyDescent="0.35">
      <c r="A84" s="1183"/>
      <c r="B84" s="1141" t="s">
        <v>2288</v>
      </c>
      <c r="C84" s="538" t="s">
        <v>2289</v>
      </c>
      <c r="D84" s="467">
        <v>0.9</v>
      </c>
      <c r="E84" s="468">
        <v>0</v>
      </c>
      <c r="F84" s="468">
        <v>10</v>
      </c>
      <c r="G84" s="468" t="s">
        <v>848</v>
      </c>
      <c r="H84" s="468">
        <v>2</v>
      </c>
      <c r="I84" s="1724" t="s">
        <v>2028</v>
      </c>
      <c r="J84" s="1725"/>
      <c r="K84" s="1182"/>
      <c r="L84" s="1182"/>
      <c r="M84" s="1182"/>
      <c r="N84" s="1182"/>
      <c r="O84" s="1182"/>
      <c r="P84" s="1182"/>
      <c r="Q84" s="103"/>
      <c r="R84" s="103"/>
    </row>
    <row r="85" spans="1:18" s="190" customFormat="1" ht="18" x14ac:dyDescent="0.35">
      <c r="A85" s="1183"/>
      <c r="B85" s="1142" t="s">
        <v>2291</v>
      </c>
      <c r="C85" s="470" t="s">
        <v>2558</v>
      </c>
      <c r="D85" s="471">
        <v>0.17</v>
      </c>
      <c r="E85" s="472">
        <v>0</v>
      </c>
      <c r="F85" s="472" t="s">
        <v>1257</v>
      </c>
      <c r="G85" s="472" t="s">
        <v>848</v>
      </c>
      <c r="H85" s="472">
        <v>2</v>
      </c>
      <c r="I85" s="470"/>
      <c r="J85" s="1726"/>
      <c r="K85" s="1182"/>
      <c r="L85" s="1182"/>
      <c r="M85" s="1182"/>
      <c r="N85" s="1182"/>
      <c r="O85" s="1182"/>
      <c r="P85" s="1182"/>
      <c r="Q85" s="103"/>
      <c r="R85" s="103"/>
    </row>
    <row r="86" spans="1:18" s="190" customFormat="1" ht="18" x14ac:dyDescent="0.35">
      <c r="A86" s="1183"/>
      <c r="B86" s="1143" t="s">
        <v>2290</v>
      </c>
      <c r="C86" s="539" t="s">
        <v>2559</v>
      </c>
      <c r="D86" s="469">
        <v>0.7</v>
      </c>
      <c r="E86" s="192">
        <v>0</v>
      </c>
      <c r="F86" s="192" t="s">
        <v>1257</v>
      </c>
      <c r="G86" s="192" t="s">
        <v>851</v>
      </c>
      <c r="H86" s="192">
        <v>2</v>
      </c>
      <c r="I86" s="191" t="s">
        <v>2029</v>
      </c>
      <c r="J86" s="1727"/>
      <c r="K86" s="1182"/>
      <c r="L86" s="1182"/>
      <c r="M86" s="1182"/>
      <c r="N86" s="1182"/>
      <c r="O86" s="1182"/>
      <c r="P86" s="1182"/>
      <c r="Q86" s="103"/>
      <c r="R86" s="103"/>
    </row>
    <row r="87" spans="1:18" s="190" customFormat="1" ht="18" x14ac:dyDescent="0.35">
      <c r="A87" s="1183"/>
      <c r="B87" s="1143" t="s">
        <v>2293</v>
      </c>
      <c r="C87" s="539" t="s">
        <v>2561</v>
      </c>
      <c r="D87" s="469">
        <v>12</v>
      </c>
      <c r="E87" s="192">
        <v>0</v>
      </c>
      <c r="F87" s="192" t="s">
        <v>1257</v>
      </c>
      <c r="G87" s="192" t="s">
        <v>1609</v>
      </c>
      <c r="H87" s="192">
        <v>3</v>
      </c>
      <c r="I87" s="191"/>
      <c r="J87" s="1728" t="s">
        <v>3507</v>
      </c>
      <c r="K87" s="1182"/>
      <c r="L87" s="1182"/>
      <c r="M87" s="1182"/>
      <c r="N87" s="1182"/>
      <c r="O87" s="1182"/>
      <c r="P87" s="1182"/>
      <c r="Q87" s="103"/>
      <c r="R87" s="103"/>
    </row>
    <row r="88" spans="1:18" s="190" customFormat="1" ht="18" x14ac:dyDescent="0.25">
      <c r="A88" s="1183"/>
      <c r="B88" s="1907" t="s">
        <v>4612</v>
      </c>
      <c r="C88" s="1908" t="s">
        <v>4614</v>
      </c>
      <c r="D88" s="1979">
        <v>2</v>
      </c>
      <c r="E88" s="1964">
        <v>0</v>
      </c>
      <c r="F88" s="1964">
        <v>2</v>
      </c>
      <c r="G88" s="1910" t="s">
        <v>282</v>
      </c>
      <c r="H88" s="1910">
        <v>2</v>
      </c>
      <c r="I88" s="1911"/>
      <c r="J88" s="1906" t="s">
        <v>4600</v>
      </c>
      <c r="K88" s="1182"/>
      <c r="L88" s="1182"/>
      <c r="M88" s="1182"/>
      <c r="N88" s="1182"/>
      <c r="O88" s="1182"/>
      <c r="P88" s="1182"/>
      <c r="Q88" s="103"/>
      <c r="R88" s="103"/>
    </row>
    <row r="89" spans="1:18" s="190" customFormat="1" ht="18" x14ac:dyDescent="0.35">
      <c r="A89" s="1183"/>
      <c r="B89" s="1143" t="s">
        <v>2292</v>
      </c>
      <c r="C89" s="539" t="s">
        <v>2560</v>
      </c>
      <c r="D89" s="469">
        <v>48</v>
      </c>
      <c r="E89" s="192">
        <v>0</v>
      </c>
      <c r="F89" s="192" t="s">
        <v>1257</v>
      </c>
      <c r="G89" s="192" t="s">
        <v>1609</v>
      </c>
      <c r="H89" s="192">
        <v>3</v>
      </c>
      <c r="I89" s="191"/>
      <c r="J89" s="1728" t="s">
        <v>3507</v>
      </c>
      <c r="K89" s="1182"/>
      <c r="L89" s="1182"/>
      <c r="M89" s="1182"/>
      <c r="N89" s="1182"/>
      <c r="O89" s="1182"/>
      <c r="P89" s="1182"/>
      <c r="Q89" s="103"/>
      <c r="R89" s="103"/>
    </row>
    <row r="90" spans="1:18" s="190" customFormat="1" ht="18" x14ac:dyDescent="0.25">
      <c r="A90" s="1183"/>
      <c r="B90" s="1907" t="s">
        <v>4613</v>
      </c>
      <c r="C90" s="1908" t="s">
        <v>4615</v>
      </c>
      <c r="D90" s="1979">
        <v>1</v>
      </c>
      <c r="E90" s="1964">
        <v>0</v>
      </c>
      <c r="F90" s="1964">
        <v>2</v>
      </c>
      <c r="G90" s="1910" t="s">
        <v>282</v>
      </c>
      <c r="H90" s="1910">
        <v>2</v>
      </c>
      <c r="I90" s="1911"/>
      <c r="J90" s="1906" t="s">
        <v>4600</v>
      </c>
      <c r="K90" s="1182"/>
      <c r="L90" s="1182"/>
      <c r="M90" s="1182"/>
      <c r="N90" s="1182"/>
      <c r="O90" s="1182"/>
      <c r="P90" s="1182"/>
      <c r="Q90" s="103"/>
      <c r="R90" s="103"/>
    </row>
    <row r="91" spans="1:18" s="190" customFormat="1" ht="18.75" customHeight="1" x14ac:dyDescent="0.25">
      <c r="A91" s="1183"/>
      <c r="B91" s="1144" t="s">
        <v>2295</v>
      </c>
      <c r="C91" s="540" t="s">
        <v>2563</v>
      </c>
      <c r="D91" s="1957">
        <v>1E-3</v>
      </c>
      <c r="E91" s="1910">
        <v>0</v>
      </c>
      <c r="F91" s="1910" t="s">
        <v>1257</v>
      </c>
      <c r="G91" s="1958" t="s">
        <v>4689</v>
      </c>
      <c r="H91" s="1910">
        <v>3</v>
      </c>
      <c r="I91" s="191"/>
      <c r="J91" s="1728" t="s">
        <v>3508</v>
      </c>
      <c r="K91" s="1182"/>
      <c r="L91" s="1182"/>
      <c r="M91" s="1182"/>
      <c r="N91" s="1182"/>
      <c r="O91" s="1182"/>
      <c r="P91" s="1182"/>
      <c r="Q91" s="103"/>
      <c r="R91" s="103"/>
    </row>
    <row r="92" spans="1:18" s="190" customFormat="1" ht="18.75" customHeight="1" x14ac:dyDescent="0.25">
      <c r="A92" s="1183"/>
      <c r="B92" s="1907" t="s">
        <v>4616</v>
      </c>
      <c r="C92" s="1908" t="s">
        <v>4619</v>
      </c>
      <c r="D92" s="1909">
        <v>1</v>
      </c>
      <c r="E92" s="1910">
        <v>0</v>
      </c>
      <c r="F92" s="1910">
        <v>2</v>
      </c>
      <c r="G92" s="1910" t="s">
        <v>282</v>
      </c>
      <c r="H92" s="1910">
        <v>2</v>
      </c>
      <c r="I92" s="1911"/>
      <c r="J92" s="1906" t="s">
        <v>4600</v>
      </c>
      <c r="K92" s="1182"/>
      <c r="L92" s="1182"/>
      <c r="M92" s="1182"/>
      <c r="N92" s="1182"/>
      <c r="O92" s="1182"/>
      <c r="P92" s="1182"/>
      <c r="Q92" s="103"/>
      <c r="R92" s="103"/>
    </row>
    <row r="93" spans="1:18" s="190" customFormat="1" ht="19.5" customHeight="1" x14ac:dyDescent="0.25">
      <c r="A93" s="1183"/>
      <c r="B93" s="1144" t="s">
        <v>2294</v>
      </c>
      <c r="C93" s="540" t="s">
        <v>2562</v>
      </c>
      <c r="D93" s="1959">
        <v>4.0000000000000001E-3</v>
      </c>
      <c r="E93" s="1910">
        <v>0</v>
      </c>
      <c r="F93" s="1958" t="s">
        <v>1257</v>
      </c>
      <c r="G93" s="1958" t="s">
        <v>4689</v>
      </c>
      <c r="H93" s="1958">
        <v>3</v>
      </c>
      <c r="I93" s="191"/>
      <c r="J93" s="1728" t="s">
        <v>3508</v>
      </c>
      <c r="K93" s="1182"/>
      <c r="L93" s="1182"/>
      <c r="M93" s="1182"/>
      <c r="N93" s="1182"/>
      <c r="O93" s="1182"/>
      <c r="P93" s="1182"/>
      <c r="Q93" s="103"/>
      <c r="R93" s="103"/>
    </row>
    <row r="94" spans="1:18" s="190" customFormat="1" ht="19.5" customHeight="1" x14ac:dyDescent="0.25">
      <c r="A94" s="1183"/>
      <c r="B94" s="1907" t="s">
        <v>4617</v>
      </c>
      <c r="C94" s="1908" t="s">
        <v>4618</v>
      </c>
      <c r="D94" s="1909">
        <v>0.3</v>
      </c>
      <c r="E94" s="1910">
        <v>0</v>
      </c>
      <c r="F94" s="1910">
        <v>2</v>
      </c>
      <c r="G94" s="1910" t="s">
        <v>282</v>
      </c>
      <c r="H94" s="1910">
        <v>2</v>
      </c>
      <c r="I94" s="1911"/>
      <c r="J94" s="1906" t="s">
        <v>4600</v>
      </c>
      <c r="K94" s="1182"/>
      <c r="L94" s="1182"/>
      <c r="M94" s="1182"/>
      <c r="N94" s="1182"/>
      <c r="O94" s="1182"/>
      <c r="P94" s="1182"/>
      <c r="Q94" s="103"/>
      <c r="R94" s="103"/>
    </row>
    <row r="95" spans="1:18" s="190" customFormat="1" ht="18.75" x14ac:dyDescent="0.35">
      <c r="A95" s="1183"/>
      <c r="B95" s="1143" t="s">
        <v>2296</v>
      </c>
      <c r="C95" s="541" t="s">
        <v>2564</v>
      </c>
      <c r="D95" s="424">
        <v>0.5</v>
      </c>
      <c r="E95" s="192">
        <v>0</v>
      </c>
      <c r="F95" s="192" t="s">
        <v>1257</v>
      </c>
      <c r="G95" s="192" t="s">
        <v>850</v>
      </c>
      <c r="H95" s="192">
        <v>2</v>
      </c>
      <c r="I95" s="191"/>
      <c r="J95" s="1727"/>
      <c r="K95" s="1182"/>
      <c r="L95" s="1182"/>
      <c r="M95" s="1182"/>
      <c r="N95" s="1182"/>
      <c r="O95" s="1182"/>
      <c r="P95" s="1182"/>
      <c r="Q95" s="103"/>
      <c r="R95" s="103"/>
    </row>
    <row r="96" spans="1:18" s="190" customFormat="1" ht="18.75" x14ac:dyDescent="0.35">
      <c r="A96" s="1183"/>
      <c r="B96" s="1143" t="s">
        <v>2297</v>
      </c>
      <c r="C96" s="541" t="s">
        <v>2565</v>
      </c>
      <c r="D96" s="424">
        <v>0.25</v>
      </c>
      <c r="E96" s="192">
        <v>0</v>
      </c>
      <c r="F96" s="192" t="s">
        <v>1257</v>
      </c>
      <c r="G96" s="192" t="s">
        <v>850</v>
      </c>
      <c r="H96" s="192">
        <v>2</v>
      </c>
      <c r="I96" s="1729" t="s">
        <v>2494</v>
      </c>
      <c r="J96" s="1727"/>
      <c r="K96" s="1182"/>
      <c r="L96" s="1182"/>
      <c r="M96" s="1182"/>
      <c r="N96" s="1182"/>
      <c r="O96" s="1182"/>
      <c r="P96" s="1182"/>
      <c r="Q96" s="103"/>
      <c r="R96" s="103"/>
    </row>
    <row r="97" spans="1:18" s="190" customFormat="1" ht="18" x14ac:dyDescent="0.35">
      <c r="A97" s="1183"/>
      <c r="B97" s="1143" t="s">
        <v>2298</v>
      </c>
      <c r="C97" s="541" t="s">
        <v>2566</v>
      </c>
      <c r="D97" s="424">
        <v>0.03</v>
      </c>
      <c r="E97" s="192">
        <v>0</v>
      </c>
      <c r="F97" s="192" t="s">
        <v>1257</v>
      </c>
      <c r="G97" s="192" t="s">
        <v>851</v>
      </c>
      <c r="H97" s="192">
        <v>2</v>
      </c>
      <c r="I97" s="191"/>
      <c r="J97" s="1727"/>
      <c r="K97" s="1182"/>
      <c r="L97" s="1182"/>
      <c r="M97" s="1182"/>
      <c r="N97" s="1182"/>
      <c r="O97" s="1182"/>
      <c r="P97" s="1182"/>
      <c r="Q97" s="103"/>
      <c r="R97" s="103"/>
    </row>
    <row r="98" spans="1:18" s="190" customFormat="1" ht="19.5" thickBot="1" x14ac:dyDescent="0.4">
      <c r="A98" s="1183"/>
      <c r="B98" s="1145" t="s">
        <v>2557</v>
      </c>
      <c r="C98" s="542" t="s">
        <v>2567</v>
      </c>
      <c r="D98" s="835">
        <v>9999</v>
      </c>
      <c r="E98" s="425">
        <v>0</v>
      </c>
      <c r="F98" s="425" t="s">
        <v>1257</v>
      </c>
      <c r="G98" s="594" t="s">
        <v>3018</v>
      </c>
      <c r="H98" s="425">
        <v>6</v>
      </c>
      <c r="I98" s="1730"/>
      <c r="J98" s="1731"/>
      <c r="K98" s="1182"/>
      <c r="L98" s="1182"/>
      <c r="M98" s="1182"/>
      <c r="N98" s="1182"/>
      <c r="O98" s="1182"/>
      <c r="P98" s="1182"/>
      <c r="Q98" s="103"/>
      <c r="R98" s="103"/>
    </row>
    <row r="99" spans="1:18" s="190" customFormat="1" ht="15.75" thickBot="1" x14ac:dyDescent="0.3">
      <c r="A99" s="1183"/>
      <c r="B99" s="1189"/>
      <c r="C99" s="1210"/>
      <c r="D99" s="1234"/>
      <c r="E99" s="1244"/>
      <c r="F99" s="1244"/>
      <c r="G99" s="1244"/>
      <c r="H99" s="1244"/>
      <c r="I99" s="1210"/>
      <c r="J99" s="1188"/>
      <c r="K99" s="1182"/>
      <c r="L99" s="1182"/>
      <c r="M99" s="1182"/>
      <c r="N99" s="1182"/>
      <c r="O99" s="1182"/>
      <c r="P99" s="1182"/>
      <c r="Q99" s="103"/>
      <c r="R99" s="103"/>
    </row>
    <row r="100" spans="1:18" s="190" customFormat="1" ht="15.75" thickBot="1" x14ac:dyDescent="0.3">
      <c r="A100" s="1183"/>
      <c r="B100" s="1187"/>
      <c r="C100" s="580" t="s">
        <v>3015</v>
      </c>
      <c r="D100" s="1185" t="s">
        <v>299</v>
      </c>
      <c r="E100" s="1185"/>
      <c r="F100" s="1185"/>
      <c r="G100" s="1185"/>
      <c r="H100" s="1185"/>
      <c r="I100" s="1187"/>
      <c r="J100" s="1188"/>
      <c r="K100" s="1182"/>
      <c r="L100" s="1182"/>
      <c r="M100" s="1182"/>
      <c r="N100" s="1182"/>
      <c r="O100" s="1182"/>
      <c r="P100" s="1182"/>
      <c r="Q100" s="103"/>
      <c r="R100" s="103"/>
    </row>
    <row r="101" spans="1:18" s="190" customFormat="1" ht="15.75" thickBot="1" x14ac:dyDescent="0.3">
      <c r="A101" s="1183"/>
      <c r="B101" s="1140" t="s">
        <v>0</v>
      </c>
      <c r="C101" s="1693" t="s">
        <v>1</v>
      </c>
      <c r="D101" s="466" t="s">
        <v>840</v>
      </c>
      <c r="E101" s="466" t="s">
        <v>470</v>
      </c>
      <c r="F101" s="466" t="s">
        <v>471</v>
      </c>
      <c r="G101" s="466" t="s">
        <v>2</v>
      </c>
      <c r="H101" s="466" t="s">
        <v>298</v>
      </c>
      <c r="I101" s="1723" t="s">
        <v>116</v>
      </c>
      <c r="J101" s="1381" t="s">
        <v>117</v>
      </c>
      <c r="K101" s="1182"/>
      <c r="L101" s="1182"/>
      <c r="M101" s="1182"/>
      <c r="N101" s="1182"/>
      <c r="O101" s="1182"/>
      <c r="P101" s="1182"/>
      <c r="Q101" s="103"/>
      <c r="R101" s="103"/>
    </row>
    <row r="102" spans="1:18" s="190" customFormat="1" ht="18" x14ac:dyDescent="0.35">
      <c r="A102" s="1183"/>
      <c r="B102" s="2232" t="s">
        <v>2299</v>
      </c>
      <c r="C102" s="2233" t="s">
        <v>2300</v>
      </c>
      <c r="D102" s="2234">
        <v>0.65</v>
      </c>
      <c r="E102" s="2235">
        <v>0</v>
      </c>
      <c r="F102" s="2235" t="s">
        <v>1257</v>
      </c>
      <c r="G102" s="2235" t="s">
        <v>848</v>
      </c>
      <c r="H102" s="2235">
        <v>2</v>
      </c>
      <c r="I102" s="2236" t="s">
        <v>2027</v>
      </c>
      <c r="J102" s="2237"/>
      <c r="K102" s="1182"/>
      <c r="L102" s="1182"/>
      <c r="M102" s="1182"/>
      <c r="N102" s="1182"/>
      <c r="O102" s="1182"/>
      <c r="P102" s="1182"/>
      <c r="Q102" s="103"/>
      <c r="R102" s="103"/>
    </row>
    <row r="103" spans="1:18" s="190" customFormat="1" ht="18" x14ac:dyDescent="0.35">
      <c r="A103" s="1183"/>
      <c r="B103" s="2279" t="s">
        <v>2302</v>
      </c>
      <c r="C103" s="2238" t="s">
        <v>2569</v>
      </c>
      <c r="D103" s="2239">
        <v>0.15</v>
      </c>
      <c r="E103" s="2240">
        <v>0</v>
      </c>
      <c r="F103" s="2240" t="s">
        <v>1257</v>
      </c>
      <c r="G103" s="2240" t="s">
        <v>848</v>
      </c>
      <c r="H103" s="2240">
        <v>2</v>
      </c>
      <c r="I103" s="2241"/>
      <c r="J103" s="2280"/>
      <c r="K103" s="1182"/>
      <c r="L103" s="1182"/>
      <c r="M103" s="1182"/>
      <c r="N103" s="1182"/>
      <c r="O103" s="1182"/>
      <c r="P103" s="1182"/>
      <c r="Q103" s="103"/>
      <c r="R103" s="103"/>
    </row>
    <row r="104" spans="1:18" s="190" customFormat="1" ht="18" x14ac:dyDescent="0.35">
      <c r="A104" s="1183"/>
      <c r="B104" s="2279" t="s">
        <v>2301</v>
      </c>
      <c r="C104" s="2238" t="s">
        <v>2570</v>
      </c>
      <c r="D104" s="2239">
        <v>0.1</v>
      </c>
      <c r="E104" s="2240">
        <v>0</v>
      </c>
      <c r="F104" s="2240" t="s">
        <v>1257</v>
      </c>
      <c r="G104" s="2240" t="s">
        <v>851</v>
      </c>
      <c r="H104" s="2240">
        <v>2</v>
      </c>
      <c r="I104" s="2241" t="s">
        <v>2026</v>
      </c>
      <c r="J104" s="2280"/>
      <c r="K104" s="1182"/>
      <c r="L104" s="1182"/>
      <c r="M104" s="1182"/>
      <c r="N104" s="1182"/>
      <c r="O104" s="1182"/>
      <c r="P104" s="1182"/>
      <c r="Q104" s="103"/>
      <c r="R104" s="103"/>
    </row>
    <row r="105" spans="1:18" s="190" customFormat="1" ht="18" x14ac:dyDescent="0.35">
      <c r="A105" s="1183"/>
      <c r="B105" s="2279" t="s">
        <v>2303</v>
      </c>
      <c r="C105" s="2238" t="s">
        <v>2571</v>
      </c>
      <c r="D105" s="2239">
        <v>0.3</v>
      </c>
      <c r="E105" s="2240">
        <v>0</v>
      </c>
      <c r="F105" s="2240" t="s">
        <v>1257</v>
      </c>
      <c r="G105" s="2240" t="s">
        <v>1609</v>
      </c>
      <c r="H105" s="2240">
        <v>2</v>
      </c>
      <c r="I105" s="2241"/>
      <c r="J105" s="2280" t="s">
        <v>3507</v>
      </c>
      <c r="K105" s="1182"/>
      <c r="L105" s="1182"/>
      <c r="M105" s="1182"/>
      <c r="N105" s="1182"/>
      <c r="O105" s="1182"/>
      <c r="P105" s="1182"/>
      <c r="Q105" s="103"/>
      <c r="R105" s="103"/>
    </row>
    <row r="106" spans="1:18" s="190" customFormat="1" ht="18" x14ac:dyDescent="0.35">
      <c r="A106" s="1183"/>
      <c r="B106" s="2279" t="s">
        <v>4678</v>
      </c>
      <c r="C106" s="2238" t="s">
        <v>4679</v>
      </c>
      <c r="D106" s="2242">
        <v>2</v>
      </c>
      <c r="E106" s="2240">
        <v>0</v>
      </c>
      <c r="F106" s="2240">
        <v>2</v>
      </c>
      <c r="G106" s="2240" t="s">
        <v>282</v>
      </c>
      <c r="H106" s="2240">
        <v>2</v>
      </c>
      <c r="I106" s="2241"/>
      <c r="J106" s="2280" t="s">
        <v>4600</v>
      </c>
      <c r="K106" s="1182"/>
      <c r="L106" s="1182"/>
      <c r="M106" s="1182"/>
      <c r="N106" s="1182"/>
      <c r="O106" s="1182"/>
      <c r="P106" s="1182"/>
      <c r="Q106" s="103"/>
      <c r="R106" s="103"/>
    </row>
    <row r="107" spans="1:18" s="190" customFormat="1" ht="18.75" x14ac:dyDescent="0.35">
      <c r="A107" s="1183"/>
      <c r="B107" s="2279" t="s">
        <v>2304</v>
      </c>
      <c r="C107" s="2243" t="s">
        <v>2572</v>
      </c>
      <c r="D107" s="2244">
        <v>2.0000000000000002E-5</v>
      </c>
      <c r="E107" s="2240">
        <v>0</v>
      </c>
      <c r="F107" s="2240" t="s">
        <v>1257</v>
      </c>
      <c r="G107" s="2240" t="s">
        <v>1972</v>
      </c>
      <c r="H107" s="2240">
        <v>2</v>
      </c>
      <c r="I107" s="2241"/>
      <c r="J107" s="2280" t="s">
        <v>3508</v>
      </c>
      <c r="K107" s="1182"/>
      <c r="L107" s="1182"/>
      <c r="M107" s="1182"/>
      <c r="N107" s="1182"/>
      <c r="O107" s="1182"/>
      <c r="P107" s="1182"/>
      <c r="Q107" s="103"/>
      <c r="R107" s="103"/>
    </row>
    <row r="108" spans="1:18" s="190" customFormat="1" ht="18" x14ac:dyDescent="0.35">
      <c r="A108" s="1183"/>
      <c r="B108" s="2279" t="s">
        <v>4680</v>
      </c>
      <c r="C108" s="2243" t="s">
        <v>4681</v>
      </c>
      <c r="D108" s="2242">
        <v>2</v>
      </c>
      <c r="E108" s="2240">
        <v>0</v>
      </c>
      <c r="F108" s="2240">
        <v>2</v>
      </c>
      <c r="G108" s="2240" t="s">
        <v>282</v>
      </c>
      <c r="H108" s="2240">
        <v>2</v>
      </c>
      <c r="I108" s="2241"/>
      <c r="J108" s="2280" t="s">
        <v>4600</v>
      </c>
      <c r="K108" s="1182"/>
      <c r="L108" s="1182"/>
      <c r="M108" s="1182"/>
      <c r="N108" s="1182"/>
      <c r="O108" s="1182"/>
      <c r="P108" s="1182"/>
      <c r="Q108" s="103"/>
      <c r="R108" s="103"/>
    </row>
    <row r="109" spans="1:18" s="190" customFormat="1" ht="18.75" x14ac:dyDescent="0.35">
      <c r="A109" s="1183"/>
      <c r="B109" s="2279" t="s">
        <v>2305</v>
      </c>
      <c r="C109" s="2238" t="s">
        <v>2573</v>
      </c>
      <c r="D109" s="2239">
        <v>0.5</v>
      </c>
      <c r="E109" s="2240">
        <v>0</v>
      </c>
      <c r="F109" s="2240" t="s">
        <v>1257</v>
      </c>
      <c r="G109" s="2240" t="s">
        <v>850</v>
      </c>
      <c r="H109" s="2240">
        <v>2</v>
      </c>
      <c r="I109" s="2241"/>
      <c r="J109" s="2280"/>
      <c r="K109" s="1182"/>
      <c r="L109" s="1182"/>
      <c r="M109" s="1182"/>
      <c r="N109" s="1182"/>
      <c r="O109" s="1182"/>
      <c r="P109" s="1182"/>
      <c r="Q109" s="103"/>
      <c r="R109" s="103"/>
    </row>
    <row r="110" spans="1:18" s="190" customFormat="1" ht="18.75" x14ac:dyDescent="0.35">
      <c r="A110" s="1183"/>
      <c r="B110" s="2279" t="s">
        <v>2306</v>
      </c>
      <c r="C110" s="2238" t="s">
        <v>2574</v>
      </c>
      <c r="D110" s="2239">
        <v>0.25</v>
      </c>
      <c r="E110" s="2240">
        <v>0</v>
      </c>
      <c r="F110" s="2240" t="s">
        <v>1257</v>
      </c>
      <c r="G110" s="2240" t="s">
        <v>850</v>
      </c>
      <c r="H110" s="2240">
        <v>2</v>
      </c>
      <c r="I110" s="2241" t="s">
        <v>2495</v>
      </c>
      <c r="J110" s="2280"/>
      <c r="K110" s="1182"/>
      <c r="L110" s="1182"/>
      <c r="M110" s="1182"/>
      <c r="N110" s="1182"/>
      <c r="O110" s="1182"/>
      <c r="P110" s="1182"/>
      <c r="Q110" s="103"/>
      <c r="R110" s="103"/>
    </row>
    <row r="111" spans="1:18" s="190" customFormat="1" ht="18" x14ac:dyDescent="0.35">
      <c r="A111" s="1183"/>
      <c r="B111" s="2279" t="s">
        <v>2307</v>
      </c>
      <c r="C111" s="2238" t="s">
        <v>2575</v>
      </c>
      <c r="D111" s="2239">
        <v>0.03</v>
      </c>
      <c r="E111" s="2240">
        <v>0</v>
      </c>
      <c r="F111" s="2240" t="s">
        <v>1257</v>
      </c>
      <c r="G111" s="2240" t="s">
        <v>851</v>
      </c>
      <c r="H111" s="2240">
        <v>2</v>
      </c>
      <c r="I111" s="2241"/>
      <c r="J111" s="2280"/>
      <c r="K111" s="1182"/>
      <c r="L111" s="1182"/>
      <c r="M111" s="1182"/>
      <c r="N111" s="1182"/>
      <c r="O111" s="1182"/>
      <c r="P111" s="1182"/>
      <c r="Q111" s="103"/>
      <c r="R111" s="103"/>
    </row>
    <row r="112" spans="1:18" s="190" customFormat="1" ht="19.5" thickBot="1" x14ac:dyDescent="0.4">
      <c r="A112" s="1183"/>
      <c r="B112" s="2245" t="s">
        <v>2568</v>
      </c>
      <c r="C112" s="2281" t="s">
        <v>2576</v>
      </c>
      <c r="D112" s="2282">
        <v>9999</v>
      </c>
      <c r="E112" s="2283">
        <v>0</v>
      </c>
      <c r="F112" s="2283" t="s">
        <v>1257</v>
      </c>
      <c r="G112" s="2283" t="s">
        <v>2224</v>
      </c>
      <c r="H112" s="2283">
        <v>4</v>
      </c>
      <c r="I112" s="2284"/>
      <c r="J112" s="2246" t="s">
        <v>3508</v>
      </c>
      <c r="K112" s="1182"/>
      <c r="L112" s="1182"/>
      <c r="M112" s="1182"/>
      <c r="N112" s="1182"/>
      <c r="O112" s="1182"/>
      <c r="P112" s="1182"/>
      <c r="Q112" s="103"/>
      <c r="R112" s="103"/>
    </row>
    <row r="113" spans="1:18" s="190" customFormat="1" ht="15.75" thickBot="1" x14ac:dyDescent="0.3">
      <c r="A113" s="1183"/>
      <c r="B113" s="1189"/>
      <c r="C113" s="1210"/>
      <c r="D113" s="1234"/>
      <c r="E113" s="1244"/>
      <c r="F113" s="1244"/>
      <c r="G113" s="1244"/>
      <c r="H113" s="1244"/>
      <c r="I113" s="1210"/>
      <c r="J113" s="1188"/>
      <c r="K113" s="1182"/>
      <c r="L113" s="1182"/>
      <c r="M113" s="1182"/>
      <c r="N113" s="1182"/>
      <c r="O113" s="1182"/>
      <c r="P113" s="1182"/>
      <c r="Q113" s="103"/>
      <c r="R113" s="103"/>
    </row>
    <row r="114" spans="1:18" s="190" customFormat="1" ht="15.75" thickBot="1" x14ac:dyDescent="0.3">
      <c r="A114" s="1183"/>
      <c r="B114" s="1187"/>
      <c r="C114" s="580" t="s">
        <v>3016</v>
      </c>
      <c r="D114" s="1185" t="s">
        <v>299</v>
      </c>
      <c r="E114" s="1185"/>
      <c r="F114" s="1185"/>
      <c r="G114" s="1185"/>
      <c r="H114" s="1185"/>
      <c r="I114" s="1187"/>
      <c r="J114" s="1188"/>
      <c r="K114" s="1182"/>
      <c r="L114" s="1182"/>
      <c r="M114" s="1182"/>
      <c r="N114" s="1182"/>
      <c r="O114" s="1182"/>
      <c r="P114" s="1182"/>
      <c r="Q114" s="103"/>
      <c r="R114" s="103"/>
    </row>
    <row r="115" spans="1:18" s="117" customFormat="1" ht="15.75" thickBot="1" x14ac:dyDescent="0.3">
      <c r="A115" s="1184"/>
      <c r="B115" s="1140" t="s">
        <v>0</v>
      </c>
      <c r="C115" s="1693" t="s">
        <v>1</v>
      </c>
      <c r="D115" s="466" t="s">
        <v>840</v>
      </c>
      <c r="E115" s="466" t="s">
        <v>470</v>
      </c>
      <c r="F115" s="466" t="s">
        <v>471</v>
      </c>
      <c r="G115" s="466" t="s">
        <v>2</v>
      </c>
      <c r="H115" s="466" t="s">
        <v>298</v>
      </c>
      <c r="I115" s="1723" t="s">
        <v>116</v>
      </c>
      <c r="J115" s="1732" t="s">
        <v>117</v>
      </c>
      <c r="K115" s="1182"/>
      <c r="L115" s="1182"/>
      <c r="M115" s="1182"/>
      <c r="N115" s="1182"/>
      <c r="O115" s="1182"/>
      <c r="P115" s="1182"/>
      <c r="Q115" s="103"/>
      <c r="R115" s="103"/>
    </row>
    <row r="116" spans="1:18" s="190" customFormat="1" ht="18" x14ac:dyDescent="0.35">
      <c r="A116" s="1183"/>
      <c r="B116" s="1146" t="s">
        <v>2308</v>
      </c>
      <c r="C116" s="543" t="s">
        <v>2578</v>
      </c>
      <c r="D116" s="473">
        <v>0.1</v>
      </c>
      <c r="E116" s="473">
        <v>0</v>
      </c>
      <c r="F116" s="473" t="s">
        <v>1257</v>
      </c>
      <c r="G116" s="473" t="s">
        <v>848</v>
      </c>
      <c r="H116" s="473">
        <v>3</v>
      </c>
      <c r="I116" s="1733"/>
      <c r="J116" s="1952"/>
      <c r="K116" s="1182"/>
      <c r="L116" s="1182"/>
      <c r="M116" s="1182"/>
      <c r="N116" s="1182"/>
      <c r="O116" s="1182"/>
      <c r="P116" s="1182"/>
      <c r="Q116" s="103"/>
      <c r="R116" s="103"/>
    </row>
    <row r="117" spans="1:18" s="190" customFormat="1" ht="18" x14ac:dyDescent="0.35">
      <c r="A117" s="1183"/>
      <c r="B117" s="1147" t="s">
        <v>2309</v>
      </c>
      <c r="C117" s="544" t="s">
        <v>2579</v>
      </c>
      <c r="D117" s="475">
        <v>1.9E-2</v>
      </c>
      <c r="E117" s="475">
        <v>0</v>
      </c>
      <c r="F117" s="475" t="s">
        <v>1257</v>
      </c>
      <c r="G117" s="475" t="s">
        <v>848</v>
      </c>
      <c r="H117" s="475">
        <v>3</v>
      </c>
      <c r="I117" s="474"/>
      <c r="J117" s="1953"/>
      <c r="K117" s="1182"/>
      <c r="L117" s="1182"/>
      <c r="M117" s="1182"/>
      <c r="N117" s="1182"/>
      <c r="O117" s="1182"/>
      <c r="P117" s="1182"/>
      <c r="Q117" s="103"/>
      <c r="R117" s="103"/>
    </row>
    <row r="118" spans="1:18" s="190" customFormat="1" ht="18" x14ac:dyDescent="0.35">
      <c r="A118" s="1183"/>
      <c r="B118" s="1147" t="s">
        <v>2310</v>
      </c>
      <c r="C118" s="544" t="s">
        <v>2580</v>
      </c>
      <c r="D118" s="475">
        <v>2</v>
      </c>
      <c r="E118" s="475">
        <v>0</v>
      </c>
      <c r="F118" s="475" t="s">
        <v>1257</v>
      </c>
      <c r="G118" s="475" t="s">
        <v>851</v>
      </c>
      <c r="H118" s="475">
        <v>1</v>
      </c>
      <c r="I118" s="474"/>
      <c r="J118" s="1953"/>
      <c r="K118" s="1182"/>
      <c r="L118" s="1182"/>
      <c r="M118" s="1182"/>
      <c r="N118" s="1182"/>
      <c r="O118" s="1182"/>
      <c r="P118" s="1182"/>
      <c r="Q118" s="103"/>
      <c r="R118" s="103"/>
    </row>
    <row r="119" spans="1:18" s="190" customFormat="1" ht="18" x14ac:dyDescent="0.35">
      <c r="A119" s="1183"/>
      <c r="B119" s="1147" t="s">
        <v>2311</v>
      </c>
      <c r="C119" s="544" t="s">
        <v>2581</v>
      </c>
      <c r="D119" s="475">
        <v>1</v>
      </c>
      <c r="E119" s="475">
        <v>0</v>
      </c>
      <c r="F119" s="475" t="s">
        <v>1257</v>
      </c>
      <c r="G119" s="475" t="s">
        <v>851</v>
      </c>
      <c r="H119" s="475">
        <v>2</v>
      </c>
      <c r="I119" s="474"/>
      <c r="J119" s="1953"/>
      <c r="K119" s="1182"/>
      <c r="L119" s="1182"/>
      <c r="M119" s="1182"/>
      <c r="N119" s="1182"/>
      <c r="O119" s="1182"/>
      <c r="P119" s="1182"/>
      <c r="Q119" s="103"/>
      <c r="R119" s="103"/>
    </row>
    <row r="120" spans="1:18" s="190" customFormat="1" ht="18" x14ac:dyDescent="0.35">
      <c r="A120" s="1183"/>
      <c r="B120" s="1147" t="s">
        <v>2312</v>
      </c>
      <c r="C120" s="544" t="s">
        <v>2582</v>
      </c>
      <c r="D120" s="475">
        <v>3</v>
      </c>
      <c r="E120" s="475">
        <v>0</v>
      </c>
      <c r="F120" s="475" t="s">
        <v>1257</v>
      </c>
      <c r="G120" s="475" t="s">
        <v>1609</v>
      </c>
      <c r="H120" s="475">
        <v>6</v>
      </c>
      <c r="I120" s="474"/>
      <c r="J120" s="1954" t="s">
        <v>3507</v>
      </c>
      <c r="K120" s="1182"/>
      <c r="L120" s="1182"/>
      <c r="M120" s="1182"/>
      <c r="N120" s="1182"/>
      <c r="O120" s="1182"/>
      <c r="P120" s="1182"/>
      <c r="Q120" s="103"/>
      <c r="R120" s="103"/>
    </row>
    <row r="121" spans="1:18" s="190" customFormat="1" ht="18" x14ac:dyDescent="0.35">
      <c r="A121" s="1183"/>
      <c r="B121" s="1949" t="s">
        <v>4671</v>
      </c>
      <c r="C121" s="1950" t="s">
        <v>4672</v>
      </c>
      <c r="D121" s="1980">
        <v>2</v>
      </c>
      <c r="E121" s="1951">
        <v>0</v>
      </c>
      <c r="F121" s="1951">
        <v>2</v>
      </c>
      <c r="G121" s="1951" t="s">
        <v>282</v>
      </c>
      <c r="H121" s="1951">
        <v>2</v>
      </c>
      <c r="I121" s="1950"/>
      <c r="J121" s="1955" t="s">
        <v>4600</v>
      </c>
      <c r="K121" s="1182"/>
      <c r="L121" s="1182"/>
      <c r="M121" s="1182"/>
      <c r="N121" s="1182"/>
      <c r="O121" s="1182"/>
      <c r="P121" s="1182"/>
      <c r="Q121" s="103"/>
      <c r="R121" s="103"/>
    </row>
    <row r="122" spans="1:18" s="190" customFormat="1" ht="18.75" x14ac:dyDescent="0.25">
      <c r="A122" s="1183"/>
      <c r="B122" s="1148" t="s">
        <v>2313</v>
      </c>
      <c r="C122" s="544" t="s">
        <v>2583</v>
      </c>
      <c r="D122" s="475">
        <v>2.0000000000000001E-4</v>
      </c>
      <c r="E122" s="475">
        <v>0</v>
      </c>
      <c r="F122" s="475" t="s">
        <v>1257</v>
      </c>
      <c r="G122" s="475" t="s">
        <v>1972</v>
      </c>
      <c r="H122" s="475">
        <v>6</v>
      </c>
      <c r="I122" s="474"/>
      <c r="J122" s="1954" t="s">
        <v>3508</v>
      </c>
      <c r="K122" s="1182"/>
      <c r="L122" s="1182"/>
      <c r="M122" s="1182"/>
      <c r="N122" s="1182"/>
      <c r="O122" s="1182"/>
      <c r="P122" s="1182"/>
      <c r="Q122" s="103"/>
      <c r="R122" s="103"/>
    </row>
    <row r="123" spans="1:18" s="190" customFormat="1" ht="18" x14ac:dyDescent="0.35">
      <c r="A123" s="1183"/>
      <c r="B123" s="1949" t="s">
        <v>4673</v>
      </c>
      <c r="C123" s="1950" t="s">
        <v>4674</v>
      </c>
      <c r="D123" s="1980">
        <v>2</v>
      </c>
      <c r="E123" s="1951">
        <v>0</v>
      </c>
      <c r="F123" s="1951">
        <v>2</v>
      </c>
      <c r="G123" s="1951" t="s">
        <v>282</v>
      </c>
      <c r="H123" s="1951">
        <v>2</v>
      </c>
      <c r="I123" s="1950"/>
      <c r="J123" s="1955" t="s">
        <v>4600</v>
      </c>
      <c r="K123" s="1182"/>
      <c r="L123" s="1182"/>
      <c r="M123" s="1182"/>
      <c r="N123" s="1182"/>
      <c r="O123" s="1182"/>
      <c r="P123" s="1182"/>
      <c r="Q123" s="103"/>
      <c r="R123" s="103"/>
    </row>
    <row r="124" spans="1:18" s="190" customFormat="1" ht="18.75" x14ac:dyDescent="0.35">
      <c r="A124" s="1183"/>
      <c r="B124" s="1147" t="s">
        <v>3628</v>
      </c>
      <c r="C124" s="544" t="s">
        <v>3629</v>
      </c>
      <c r="D124" s="475">
        <v>0.4</v>
      </c>
      <c r="E124" s="475">
        <v>0</v>
      </c>
      <c r="F124" s="475" t="s">
        <v>1257</v>
      </c>
      <c r="G124" s="475" t="s">
        <v>850</v>
      </c>
      <c r="H124" s="475">
        <v>2</v>
      </c>
      <c r="I124" s="474"/>
      <c r="J124" s="1953"/>
      <c r="K124" s="1182"/>
      <c r="L124" s="1182"/>
      <c r="M124" s="1182"/>
      <c r="N124" s="1182"/>
      <c r="O124" s="1182"/>
      <c r="P124" s="1182"/>
      <c r="Q124" s="103"/>
      <c r="R124" s="103"/>
    </row>
    <row r="125" spans="1:18" s="190" customFormat="1" ht="18" x14ac:dyDescent="0.35">
      <c r="A125" s="1183"/>
      <c r="B125" s="1147" t="s">
        <v>2314</v>
      </c>
      <c r="C125" s="544" t="s">
        <v>2584</v>
      </c>
      <c r="D125" s="475">
        <v>0.1</v>
      </c>
      <c r="E125" s="475">
        <v>0</v>
      </c>
      <c r="F125" s="475" t="s">
        <v>1257</v>
      </c>
      <c r="G125" s="475" t="s">
        <v>851</v>
      </c>
      <c r="H125" s="475">
        <v>2</v>
      </c>
      <c r="I125" s="474"/>
      <c r="J125" s="1953"/>
      <c r="K125" s="1182"/>
      <c r="L125" s="1182"/>
      <c r="M125" s="1182"/>
      <c r="N125" s="1182"/>
      <c r="O125" s="1182"/>
      <c r="P125" s="1182"/>
      <c r="Q125" s="103"/>
      <c r="R125" s="103"/>
    </row>
    <row r="126" spans="1:18" s="190" customFormat="1" ht="19.5" thickBot="1" x14ac:dyDescent="0.4">
      <c r="A126" s="1183"/>
      <c r="B126" s="1149" t="s">
        <v>2577</v>
      </c>
      <c r="C126" s="476" t="s">
        <v>2585</v>
      </c>
      <c r="D126" s="477">
        <v>1</v>
      </c>
      <c r="E126" s="477">
        <v>0</v>
      </c>
      <c r="F126" s="477" t="s">
        <v>1257</v>
      </c>
      <c r="G126" s="595" t="s">
        <v>3018</v>
      </c>
      <c r="H126" s="477">
        <v>1</v>
      </c>
      <c r="I126" s="476"/>
      <c r="J126" s="1956"/>
      <c r="K126" s="1182"/>
      <c r="L126" s="1182"/>
      <c r="M126" s="1182"/>
      <c r="N126" s="1182"/>
      <c r="O126" s="1182"/>
      <c r="P126" s="1182"/>
      <c r="Q126" s="103"/>
      <c r="R126" s="103"/>
    </row>
    <row r="127" spans="1:18" s="103" customFormat="1" x14ac:dyDescent="0.25">
      <c r="A127" s="1182"/>
      <c r="B127" s="1187"/>
      <c r="C127" s="1210"/>
      <c r="D127" s="1235"/>
      <c r="E127" s="1244"/>
      <c r="F127" s="1244"/>
      <c r="G127" s="1244"/>
      <c r="H127" s="1244"/>
      <c r="I127" s="1210"/>
      <c r="J127" s="1188"/>
      <c r="K127" s="1182"/>
      <c r="L127" s="1182"/>
      <c r="M127" s="1182"/>
      <c r="N127" s="1182"/>
      <c r="O127" s="1182"/>
      <c r="P127" s="1182"/>
    </row>
    <row r="128" spans="1:18" s="103" customFormat="1" ht="15.75" thickBot="1" x14ac:dyDescent="0.3">
      <c r="A128" s="1182"/>
      <c r="B128" s="1187"/>
      <c r="C128" s="1210"/>
      <c r="D128" s="1235"/>
      <c r="E128" s="1244"/>
      <c r="F128" s="1244"/>
      <c r="G128" s="1244"/>
      <c r="H128" s="1244"/>
      <c r="I128" s="1210"/>
      <c r="J128" s="1188"/>
      <c r="K128" s="1182"/>
      <c r="L128" s="1182"/>
      <c r="M128" s="1182"/>
      <c r="N128" s="1182"/>
      <c r="O128" s="1182"/>
      <c r="P128" s="1182"/>
    </row>
    <row r="129" spans="1:16" s="103" customFormat="1" ht="15.75" thickBot="1" x14ac:dyDescent="0.3">
      <c r="A129" s="1182"/>
      <c r="B129" s="1187"/>
      <c r="C129" s="439" t="s">
        <v>2218</v>
      </c>
      <c r="D129" s="1185" t="s">
        <v>299</v>
      </c>
      <c r="E129" s="1185"/>
      <c r="F129" s="1185"/>
      <c r="G129" s="1185"/>
      <c r="H129" s="1185"/>
      <c r="I129" s="1187"/>
      <c r="J129" s="1188"/>
      <c r="K129" s="1182"/>
      <c r="L129" s="1182"/>
      <c r="M129" s="1182"/>
      <c r="N129" s="1182"/>
      <c r="O129" s="1182"/>
      <c r="P129" s="1182"/>
    </row>
    <row r="130" spans="1:16" s="103" customFormat="1" ht="15.75" thickBot="1" x14ac:dyDescent="0.3">
      <c r="A130" s="1182"/>
      <c r="B130" s="283" t="s">
        <v>0</v>
      </c>
      <c r="C130" s="286" t="s">
        <v>1</v>
      </c>
      <c r="D130" s="288" t="s">
        <v>840</v>
      </c>
      <c r="E130" s="288" t="s">
        <v>470</v>
      </c>
      <c r="F130" s="288" t="s">
        <v>471</v>
      </c>
      <c r="G130" s="288" t="s">
        <v>2</v>
      </c>
      <c r="H130" s="288" t="s">
        <v>298</v>
      </c>
      <c r="I130" s="286" t="s">
        <v>116</v>
      </c>
      <c r="J130" s="1702" t="s">
        <v>117</v>
      </c>
      <c r="K130" s="1182"/>
      <c r="L130" s="1182"/>
      <c r="M130" s="1182"/>
      <c r="N130" s="1182"/>
      <c r="O130" s="1182"/>
      <c r="P130" s="1182"/>
    </row>
    <row r="131" spans="1:16" s="103" customFormat="1" ht="18" x14ac:dyDescent="0.25">
      <c r="A131" s="1182"/>
      <c r="B131" s="1150" t="s">
        <v>1194</v>
      </c>
      <c r="C131" s="545" t="s">
        <v>304</v>
      </c>
      <c r="D131" s="193">
        <v>0.3</v>
      </c>
      <c r="E131" s="193">
        <v>0</v>
      </c>
      <c r="F131" s="193" t="s">
        <v>1257</v>
      </c>
      <c r="G131" s="193" t="s">
        <v>443</v>
      </c>
      <c r="H131" s="193">
        <v>1</v>
      </c>
      <c r="I131" s="1735"/>
      <c r="J131" s="1736"/>
      <c r="K131" s="1182"/>
      <c r="L131" s="1182"/>
      <c r="M131" s="1182"/>
      <c r="N131" s="1182"/>
      <c r="O131" s="1182"/>
      <c r="P131" s="1182"/>
    </row>
    <row r="132" spans="1:16" s="103" customFormat="1" ht="18" x14ac:dyDescent="0.25">
      <c r="A132" s="1182"/>
      <c r="B132" s="181" t="s">
        <v>1195</v>
      </c>
      <c r="C132" s="546" t="s">
        <v>2587</v>
      </c>
      <c r="D132" s="183">
        <v>0.03</v>
      </c>
      <c r="E132" s="183">
        <v>0</v>
      </c>
      <c r="F132" s="183" t="s">
        <v>1257</v>
      </c>
      <c r="G132" s="183" t="s">
        <v>443</v>
      </c>
      <c r="H132" s="183">
        <v>1</v>
      </c>
      <c r="I132" s="182"/>
      <c r="J132" s="188"/>
      <c r="K132" s="1182"/>
      <c r="L132" s="1182"/>
      <c r="M132" s="1182"/>
      <c r="N132" s="1182"/>
      <c r="O132" s="1182"/>
      <c r="P132" s="1182"/>
    </row>
    <row r="133" spans="1:16" s="103" customFormat="1" ht="18" x14ac:dyDescent="0.25">
      <c r="A133" s="1182"/>
      <c r="B133" s="181" t="s">
        <v>1952</v>
      </c>
      <c r="C133" s="546" t="s">
        <v>2588</v>
      </c>
      <c r="D133" s="183">
        <v>400</v>
      </c>
      <c r="E133" s="183">
        <v>0</v>
      </c>
      <c r="F133" s="183" t="s">
        <v>1257</v>
      </c>
      <c r="G133" s="183" t="s">
        <v>1183</v>
      </c>
      <c r="H133" s="183">
        <v>0</v>
      </c>
      <c r="I133" s="182"/>
      <c r="J133" s="188"/>
      <c r="K133" s="1182"/>
      <c r="L133" s="1182"/>
      <c r="M133" s="1182"/>
      <c r="N133" s="1182"/>
      <c r="O133" s="1182"/>
      <c r="P133" s="1182"/>
    </row>
    <row r="134" spans="1:16" s="103" customFormat="1" ht="18" x14ac:dyDescent="0.25">
      <c r="A134" s="1182"/>
      <c r="B134" s="1151" t="s">
        <v>2586</v>
      </c>
      <c r="C134" s="546" t="s">
        <v>2589</v>
      </c>
      <c r="D134" s="834">
        <v>99999</v>
      </c>
      <c r="E134" s="183">
        <v>0</v>
      </c>
      <c r="F134" s="183" t="s">
        <v>1257</v>
      </c>
      <c r="G134" s="183" t="s">
        <v>1183</v>
      </c>
      <c r="H134" s="183">
        <v>0</v>
      </c>
      <c r="I134" s="182"/>
      <c r="J134" s="188"/>
      <c r="K134" s="1182"/>
      <c r="L134" s="1182"/>
      <c r="M134" s="1182"/>
      <c r="N134" s="1182"/>
      <c r="O134" s="1182"/>
      <c r="P134" s="1182"/>
    </row>
    <row r="135" spans="1:16" s="103" customFormat="1" ht="18" x14ac:dyDescent="0.25">
      <c r="A135" s="1182"/>
      <c r="B135" s="2183" t="s">
        <v>4717</v>
      </c>
      <c r="C135" s="2184" t="s">
        <v>4718</v>
      </c>
      <c r="D135" s="2185">
        <v>9999</v>
      </c>
      <c r="E135" s="2186" t="s">
        <v>1220</v>
      </c>
      <c r="F135" s="2186" t="s">
        <v>1257</v>
      </c>
      <c r="G135" s="2186" t="s">
        <v>886</v>
      </c>
      <c r="H135" s="2186">
        <v>0</v>
      </c>
      <c r="I135" s="2186"/>
      <c r="J135" s="2187" t="s">
        <v>3507</v>
      </c>
      <c r="K135" s="1182"/>
      <c r="L135" s="1182"/>
      <c r="M135" s="1182"/>
      <c r="N135" s="1182"/>
      <c r="O135" s="1182"/>
      <c r="P135" s="1182"/>
    </row>
    <row r="136" spans="1:16" s="103" customFormat="1" ht="18" x14ac:dyDescent="0.25">
      <c r="A136" s="1182"/>
      <c r="B136" s="2183" t="s">
        <v>4719</v>
      </c>
      <c r="C136" s="2184" t="s">
        <v>4720</v>
      </c>
      <c r="D136" s="2185">
        <v>0.999</v>
      </c>
      <c r="E136" s="2186" t="s">
        <v>1220</v>
      </c>
      <c r="F136" s="2186" t="s">
        <v>1257</v>
      </c>
      <c r="G136" s="2186" t="s">
        <v>383</v>
      </c>
      <c r="H136" s="2186">
        <v>3</v>
      </c>
      <c r="I136" s="2186"/>
      <c r="J136" s="2187" t="s">
        <v>3508</v>
      </c>
      <c r="K136" s="1182"/>
      <c r="L136" s="1182"/>
      <c r="M136" s="1182"/>
      <c r="N136" s="1182"/>
      <c r="O136" s="1182"/>
      <c r="P136" s="1182"/>
    </row>
    <row r="137" spans="1:16" s="103" customFormat="1" ht="18" x14ac:dyDescent="0.25">
      <c r="A137" s="1182"/>
      <c r="B137" s="2183" t="s">
        <v>4721</v>
      </c>
      <c r="C137" s="2184" t="s">
        <v>4722</v>
      </c>
      <c r="D137" s="2186">
        <v>0.1</v>
      </c>
      <c r="E137" s="2186">
        <v>0</v>
      </c>
      <c r="F137" s="2186">
        <v>2</v>
      </c>
      <c r="G137" s="2186" t="s">
        <v>282</v>
      </c>
      <c r="H137" s="2186">
        <v>2</v>
      </c>
      <c r="I137" s="2186"/>
      <c r="J137" s="2187" t="s">
        <v>4600</v>
      </c>
      <c r="K137" s="1182"/>
      <c r="L137" s="1182"/>
      <c r="M137" s="1182"/>
      <c r="N137" s="1182"/>
      <c r="O137" s="1182"/>
      <c r="P137" s="1182"/>
    </row>
    <row r="138" spans="1:16" s="103" customFormat="1" ht="18" x14ac:dyDescent="0.25">
      <c r="A138" s="1182"/>
      <c r="B138" s="181" t="s">
        <v>3586</v>
      </c>
      <c r="C138" s="546" t="s">
        <v>3587</v>
      </c>
      <c r="D138" s="183">
        <v>0.05</v>
      </c>
      <c r="E138" s="183">
        <v>0</v>
      </c>
      <c r="F138" s="183" t="s">
        <v>1257</v>
      </c>
      <c r="G138" s="183" t="s">
        <v>1182</v>
      </c>
      <c r="H138" s="183">
        <v>2</v>
      </c>
      <c r="I138" s="182"/>
      <c r="J138" s="188"/>
      <c r="K138" s="1182"/>
      <c r="L138" s="1182"/>
      <c r="M138" s="1182"/>
      <c r="N138" s="1182"/>
      <c r="O138" s="1182"/>
      <c r="P138" s="1182"/>
    </row>
    <row r="139" spans="1:16" s="103" customFormat="1" ht="18" x14ac:dyDescent="0.25">
      <c r="A139" s="1182"/>
      <c r="B139" s="181" t="s">
        <v>2435</v>
      </c>
      <c r="C139" s="546" t="s">
        <v>2590</v>
      </c>
      <c r="D139" s="183">
        <v>0.05</v>
      </c>
      <c r="E139" s="183">
        <v>0</v>
      </c>
      <c r="F139" s="183" t="s">
        <v>1257</v>
      </c>
      <c r="G139" s="183" t="s">
        <v>886</v>
      </c>
      <c r="H139" s="183">
        <v>2</v>
      </c>
      <c r="I139" s="182"/>
      <c r="J139" s="188"/>
      <c r="K139" s="1182"/>
      <c r="L139" s="1182"/>
      <c r="M139" s="1182"/>
      <c r="N139" s="1182"/>
      <c r="O139" s="1182"/>
      <c r="P139" s="1182"/>
    </row>
    <row r="140" spans="1:16" s="103" customFormat="1" ht="18" x14ac:dyDescent="0.25">
      <c r="A140" s="1182"/>
      <c r="B140" s="181" t="s">
        <v>1999</v>
      </c>
      <c r="C140" s="546" t="s">
        <v>2591</v>
      </c>
      <c r="D140" s="183">
        <v>4.5</v>
      </c>
      <c r="E140" s="183">
        <v>0</v>
      </c>
      <c r="F140" s="183" t="s">
        <v>1257</v>
      </c>
      <c r="G140" s="183" t="s">
        <v>377</v>
      </c>
      <c r="H140" s="183">
        <v>1</v>
      </c>
      <c r="I140" s="182"/>
      <c r="J140" s="188"/>
      <c r="K140" s="1182"/>
      <c r="L140" s="1182"/>
      <c r="M140" s="1182"/>
      <c r="N140" s="1182"/>
      <c r="O140" s="1182"/>
      <c r="P140" s="1182"/>
    </row>
    <row r="141" spans="1:16" s="103" customFormat="1" ht="18.75" thickBot="1" x14ac:dyDescent="0.3">
      <c r="A141" s="1182"/>
      <c r="B141" s="1152" t="s">
        <v>2000</v>
      </c>
      <c r="C141" s="184" t="s">
        <v>2592</v>
      </c>
      <c r="D141" s="185">
        <v>9.5</v>
      </c>
      <c r="E141" s="185">
        <v>0</v>
      </c>
      <c r="F141" s="185" t="s">
        <v>1257</v>
      </c>
      <c r="G141" s="185" t="s">
        <v>377</v>
      </c>
      <c r="H141" s="185">
        <v>1</v>
      </c>
      <c r="I141" s="184"/>
      <c r="J141" s="189"/>
      <c r="K141" s="1182"/>
      <c r="L141" s="1182"/>
      <c r="M141" s="1182"/>
      <c r="N141" s="1182"/>
      <c r="O141" s="1182"/>
      <c r="P141" s="1182"/>
    </row>
    <row r="142" spans="1:16" s="103" customFormat="1" ht="15.75" thickBot="1" x14ac:dyDescent="0.3">
      <c r="A142" s="1182"/>
      <c r="B142" s="1187"/>
      <c r="C142" s="1210"/>
      <c r="D142" s="1235"/>
      <c r="E142" s="1244"/>
      <c r="F142" s="1244"/>
      <c r="G142" s="1244"/>
      <c r="H142" s="1244"/>
      <c r="I142" s="1210"/>
      <c r="J142" s="1188"/>
      <c r="K142" s="1182"/>
      <c r="L142" s="1182"/>
      <c r="M142" s="1182"/>
      <c r="N142" s="1182"/>
      <c r="O142" s="1182"/>
      <c r="P142" s="1182"/>
    </row>
    <row r="143" spans="1:16" s="103" customFormat="1" ht="15.75" thickBot="1" x14ac:dyDescent="0.3">
      <c r="A143" s="1182"/>
      <c r="B143" s="1187"/>
      <c r="C143" s="439" t="s">
        <v>2219</v>
      </c>
      <c r="D143" s="1185" t="s">
        <v>299</v>
      </c>
      <c r="E143" s="1185"/>
      <c r="F143" s="1185"/>
      <c r="G143" s="1185"/>
      <c r="H143" s="1185"/>
      <c r="I143" s="1187"/>
      <c r="J143" s="1188"/>
      <c r="K143" s="1182"/>
      <c r="L143" s="1182"/>
      <c r="M143" s="1182"/>
      <c r="N143" s="1182"/>
      <c r="O143" s="1182"/>
      <c r="P143" s="1182"/>
    </row>
    <row r="144" spans="1:16" s="103" customFormat="1" ht="15.75" thickBot="1" x14ac:dyDescent="0.3">
      <c r="A144" s="1182"/>
      <c r="B144" s="1153" t="s">
        <v>0</v>
      </c>
      <c r="C144" s="144" t="s">
        <v>1</v>
      </c>
      <c r="D144" s="115" t="s">
        <v>840</v>
      </c>
      <c r="E144" s="115" t="s">
        <v>470</v>
      </c>
      <c r="F144" s="115" t="s">
        <v>471</v>
      </c>
      <c r="G144" s="115" t="s">
        <v>2</v>
      </c>
      <c r="H144" s="115" t="s">
        <v>298</v>
      </c>
      <c r="I144" s="1737" t="s">
        <v>116</v>
      </c>
      <c r="J144" s="1738" t="s">
        <v>117</v>
      </c>
      <c r="K144" s="1182"/>
      <c r="L144" s="1182"/>
      <c r="M144" s="1182"/>
      <c r="N144" s="1182"/>
      <c r="O144" s="1182"/>
      <c r="P144" s="1182"/>
    </row>
    <row r="145" spans="1:18" s="103" customFormat="1" ht="18" x14ac:dyDescent="0.25">
      <c r="A145" s="1182"/>
      <c r="B145" s="1154" t="s">
        <v>852</v>
      </c>
      <c r="C145" s="547" t="s">
        <v>1044</v>
      </c>
      <c r="D145" s="297">
        <v>1.3</v>
      </c>
      <c r="E145" s="298">
        <v>0</v>
      </c>
      <c r="F145" s="298" t="s">
        <v>1257</v>
      </c>
      <c r="G145" s="298" t="s">
        <v>848</v>
      </c>
      <c r="H145" s="298">
        <v>1</v>
      </c>
      <c r="I145" s="1739"/>
      <c r="J145" s="1740"/>
      <c r="K145" s="1182"/>
      <c r="L145" s="1182"/>
      <c r="M145" s="1182"/>
      <c r="N145" s="1182"/>
      <c r="O145" s="1182"/>
      <c r="P145" s="1182"/>
    </row>
    <row r="146" spans="1:18" s="103" customFormat="1" ht="18" x14ac:dyDescent="0.25">
      <c r="A146" s="1182"/>
      <c r="B146" s="1155" t="s">
        <v>853</v>
      </c>
      <c r="C146" s="548" t="s">
        <v>2593</v>
      </c>
      <c r="D146" s="299">
        <v>0.13</v>
      </c>
      <c r="E146" s="299">
        <v>0</v>
      </c>
      <c r="F146" s="299" t="s">
        <v>1257</v>
      </c>
      <c r="G146" s="299" t="s">
        <v>848</v>
      </c>
      <c r="H146" s="299">
        <v>1</v>
      </c>
      <c r="I146" s="1741"/>
      <c r="J146" s="1742"/>
      <c r="K146" s="1182"/>
      <c r="L146" s="1182"/>
      <c r="M146" s="1182"/>
      <c r="N146" s="1182"/>
      <c r="O146" s="1182"/>
      <c r="P146" s="1182"/>
    </row>
    <row r="147" spans="1:18" s="103" customFormat="1" ht="18" x14ac:dyDescent="0.25">
      <c r="A147" s="1182"/>
      <c r="B147" s="1155" t="s">
        <v>1953</v>
      </c>
      <c r="C147" s="548" t="s">
        <v>2594</v>
      </c>
      <c r="D147" s="299">
        <v>0.1</v>
      </c>
      <c r="E147" s="299">
        <v>0</v>
      </c>
      <c r="F147" s="299" t="s">
        <v>1257</v>
      </c>
      <c r="G147" s="299" t="s">
        <v>849</v>
      </c>
      <c r="H147" s="299">
        <v>1</v>
      </c>
      <c r="I147" s="1741"/>
      <c r="J147" s="1742"/>
      <c r="K147" s="1182"/>
      <c r="L147" s="1182"/>
      <c r="M147" s="1182"/>
      <c r="N147" s="1182"/>
      <c r="O147" s="1182"/>
      <c r="P147" s="1182"/>
    </row>
    <row r="148" spans="1:18" s="103" customFormat="1" ht="18" x14ac:dyDescent="0.25">
      <c r="A148" s="1182"/>
      <c r="B148" s="1155" t="s">
        <v>3588</v>
      </c>
      <c r="C148" s="548" t="s">
        <v>3589</v>
      </c>
      <c r="D148" s="299">
        <v>0.05</v>
      </c>
      <c r="E148" s="299">
        <v>0</v>
      </c>
      <c r="F148" s="299" t="s">
        <v>1257</v>
      </c>
      <c r="G148" s="299" t="s">
        <v>850</v>
      </c>
      <c r="H148" s="299">
        <v>2</v>
      </c>
      <c r="I148" s="1741"/>
      <c r="J148" s="1742"/>
      <c r="K148" s="1182"/>
      <c r="L148" s="1182"/>
      <c r="M148" s="1182"/>
      <c r="N148" s="1182"/>
      <c r="O148" s="1182"/>
      <c r="P148" s="1182"/>
    </row>
    <row r="149" spans="1:18" s="103" customFormat="1" ht="18" x14ac:dyDescent="0.25">
      <c r="A149" s="1182"/>
      <c r="B149" s="1155" t="s">
        <v>2436</v>
      </c>
      <c r="C149" s="548" t="s">
        <v>2595</v>
      </c>
      <c r="D149" s="299">
        <v>0.05</v>
      </c>
      <c r="E149" s="299">
        <v>0</v>
      </c>
      <c r="F149" s="299" t="s">
        <v>1257</v>
      </c>
      <c r="G149" s="299" t="s">
        <v>851</v>
      </c>
      <c r="H149" s="299">
        <v>2</v>
      </c>
      <c r="I149" s="1741"/>
      <c r="J149" s="1742"/>
      <c r="K149" s="1182"/>
      <c r="L149" s="1182"/>
      <c r="M149" s="1182"/>
      <c r="N149" s="1182"/>
      <c r="O149" s="1182"/>
      <c r="P149" s="1182"/>
    </row>
    <row r="150" spans="1:18" s="103" customFormat="1" ht="18" x14ac:dyDescent="0.25">
      <c r="A150" s="1182"/>
      <c r="B150" s="1155" t="s">
        <v>2001</v>
      </c>
      <c r="C150" s="548" t="s">
        <v>2596</v>
      </c>
      <c r="D150" s="299">
        <v>4.5</v>
      </c>
      <c r="E150" s="299">
        <v>0</v>
      </c>
      <c r="F150" s="299" t="s">
        <v>1257</v>
      </c>
      <c r="G150" s="299" t="s">
        <v>377</v>
      </c>
      <c r="H150" s="299">
        <v>1</v>
      </c>
      <c r="I150" s="1741"/>
      <c r="J150" s="1742"/>
      <c r="K150" s="1182"/>
      <c r="L150" s="1182"/>
      <c r="M150" s="1182"/>
      <c r="N150" s="1182"/>
      <c r="O150" s="1182"/>
      <c r="P150" s="1182"/>
    </row>
    <row r="151" spans="1:18" s="103" customFormat="1" ht="18.75" thickBot="1" x14ac:dyDescent="0.3">
      <c r="A151" s="1182"/>
      <c r="B151" s="1156" t="s">
        <v>2002</v>
      </c>
      <c r="C151" s="300" t="s">
        <v>2597</v>
      </c>
      <c r="D151" s="301">
        <v>9.5</v>
      </c>
      <c r="E151" s="301">
        <v>0</v>
      </c>
      <c r="F151" s="301" t="s">
        <v>1257</v>
      </c>
      <c r="G151" s="301" t="s">
        <v>377</v>
      </c>
      <c r="H151" s="301">
        <v>1</v>
      </c>
      <c r="I151" s="300"/>
      <c r="J151" s="1743"/>
      <c r="K151" s="1182"/>
      <c r="L151" s="1182"/>
      <c r="M151" s="1182"/>
      <c r="N151" s="1182"/>
      <c r="O151" s="1182"/>
      <c r="P151" s="1182"/>
    </row>
    <row r="152" spans="1:18" s="103" customFormat="1" ht="15.75" thickBot="1" x14ac:dyDescent="0.3">
      <c r="A152" s="1182"/>
      <c r="B152" s="1187"/>
      <c r="C152" s="1210"/>
      <c r="D152" s="1235"/>
      <c r="E152" s="1244"/>
      <c r="F152" s="1244"/>
      <c r="G152" s="1244"/>
      <c r="H152" s="1244"/>
      <c r="I152" s="1210"/>
      <c r="J152" s="1188"/>
      <c r="K152" s="1182"/>
      <c r="L152" s="1182"/>
      <c r="M152" s="1182"/>
      <c r="N152" s="1182"/>
      <c r="O152" s="1182"/>
      <c r="P152" s="1182"/>
    </row>
    <row r="153" spans="1:18" s="103" customFormat="1" ht="15.75" thickBot="1" x14ac:dyDescent="0.3">
      <c r="A153" s="1182"/>
      <c r="B153" s="1187"/>
      <c r="C153" s="142" t="s">
        <v>1366</v>
      </c>
      <c r="D153" s="1185" t="s">
        <v>299</v>
      </c>
      <c r="E153" s="1185"/>
      <c r="F153" s="1185"/>
      <c r="G153" s="1185"/>
      <c r="H153" s="1185"/>
      <c r="I153" s="1187"/>
      <c r="J153" s="1188"/>
      <c r="K153" s="1182"/>
      <c r="L153" s="1182"/>
      <c r="M153" s="1182"/>
      <c r="N153" s="1182"/>
      <c r="O153" s="1182"/>
      <c r="P153" s="1182"/>
    </row>
    <row r="154" spans="1:18" s="103" customFormat="1" ht="15.75" thickBot="1" x14ac:dyDescent="0.3">
      <c r="A154" s="1182"/>
      <c r="B154" s="284" t="s">
        <v>0</v>
      </c>
      <c r="C154" s="287" t="s">
        <v>1</v>
      </c>
      <c r="D154" s="291" t="s">
        <v>840</v>
      </c>
      <c r="E154" s="291" t="s">
        <v>470</v>
      </c>
      <c r="F154" s="291" t="s">
        <v>471</v>
      </c>
      <c r="G154" s="291" t="s">
        <v>2</v>
      </c>
      <c r="H154" s="291" t="s">
        <v>298</v>
      </c>
      <c r="I154" s="287" t="s">
        <v>116</v>
      </c>
      <c r="J154" s="1744" t="s">
        <v>117</v>
      </c>
      <c r="K154" s="1182"/>
      <c r="L154" s="1182"/>
      <c r="M154" s="1182"/>
      <c r="N154" s="1182"/>
      <c r="O154" s="1182"/>
      <c r="P154" s="1182"/>
    </row>
    <row r="155" spans="1:18" s="103" customFormat="1" ht="18" x14ac:dyDescent="0.25">
      <c r="A155" s="1182"/>
      <c r="B155" s="1157" t="s">
        <v>1718</v>
      </c>
      <c r="C155" s="549" t="s">
        <v>2598</v>
      </c>
      <c r="D155" s="849">
        <v>0.1</v>
      </c>
      <c r="E155" s="426">
        <v>0</v>
      </c>
      <c r="F155" s="194" t="s">
        <v>1257</v>
      </c>
      <c r="G155" s="194" t="s">
        <v>1317</v>
      </c>
      <c r="H155" s="194">
        <v>2</v>
      </c>
      <c r="I155" s="1745"/>
      <c r="J155" s="222"/>
      <c r="K155" s="1182"/>
      <c r="L155" s="1182"/>
      <c r="M155" s="1182"/>
      <c r="N155" s="1182"/>
      <c r="O155" s="1182"/>
      <c r="P155" s="1182"/>
    </row>
    <row r="156" spans="1:18" s="103" customFormat="1" ht="18" x14ac:dyDescent="0.25">
      <c r="A156" s="1182"/>
      <c r="B156" s="1158" t="s">
        <v>1719</v>
      </c>
      <c r="C156" s="550" t="s">
        <v>2599</v>
      </c>
      <c r="D156" s="700">
        <v>0.1</v>
      </c>
      <c r="E156" s="427">
        <v>0</v>
      </c>
      <c r="F156" s="187" t="s">
        <v>1257</v>
      </c>
      <c r="G156" s="187" t="s">
        <v>1317</v>
      </c>
      <c r="H156" s="187">
        <v>2</v>
      </c>
      <c r="I156" s="1746"/>
      <c r="J156" s="223"/>
      <c r="K156" s="1182"/>
      <c r="L156" s="1182"/>
      <c r="M156" s="1182"/>
      <c r="N156" s="1182"/>
      <c r="O156" s="1182"/>
      <c r="P156" s="1182"/>
    </row>
    <row r="157" spans="1:18" s="103" customFormat="1" ht="18" x14ac:dyDescent="0.25">
      <c r="A157" s="1182"/>
      <c r="B157" s="1158" t="s">
        <v>1720</v>
      </c>
      <c r="C157" s="550" t="s">
        <v>2600</v>
      </c>
      <c r="D157" s="700">
        <v>10</v>
      </c>
      <c r="E157" s="427">
        <v>0</v>
      </c>
      <c r="F157" s="187" t="s">
        <v>1257</v>
      </c>
      <c r="G157" s="187" t="s">
        <v>1317</v>
      </c>
      <c r="H157" s="187">
        <v>2</v>
      </c>
      <c r="I157" s="1747"/>
      <c r="J157" s="223"/>
      <c r="K157" s="1182"/>
      <c r="L157" s="1182"/>
      <c r="M157" s="1182"/>
      <c r="N157" s="1182"/>
      <c r="O157" s="1182"/>
      <c r="P157" s="1182"/>
    </row>
    <row r="158" spans="1:18" s="103" customFormat="1" ht="18" x14ac:dyDescent="0.25">
      <c r="A158" s="1182"/>
      <c r="B158" s="1158" t="s">
        <v>1721</v>
      </c>
      <c r="C158" s="550" t="s">
        <v>2601</v>
      </c>
      <c r="D158" s="700">
        <v>10</v>
      </c>
      <c r="E158" s="427">
        <v>0</v>
      </c>
      <c r="F158" s="187" t="s">
        <v>1257</v>
      </c>
      <c r="G158" s="187" t="s">
        <v>1317</v>
      </c>
      <c r="H158" s="187">
        <v>2</v>
      </c>
      <c r="I158" s="1747"/>
      <c r="J158" s="223"/>
      <c r="K158" s="1182"/>
      <c r="L158" s="1182"/>
      <c r="M158" s="1182"/>
      <c r="N158" s="1182"/>
      <c r="O158" s="1182"/>
      <c r="P158" s="1182"/>
    </row>
    <row r="159" spans="1:18" s="117" customFormat="1" ht="18" x14ac:dyDescent="0.25">
      <c r="A159" s="1184"/>
      <c r="B159" s="1158" t="s">
        <v>1722</v>
      </c>
      <c r="C159" s="550" t="s">
        <v>2602</v>
      </c>
      <c r="D159" s="700">
        <v>5</v>
      </c>
      <c r="E159" s="427">
        <v>0</v>
      </c>
      <c r="F159" s="187" t="s">
        <v>1257</v>
      </c>
      <c r="G159" s="187" t="s">
        <v>1317</v>
      </c>
      <c r="H159" s="187">
        <v>2</v>
      </c>
      <c r="I159" s="1747"/>
      <c r="J159" s="223"/>
      <c r="K159" s="1182"/>
      <c r="L159" s="1182"/>
      <c r="M159" s="1182"/>
      <c r="N159" s="1182"/>
      <c r="O159" s="1182"/>
      <c r="P159" s="1182"/>
      <c r="Q159" s="103"/>
      <c r="R159" s="103"/>
    </row>
    <row r="160" spans="1:18" s="117" customFormat="1" ht="18" x14ac:dyDescent="0.25">
      <c r="A160" s="1184"/>
      <c r="B160" s="1158" t="s">
        <v>1723</v>
      </c>
      <c r="C160" s="550" t="s">
        <v>2603</v>
      </c>
      <c r="D160" s="700">
        <v>5</v>
      </c>
      <c r="E160" s="427">
        <v>0</v>
      </c>
      <c r="F160" s="187" t="s">
        <v>1257</v>
      </c>
      <c r="G160" s="187" t="s">
        <v>1317</v>
      </c>
      <c r="H160" s="187">
        <v>2</v>
      </c>
      <c r="I160" s="1747"/>
      <c r="J160" s="223"/>
      <c r="K160" s="1182"/>
      <c r="L160" s="1182"/>
      <c r="M160" s="1182"/>
      <c r="N160" s="1182"/>
      <c r="O160" s="1182"/>
      <c r="P160" s="1182"/>
      <c r="Q160" s="103"/>
      <c r="R160" s="103"/>
    </row>
    <row r="161" spans="1:18" s="117" customFormat="1" ht="18" x14ac:dyDescent="0.25">
      <c r="A161" s="1184"/>
      <c r="B161" s="1159" t="s">
        <v>3808</v>
      </c>
      <c r="C161" s="1023" t="s">
        <v>3809</v>
      </c>
      <c r="D161" s="1024">
        <v>500</v>
      </c>
      <c r="E161" s="1025">
        <v>0</v>
      </c>
      <c r="F161" s="1024" t="s">
        <v>1257</v>
      </c>
      <c r="G161" s="1024" t="s">
        <v>1317</v>
      </c>
      <c r="H161" s="1024">
        <v>2</v>
      </c>
      <c r="I161" s="1748"/>
      <c r="J161" s="1749"/>
      <c r="K161" s="1182"/>
      <c r="L161" s="1182"/>
      <c r="M161" s="1182"/>
      <c r="N161" s="1182"/>
      <c r="O161" s="1182"/>
      <c r="P161" s="1182"/>
      <c r="Q161" s="103"/>
      <c r="R161" s="103"/>
    </row>
    <row r="162" spans="1:18" s="117" customFormat="1" ht="18" x14ac:dyDescent="0.25">
      <c r="A162" s="1184"/>
      <c r="B162" s="1159" t="s">
        <v>3810</v>
      </c>
      <c r="C162" s="1023" t="s">
        <v>3811</v>
      </c>
      <c r="D162" s="1024">
        <v>500</v>
      </c>
      <c r="E162" s="1025">
        <v>0</v>
      </c>
      <c r="F162" s="1024" t="s">
        <v>1257</v>
      </c>
      <c r="G162" s="1024" t="s">
        <v>1317</v>
      </c>
      <c r="H162" s="1024">
        <v>2</v>
      </c>
      <c r="I162" s="1748"/>
      <c r="J162" s="1749"/>
      <c r="K162" s="1182"/>
      <c r="L162" s="1182"/>
      <c r="M162" s="1182"/>
      <c r="N162" s="1182"/>
      <c r="O162" s="1182"/>
      <c r="P162" s="1182"/>
      <c r="Q162" s="103"/>
      <c r="R162" s="103"/>
    </row>
    <row r="163" spans="1:18" s="103" customFormat="1" ht="18" x14ac:dyDescent="0.25">
      <c r="A163" s="1182"/>
      <c r="B163" s="1158" t="s">
        <v>1724</v>
      </c>
      <c r="C163" s="550" t="s">
        <v>2604</v>
      </c>
      <c r="D163" s="700">
        <v>0.01</v>
      </c>
      <c r="E163" s="427">
        <v>0</v>
      </c>
      <c r="F163" s="187" t="s">
        <v>1257</v>
      </c>
      <c r="G163" s="187" t="s">
        <v>1317</v>
      </c>
      <c r="H163" s="187">
        <v>2</v>
      </c>
      <c r="I163" s="1746"/>
      <c r="J163" s="223"/>
      <c r="K163" s="1182"/>
      <c r="L163" s="1182"/>
      <c r="M163" s="1182"/>
      <c r="N163" s="1182"/>
      <c r="O163" s="1182"/>
      <c r="P163" s="1182"/>
    </row>
    <row r="164" spans="1:18" s="103" customFormat="1" ht="18" x14ac:dyDescent="0.25">
      <c r="A164" s="1182"/>
      <c r="B164" s="1158" t="s">
        <v>1725</v>
      </c>
      <c r="C164" s="550" t="s">
        <v>2605</v>
      </c>
      <c r="D164" s="700">
        <v>0.01</v>
      </c>
      <c r="E164" s="427">
        <v>0</v>
      </c>
      <c r="F164" s="187" t="s">
        <v>1257</v>
      </c>
      <c r="G164" s="187" t="s">
        <v>1317</v>
      </c>
      <c r="H164" s="187">
        <v>3</v>
      </c>
      <c r="I164" s="1746"/>
      <c r="J164" s="223"/>
      <c r="K164" s="1182"/>
      <c r="L164" s="1182"/>
      <c r="M164" s="1182"/>
      <c r="N164" s="1182"/>
      <c r="O164" s="1182"/>
      <c r="P164" s="1182"/>
    </row>
    <row r="165" spans="1:18" s="103" customFormat="1" ht="18" x14ac:dyDescent="0.25">
      <c r="A165" s="1182"/>
      <c r="B165" s="1160" t="s">
        <v>2949</v>
      </c>
      <c r="C165" s="551" t="s">
        <v>2606</v>
      </c>
      <c r="D165" s="224">
        <v>0.01</v>
      </c>
      <c r="E165" s="224">
        <v>0</v>
      </c>
      <c r="F165" s="224" t="s">
        <v>1257</v>
      </c>
      <c r="G165" s="195" t="s">
        <v>1765</v>
      </c>
      <c r="H165" s="224">
        <v>3</v>
      </c>
      <c r="I165" s="1750"/>
      <c r="J165" s="225"/>
      <c r="K165" s="1182"/>
      <c r="L165" s="1182"/>
      <c r="M165" s="1182"/>
      <c r="N165" s="1182"/>
      <c r="O165" s="1182"/>
      <c r="P165" s="1182"/>
    </row>
    <row r="166" spans="1:18" s="103" customFormat="1" ht="18" x14ac:dyDescent="0.25">
      <c r="A166" s="1182"/>
      <c r="B166" s="1160" t="s">
        <v>2950</v>
      </c>
      <c r="C166" s="551" t="s">
        <v>2607</v>
      </c>
      <c r="D166" s="224">
        <v>0.01</v>
      </c>
      <c r="E166" s="224">
        <v>0</v>
      </c>
      <c r="F166" s="224" t="s">
        <v>1257</v>
      </c>
      <c r="G166" s="195" t="s">
        <v>1765</v>
      </c>
      <c r="H166" s="224">
        <v>3</v>
      </c>
      <c r="I166" s="1750"/>
      <c r="J166" s="225"/>
      <c r="K166" s="1182"/>
      <c r="L166" s="1182"/>
      <c r="M166" s="1182"/>
      <c r="N166" s="1182"/>
      <c r="O166" s="1182"/>
      <c r="P166" s="1182"/>
    </row>
    <row r="167" spans="1:18" s="103" customFormat="1" ht="18" x14ac:dyDescent="0.25">
      <c r="A167" s="1182"/>
      <c r="B167" s="1161" t="s">
        <v>4063</v>
      </c>
      <c r="C167" s="1113" t="s">
        <v>4064</v>
      </c>
      <c r="D167" s="1114">
        <v>0.01</v>
      </c>
      <c r="E167" s="1114">
        <v>0</v>
      </c>
      <c r="F167" s="1114" t="s">
        <v>1257</v>
      </c>
      <c r="G167" s="1115" t="s">
        <v>1765</v>
      </c>
      <c r="H167" s="1114">
        <v>3</v>
      </c>
      <c r="I167" s="1113"/>
      <c r="J167" s="1116"/>
      <c r="K167" s="1182"/>
      <c r="L167" s="1182"/>
      <c r="M167" s="1182"/>
      <c r="N167" s="1182"/>
      <c r="O167" s="1182"/>
      <c r="P167" s="1182"/>
    </row>
    <row r="168" spans="1:18" s="103" customFormat="1" ht="18" x14ac:dyDescent="0.25">
      <c r="A168" s="1182"/>
      <c r="B168" s="1160" t="s">
        <v>2951</v>
      </c>
      <c r="C168" s="551" t="s">
        <v>2608</v>
      </c>
      <c r="D168" s="224">
        <v>0.01</v>
      </c>
      <c r="E168" s="224">
        <v>0</v>
      </c>
      <c r="F168" s="224" t="s">
        <v>1257</v>
      </c>
      <c r="G168" s="195" t="s">
        <v>1765</v>
      </c>
      <c r="H168" s="224">
        <v>3</v>
      </c>
      <c r="I168" s="1750"/>
      <c r="J168" s="225"/>
      <c r="K168" s="1182"/>
      <c r="L168" s="1182"/>
      <c r="M168" s="1182"/>
      <c r="N168" s="1182"/>
      <c r="O168" s="1182"/>
      <c r="P168" s="1182"/>
    </row>
    <row r="169" spans="1:18" s="103" customFormat="1" ht="18.75" thickBot="1" x14ac:dyDescent="0.3">
      <c r="A169" s="1182"/>
      <c r="B169" s="1162" t="s">
        <v>2952</v>
      </c>
      <c r="C169" s="226" t="s">
        <v>2609</v>
      </c>
      <c r="D169" s="227">
        <v>0.01</v>
      </c>
      <c r="E169" s="227">
        <v>0</v>
      </c>
      <c r="F169" s="227" t="s">
        <v>1257</v>
      </c>
      <c r="G169" s="196" t="s">
        <v>1765</v>
      </c>
      <c r="H169" s="227">
        <v>3</v>
      </c>
      <c r="I169" s="226"/>
      <c r="J169" s="228"/>
      <c r="K169" s="1182"/>
      <c r="L169" s="1182"/>
      <c r="M169" s="1182"/>
      <c r="N169" s="1182"/>
      <c r="O169" s="1182"/>
      <c r="P169" s="1182"/>
    </row>
    <row r="170" spans="1:18" s="103" customFormat="1" ht="15.75" thickBot="1" x14ac:dyDescent="0.3">
      <c r="A170" s="1182"/>
      <c r="B170" s="1187"/>
      <c r="C170" s="1210"/>
      <c r="D170" s="1235"/>
      <c r="E170" s="1244"/>
      <c r="F170" s="1244"/>
      <c r="G170" s="1244"/>
      <c r="H170" s="1244"/>
      <c r="I170" s="1210"/>
      <c r="J170" s="1188"/>
      <c r="K170" s="1182"/>
      <c r="L170" s="1182"/>
      <c r="M170" s="1182"/>
      <c r="N170" s="1182"/>
      <c r="O170" s="1182"/>
      <c r="P170" s="1182"/>
    </row>
    <row r="171" spans="1:18" s="103" customFormat="1" ht="15.75" thickBot="1" x14ac:dyDescent="0.3">
      <c r="A171" s="1182"/>
      <c r="B171" s="1187"/>
      <c r="C171" s="142" t="s">
        <v>2010</v>
      </c>
      <c r="D171" s="1185" t="s">
        <v>299</v>
      </c>
      <c r="E171" s="1185"/>
      <c r="F171" s="1185"/>
      <c r="G171" s="1185"/>
      <c r="H171" s="1185"/>
      <c r="I171" s="1187"/>
      <c r="J171" s="1188"/>
      <c r="K171" s="1182"/>
      <c r="L171" s="1182"/>
      <c r="M171" s="1182"/>
      <c r="N171" s="1182"/>
      <c r="O171" s="1182"/>
      <c r="P171" s="1182"/>
    </row>
    <row r="172" spans="1:18" s="103" customFormat="1" ht="15.75" thickBot="1" x14ac:dyDescent="0.3">
      <c r="A172" s="1182"/>
      <c r="B172" s="284" t="s">
        <v>0</v>
      </c>
      <c r="C172" s="287" t="s">
        <v>1</v>
      </c>
      <c r="D172" s="291" t="s">
        <v>840</v>
      </c>
      <c r="E172" s="291" t="s">
        <v>470</v>
      </c>
      <c r="F172" s="291" t="s">
        <v>471</v>
      </c>
      <c r="G172" s="291" t="s">
        <v>2</v>
      </c>
      <c r="H172" s="291" t="s">
        <v>298</v>
      </c>
      <c r="I172" s="287" t="s">
        <v>116</v>
      </c>
      <c r="J172" s="1744" t="s">
        <v>117</v>
      </c>
      <c r="K172" s="1182"/>
      <c r="L172" s="1182"/>
      <c r="M172" s="1182"/>
      <c r="N172" s="1182"/>
      <c r="O172" s="1182"/>
      <c r="P172" s="1182"/>
    </row>
    <row r="173" spans="1:18" s="103" customFormat="1" ht="18" x14ac:dyDescent="0.25">
      <c r="A173" s="1182"/>
      <c r="B173" s="1103" t="s">
        <v>1726</v>
      </c>
      <c r="C173" s="785" t="s">
        <v>2611</v>
      </c>
      <c r="D173" s="786">
        <v>250</v>
      </c>
      <c r="E173" s="786">
        <v>0</v>
      </c>
      <c r="F173" s="786" t="s">
        <v>1257</v>
      </c>
      <c r="G173" s="787" t="s">
        <v>848</v>
      </c>
      <c r="H173" s="786">
        <v>0</v>
      </c>
      <c r="I173" s="1751"/>
      <c r="J173" s="788"/>
      <c r="K173" s="1182"/>
      <c r="L173" s="1182"/>
      <c r="M173" s="1182"/>
      <c r="N173" s="1182"/>
      <c r="O173" s="1182"/>
      <c r="P173" s="1182"/>
    </row>
    <row r="174" spans="1:18" s="103" customFormat="1" ht="18" x14ac:dyDescent="0.25">
      <c r="A174" s="1182"/>
      <c r="B174" s="789" t="s">
        <v>1727</v>
      </c>
      <c r="C174" s="790" t="s">
        <v>2612</v>
      </c>
      <c r="D174" s="791">
        <v>1</v>
      </c>
      <c r="E174" s="606">
        <v>0</v>
      </c>
      <c r="F174" s="605" t="s">
        <v>1257</v>
      </c>
      <c r="G174" s="603" t="s">
        <v>848</v>
      </c>
      <c r="H174" s="605">
        <v>2</v>
      </c>
      <c r="I174" s="1537"/>
      <c r="J174" s="792"/>
      <c r="K174" s="1182"/>
      <c r="L174" s="1182"/>
      <c r="M174" s="1182"/>
      <c r="N174" s="1182"/>
      <c r="O174" s="1182"/>
      <c r="P174" s="1182"/>
    </row>
    <row r="175" spans="1:18" s="103" customFormat="1" ht="18" x14ac:dyDescent="0.25">
      <c r="A175" s="1182"/>
      <c r="B175" s="789" t="s">
        <v>4032</v>
      </c>
      <c r="C175" s="604" t="s">
        <v>2613</v>
      </c>
      <c r="D175" s="605">
        <v>150</v>
      </c>
      <c r="E175" s="606">
        <v>0</v>
      </c>
      <c r="F175" s="606" t="s">
        <v>1257</v>
      </c>
      <c r="G175" s="603" t="s">
        <v>848</v>
      </c>
      <c r="H175" s="606">
        <v>0</v>
      </c>
      <c r="I175" s="1537"/>
      <c r="J175" s="792"/>
      <c r="K175" s="1182"/>
      <c r="L175" s="1182"/>
      <c r="M175" s="1182"/>
      <c r="N175" s="1182"/>
      <c r="O175" s="1182"/>
      <c r="P175" s="1182"/>
    </row>
    <row r="176" spans="1:18" s="103" customFormat="1" ht="18" x14ac:dyDescent="0.25">
      <c r="A176" s="1182"/>
      <c r="B176" s="789" t="s">
        <v>4033</v>
      </c>
      <c r="C176" s="790" t="s">
        <v>2614</v>
      </c>
      <c r="D176" s="791">
        <v>1</v>
      </c>
      <c r="E176" s="606">
        <v>0</v>
      </c>
      <c r="F176" s="606" t="s">
        <v>1257</v>
      </c>
      <c r="G176" s="603" t="s">
        <v>848</v>
      </c>
      <c r="H176" s="606">
        <v>2</v>
      </c>
      <c r="I176" s="1537"/>
      <c r="J176" s="792"/>
      <c r="K176" s="1182"/>
      <c r="L176" s="1182"/>
      <c r="M176" s="1182"/>
      <c r="N176" s="1182"/>
      <c r="O176" s="1182"/>
      <c r="P176" s="1182"/>
    </row>
    <row r="177" spans="1:16" s="103" customFormat="1" ht="18" x14ac:dyDescent="0.25">
      <c r="A177" s="1182"/>
      <c r="B177" s="789" t="s">
        <v>3445</v>
      </c>
      <c r="C177" s="604" t="s">
        <v>3446</v>
      </c>
      <c r="D177" s="605">
        <v>100</v>
      </c>
      <c r="E177" s="606">
        <v>0</v>
      </c>
      <c r="F177" s="606" t="s">
        <v>1257</v>
      </c>
      <c r="G177" s="603" t="s">
        <v>848</v>
      </c>
      <c r="H177" s="606">
        <v>0</v>
      </c>
      <c r="I177" s="1537"/>
      <c r="J177" s="792"/>
      <c r="K177" s="1182"/>
      <c r="L177" s="1182"/>
      <c r="M177" s="1182"/>
      <c r="N177" s="1182"/>
      <c r="O177" s="1182"/>
      <c r="P177" s="1182"/>
    </row>
    <row r="178" spans="1:16" s="103" customFormat="1" ht="18" x14ac:dyDescent="0.25">
      <c r="A178" s="1182"/>
      <c r="B178" s="789" t="s">
        <v>3447</v>
      </c>
      <c r="C178" s="604" t="s">
        <v>3448</v>
      </c>
      <c r="D178" s="605">
        <v>10</v>
      </c>
      <c r="E178" s="606">
        <v>0</v>
      </c>
      <c r="F178" s="606" t="s">
        <v>1257</v>
      </c>
      <c r="G178" s="603" t="s">
        <v>848</v>
      </c>
      <c r="H178" s="606">
        <v>0</v>
      </c>
      <c r="I178" s="1537"/>
      <c r="J178" s="792"/>
      <c r="K178" s="1182"/>
      <c r="L178" s="1182"/>
      <c r="M178" s="1182"/>
      <c r="N178" s="1182"/>
      <c r="O178" s="1182"/>
      <c r="P178" s="1182"/>
    </row>
    <row r="179" spans="1:16" s="103" customFormat="1" ht="18" x14ac:dyDescent="0.25">
      <c r="A179" s="1182"/>
      <c r="B179" s="789" t="s">
        <v>3449</v>
      </c>
      <c r="C179" s="604" t="s">
        <v>3450</v>
      </c>
      <c r="D179" s="605">
        <v>100</v>
      </c>
      <c r="E179" s="606">
        <v>0</v>
      </c>
      <c r="F179" s="606" t="s">
        <v>1257</v>
      </c>
      <c r="G179" s="603" t="s">
        <v>848</v>
      </c>
      <c r="H179" s="606">
        <v>0</v>
      </c>
      <c r="I179" s="1537"/>
      <c r="J179" s="792"/>
      <c r="K179" s="1182"/>
      <c r="L179" s="1182"/>
      <c r="M179" s="1182"/>
      <c r="N179" s="1182"/>
      <c r="O179" s="1182"/>
      <c r="P179" s="1182"/>
    </row>
    <row r="180" spans="1:16" s="103" customFormat="1" ht="18" x14ac:dyDescent="0.25">
      <c r="A180" s="1182"/>
      <c r="B180" s="793" t="s">
        <v>1728</v>
      </c>
      <c r="C180" s="601" t="s">
        <v>2615</v>
      </c>
      <c r="D180" s="602">
        <v>2</v>
      </c>
      <c r="E180" s="603">
        <v>0</v>
      </c>
      <c r="F180" s="603" t="s">
        <v>1257</v>
      </c>
      <c r="G180" s="603" t="s">
        <v>848</v>
      </c>
      <c r="H180" s="603">
        <v>1</v>
      </c>
      <c r="I180" s="1752"/>
      <c r="J180" s="794"/>
      <c r="K180" s="1182"/>
      <c r="L180" s="1182"/>
      <c r="M180" s="1182"/>
      <c r="N180" s="1182"/>
      <c r="O180" s="1182"/>
      <c r="P180" s="1182"/>
    </row>
    <row r="181" spans="1:16" s="103" customFormat="1" ht="18" x14ac:dyDescent="0.25">
      <c r="A181" s="1182"/>
      <c r="B181" s="789" t="s">
        <v>3162</v>
      </c>
      <c r="C181" s="604" t="s">
        <v>3163</v>
      </c>
      <c r="D181" s="605">
        <v>-100</v>
      </c>
      <c r="E181" s="606" t="s">
        <v>2236</v>
      </c>
      <c r="F181" s="606" t="s">
        <v>1257</v>
      </c>
      <c r="G181" s="603" t="s">
        <v>2193</v>
      </c>
      <c r="H181" s="606">
        <v>0</v>
      </c>
      <c r="I181" s="1537"/>
      <c r="J181" s="792"/>
      <c r="K181" s="1182"/>
      <c r="L181" s="1182"/>
      <c r="M181" s="1182"/>
      <c r="N181" s="1182"/>
      <c r="O181" s="1182"/>
      <c r="P181" s="1182"/>
    </row>
    <row r="182" spans="1:16" s="103" customFormat="1" ht="18" x14ac:dyDescent="0.25">
      <c r="A182" s="1182"/>
      <c r="B182" s="793" t="s">
        <v>3164</v>
      </c>
      <c r="C182" s="601" t="s">
        <v>3165</v>
      </c>
      <c r="D182" s="602">
        <v>0.1</v>
      </c>
      <c r="E182" s="603">
        <v>0</v>
      </c>
      <c r="F182" s="603" t="s">
        <v>1257</v>
      </c>
      <c r="G182" s="603" t="s">
        <v>2018</v>
      </c>
      <c r="H182" s="603">
        <v>2</v>
      </c>
      <c r="I182" s="1752"/>
      <c r="J182" s="794"/>
      <c r="K182" s="1182"/>
      <c r="L182" s="1182"/>
      <c r="M182" s="1182"/>
      <c r="N182" s="1182"/>
      <c r="O182" s="1182"/>
      <c r="P182" s="1182"/>
    </row>
    <row r="183" spans="1:16" s="103" customFormat="1" ht="18" x14ac:dyDescent="0.25">
      <c r="A183" s="1182"/>
      <c r="B183" s="795" t="s">
        <v>2610</v>
      </c>
      <c r="C183" s="601" t="s">
        <v>2616</v>
      </c>
      <c r="D183" s="602">
        <v>1</v>
      </c>
      <c r="E183" s="603">
        <v>0</v>
      </c>
      <c r="F183" s="603" t="s">
        <v>1257</v>
      </c>
      <c r="G183" s="603" t="s">
        <v>848</v>
      </c>
      <c r="H183" s="603">
        <v>1</v>
      </c>
      <c r="I183" s="1752"/>
      <c r="J183" s="796"/>
      <c r="K183" s="1182"/>
      <c r="L183" s="1182"/>
      <c r="M183" s="1182"/>
      <c r="N183" s="1182"/>
      <c r="O183" s="1182"/>
      <c r="P183" s="1182"/>
    </row>
    <row r="184" spans="1:16" s="103" customFormat="1" ht="18" x14ac:dyDescent="0.25">
      <c r="A184" s="1182"/>
      <c r="B184" s="789" t="s">
        <v>4034</v>
      </c>
      <c r="C184" s="797" t="s">
        <v>2617</v>
      </c>
      <c r="D184" s="798">
        <v>0.01</v>
      </c>
      <c r="E184" s="603">
        <v>0</v>
      </c>
      <c r="F184" s="606" t="s">
        <v>1257</v>
      </c>
      <c r="G184" s="606" t="s">
        <v>888</v>
      </c>
      <c r="H184" s="606">
        <v>3</v>
      </c>
      <c r="I184" s="1537"/>
      <c r="J184" s="792"/>
      <c r="K184" s="1182"/>
      <c r="L184" s="1182"/>
      <c r="M184" s="1182"/>
      <c r="N184" s="1182"/>
      <c r="O184" s="1182"/>
      <c r="P184" s="1182"/>
    </row>
    <row r="185" spans="1:16" s="103" customFormat="1" ht="18" x14ac:dyDescent="0.25">
      <c r="A185" s="1182"/>
      <c r="B185" s="1912" t="s">
        <v>4620</v>
      </c>
      <c r="C185" s="1913" t="s">
        <v>4621</v>
      </c>
      <c r="D185" s="1978">
        <v>1</v>
      </c>
      <c r="E185" s="1965">
        <v>0</v>
      </c>
      <c r="F185" s="1966">
        <v>2</v>
      </c>
      <c r="G185" s="1914" t="s">
        <v>282</v>
      </c>
      <c r="H185" s="1914">
        <v>2</v>
      </c>
      <c r="I185" s="1915"/>
      <c r="J185" s="1916" t="s">
        <v>4607</v>
      </c>
      <c r="K185" s="1182"/>
      <c r="L185" s="1182"/>
      <c r="M185" s="1182"/>
      <c r="N185" s="1182"/>
      <c r="O185" s="1182"/>
      <c r="P185" s="1182"/>
    </row>
    <row r="186" spans="1:16" s="103" customFormat="1" ht="18" x14ac:dyDescent="0.25">
      <c r="A186" s="1182"/>
      <c r="B186" s="789" t="s">
        <v>4035</v>
      </c>
      <c r="C186" s="797" t="s">
        <v>3451</v>
      </c>
      <c r="D186" s="798">
        <v>0.1</v>
      </c>
      <c r="E186" s="603">
        <v>0</v>
      </c>
      <c r="F186" s="606" t="s">
        <v>1257</v>
      </c>
      <c r="G186" s="606" t="s">
        <v>888</v>
      </c>
      <c r="H186" s="606">
        <v>3</v>
      </c>
      <c r="I186" s="1537"/>
      <c r="J186" s="792"/>
      <c r="K186" s="1182"/>
      <c r="L186" s="1182"/>
      <c r="M186" s="1182"/>
      <c r="N186" s="1182"/>
      <c r="O186" s="1182"/>
      <c r="P186" s="1182"/>
    </row>
    <row r="187" spans="1:16" s="103" customFormat="1" ht="18.75" thickBot="1" x14ac:dyDescent="0.3">
      <c r="A187" s="1182"/>
      <c r="B187" s="799" t="s">
        <v>4036</v>
      </c>
      <c r="C187" s="800" t="s">
        <v>2618</v>
      </c>
      <c r="D187" s="801">
        <v>0.1</v>
      </c>
      <c r="E187" s="802">
        <v>0</v>
      </c>
      <c r="F187" s="803" t="s">
        <v>1257</v>
      </c>
      <c r="G187" s="803" t="s">
        <v>888</v>
      </c>
      <c r="H187" s="803">
        <v>2</v>
      </c>
      <c r="I187" s="1753"/>
      <c r="J187" s="804"/>
      <c r="K187" s="1182"/>
      <c r="L187" s="1182"/>
      <c r="M187" s="1182"/>
      <c r="N187" s="1182"/>
      <c r="O187" s="1182"/>
      <c r="P187" s="1182"/>
    </row>
    <row r="188" spans="1:16" s="103" customFormat="1" ht="15.75" thickBot="1" x14ac:dyDescent="0.3">
      <c r="A188" s="1182"/>
      <c r="B188" s="1187"/>
      <c r="C188" s="1210"/>
      <c r="D188" s="1235"/>
      <c r="E188" s="1244"/>
      <c r="F188" s="1244"/>
      <c r="G188" s="1244"/>
      <c r="H188" s="1244"/>
      <c r="I188" s="1210"/>
      <c r="J188" s="1188"/>
      <c r="K188" s="1182"/>
      <c r="L188" s="1182"/>
      <c r="M188" s="1182"/>
      <c r="N188" s="1182"/>
      <c r="O188" s="1182"/>
      <c r="P188" s="1182"/>
    </row>
    <row r="189" spans="1:16" s="103" customFormat="1" ht="15.75" thickBot="1" x14ac:dyDescent="0.3">
      <c r="A189" s="1182"/>
      <c r="B189" s="1187"/>
      <c r="C189" s="1026" t="s">
        <v>3812</v>
      </c>
      <c r="D189" s="1185" t="s">
        <v>299</v>
      </c>
      <c r="E189" s="1185"/>
      <c r="F189" s="1185"/>
      <c r="G189" s="1185"/>
      <c r="H189" s="1185"/>
      <c r="I189" s="1187"/>
      <c r="J189" s="1188"/>
      <c r="K189" s="1182"/>
      <c r="L189" s="1182"/>
      <c r="M189" s="1182"/>
      <c r="N189" s="1182"/>
      <c r="O189" s="1182"/>
      <c r="P189" s="1182"/>
    </row>
    <row r="190" spans="1:16" s="103" customFormat="1" ht="15.75" thickBot="1" x14ac:dyDescent="0.3">
      <c r="A190" s="1182"/>
      <c r="B190" s="826" t="s">
        <v>0</v>
      </c>
      <c r="C190" s="851" t="s">
        <v>1</v>
      </c>
      <c r="D190" s="852" t="s">
        <v>840</v>
      </c>
      <c r="E190" s="852" t="s">
        <v>470</v>
      </c>
      <c r="F190" s="852" t="s">
        <v>471</v>
      </c>
      <c r="G190" s="852" t="s">
        <v>2</v>
      </c>
      <c r="H190" s="852" t="s">
        <v>298</v>
      </c>
      <c r="I190" s="851" t="s">
        <v>116</v>
      </c>
      <c r="J190" s="1754" t="s">
        <v>117</v>
      </c>
      <c r="K190" s="1182"/>
      <c r="L190" s="1182"/>
      <c r="M190" s="1182"/>
      <c r="N190" s="1182"/>
      <c r="O190" s="1182"/>
      <c r="P190" s="1182"/>
    </row>
    <row r="191" spans="1:16" s="103" customFormat="1" ht="18" x14ac:dyDescent="0.25">
      <c r="A191" s="1182"/>
      <c r="B191" s="1027" t="s">
        <v>3813</v>
      </c>
      <c r="C191" s="1028" t="s">
        <v>3814</v>
      </c>
      <c r="D191" s="1029">
        <v>75</v>
      </c>
      <c r="E191" s="1029">
        <v>0</v>
      </c>
      <c r="F191" s="1029" t="s">
        <v>1257</v>
      </c>
      <c r="G191" s="1030" t="s">
        <v>848</v>
      </c>
      <c r="H191" s="1029">
        <v>0</v>
      </c>
      <c r="I191" s="1056"/>
      <c r="J191" s="1032"/>
      <c r="K191" s="1182"/>
      <c r="L191" s="1182"/>
      <c r="M191" s="1182"/>
      <c r="N191" s="1182"/>
      <c r="O191" s="1182"/>
      <c r="P191" s="1182"/>
    </row>
    <row r="192" spans="1:16" s="103" customFormat="1" ht="18" x14ac:dyDescent="0.25">
      <c r="A192" s="1182"/>
      <c r="B192" s="806" t="s">
        <v>3815</v>
      </c>
      <c r="C192" s="1033" t="s">
        <v>3816</v>
      </c>
      <c r="D192" s="1034">
        <v>1</v>
      </c>
      <c r="E192" s="1035">
        <v>0</v>
      </c>
      <c r="F192" s="1036" t="s">
        <v>1257</v>
      </c>
      <c r="G192" s="1037" t="s">
        <v>848</v>
      </c>
      <c r="H192" s="1036">
        <v>2</v>
      </c>
      <c r="I192" s="1057"/>
      <c r="J192" s="1038"/>
      <c r="K192" s="1182"/>
      <c r="L192" s="1182"/>
      <c r="M192" s="1182"/>
      <c r="N192" s="1182"/>
      <c r="O192" s="1182"/>
      <c r="P192" s="1182"/>
    </row>
    <row r="193" spans="1:16" s="103" customFormat="1" ht="18" x14ac:dyDescent="0.25">
      <c r="A193" s="1182"/>
      <c r="B193" s="806" t="s">
        <v>3817</v>
      </c>
      <c r="C193" s="1039" t="s">
        <v>3818</v>
      </c>
      <c r="D193" s="1036">
        <v>175</v>
      </c>
      <c r="E193" s="1035">
        <v>0</v>
      </c>
      <c r="F193" s="1035" t="s">
        <v>1257</v>
      </c>
      <c r="G193" s="1037" t="s">
        <v>848</v>
      </c>
      <c r="H193" s="1035">
        <v>0</v>
      </c>
      <c r="I193" s="1057"/>
      <c r="J193" s="1038"/>
      <c r="K193" s="1182"/>
      <c r="L193" s="1182"/>
      <c r="M193" s="1182"/>
      <c r="N193" s="1182"/>
      <c r="O193" s="1182"/>
      <c r="P193" s="1182"/>
    </row>
    <row r="194" spans="1:16" s="103" customFormat="1" ht="18" x14ac:dyDescent="0.25">
      <c r="A194" s="1182"/>
      <c r="B194" s="806" t="s">
        <v>3819</v>
      </c>
      <c r="C194" s="1033" t="s">
        <v>3820</v>
      </c>
      <c r="D194" s="1034">
        <v>1</v>
      </c>
      <c r="E194" s="1035">
        <v>0</v>
      </c>
      <c r="F194" s="1035" t="s">
        <v>1257</v>
      </c>
      <c r="G194" s="1037" t="s">
        <v>848</v>
      </c>
      <c r="H194" s="1035">
        <v>2</v>
      </c>
      <c r="I194" s="1057"/>
      <c r="J194" s="1038"/>
      <c r="K194" s="1182"/>
      <c r="L194" s="1182"/>
      <c r="M194" s="1182"/>
      <c r="N194" s="1182"/>
      <c r="O194" s="1182"/>
      <c r="P194" s="1182"/>
    </row>
    <row r="195" spans="1:16" s="103" customFormat="1" ht="18" x14ac:dyDescent="0.25">
      <c r="A195" s="1182"/>
      <c r="B195" s="806" t="s">
        <v>3821</v>
      </c>
      <c r="C195" s="1039" t="s">
        <v>3822</v>
      </c>
      <c r="D195" s="1036">
        <v>100</v>
      </c>
      <c r="E195" s="1035">
        <v>0</v>
      </c>
      <c r="F195" s="1035" t="s">
        <v>1257</v>
      </c>
      <c r="G195" s="1037" t="s">
        <v>848</v>
      </c>
      <c r="H195" s="1035">
        <v>0</v>
      </c>
      <c r="I195" s="1057"/>
      <c r="J195" s="1038"/>
      <c r="K195" s="1182"/>
      <c r="L195" s="1182"/>
      <c r="M195" s="1182"/>
      <c r="N195" s="1182"/>
      <c r="O195" s="1182"/>
      <c r="P195" s="1182"/>
    </row>
    <row r="196" spans="1:16" s="103" customFormat="1" ht="18" x14ac:dyDescent="0.25">
      <c r="A196" s="1182"/>
      <c r="B196" s="806" t="s">
        <v>3823</v>
      </c>
      <c r="C196" s="1039" t="s">
        <v>3824</v>
      </c>
      <c r="D196" s="1036">
        <v>10</v>
      </c>
      <c r="E196" s="1035">
        <v>0</v>
      </c>
      <c r="F196" s="1035" t="s">
        <v>1257</v>
      </c>
      <c r="G196" s="1037" t="s">
        <v>848</v>
      </c>
      <c r="H196" s="1035">
        <v>0</v>
      </c>
      <c r="I196" s="1057"/>
      <c r="J196" s="1038"/>
      <c r="K196" s="1182"/>
      <c r="L196" s="1182"/>
      <c r="M196" s="1182"/>
      <c r="N196" s="1182"/>
      <c r="O196" s="1182"/>
      <c r="P196" s="1182"/>
    </row>
    <row r="197" spans="1:16" s="103" customFormat="1" ht="18" x14ac:dyDescent="0.25">
      <c r="A197" s="1182"/>
      <c r="B197" s="806" t="s">
        <v>3825</v>
      </c>
      <c r="C197" s="1039" t="s">
        <v>3826</v>
      </c>
      <c r="D197" s="1036">
        <v>100</v>
      </c>
      <c r="E197" s="1035">
        <v>0</v>
      </c>
      <c r="F197" s="1035" t="s">
        <v>1257</v>
      </c>
      <c r="G197" s="1037" t="s">
        <v>848</v>
      </c>
      <c r="H197" s="1035">
        <v>0</v>
      </c>
      <c r="I197" s="1057"/>
      <c r="J197" s="1038"/>
      <c r="K197" s="1182"/>
      <c r="L197" s="1182"/>
      <c r="M197" s="1182"/>
      <c r="N197" s="1182"/>
      <c r="O197" s="1182"/>
      <c r="P197" s="1182"/>
    </row>
    <row r="198" spans="1:16" s="103" customFormat="1" ht="18" x14ac:dyDescent="0.25">
      <c r="A198" s="1182"/>
      <c r="B198" s="806" t="s">
        <v>3827</v>
      </c>
      <c r="C198" s="1033" t="s">
        <v>3828</v>
      </c>
      <c r="D198" s="1034">
        <v>0.1</v>
      </c>
      <c r="E198" s="1037">
        <v>0</v>
      </c>
      <c r="F198" s="1035" t="s">
        <v>1257</v>
      </c>
      <c r="G198" s="1035" t="s">
        <v>888</v>
      </c>
      <c r="H198" s="1035">
        <v>2</v>
      </c>
      <c r="I198" s="1057"/>
      <c r="J198" s="1038"/>
      <c r="K198" s="1182"/>
      <c r="L198" s="1182"/>
      <c r="M198" s="1182"/>
      <c r="N198" s="1182"/>
      <c r="O198" s="1182"/>
      <c r="P198" s="1182"/>
    </row>
    <row r="199" spans="1:16" s="103" customFormat="1" ht="18" x14ac:dyDescent="0.25">
      <c r="A199" s="1182"/>
      <c r="B199" s="806" t="s">
        <v>3829</v>
      </c>
      <c r="C199" s="1040" t="s">
        <v>3830</v>
      </c>
      <c r="D199" s="1041">
        <v>1E-3</v>
      </c>
      <c r="E199" s="1037">
        <v>0</v>
      </c>
      <c r="F199" s="1035" t="s">
        <v>1257</v>
      </c>
      <c r="G199" s="1035" t="s">
        <v>888</v>
      </c>
      <c r="H199" s="1035">
        <v>3</v>
      </c>
      <c r="I199" s="1057"/>
      <c r="J199" s="1038"/>
      <c r="K199" s="1182"/>
      <c r="L199" s="1182"/>
      <c r="M199" s="1182"/>
      <c r="N199" s="1182"/>
      <c r="O199" s="1182"/>
      <c r="P199" s="1182"/>
    </row>
    <row r="200" spans="1:16" s="103" customFormat="1" ht="18" x14ac:dyDescent="0.25">
      <c r="A200" s="1182"/>
      <c r="B200" s="1917" t="s">
        <v>4622</v>
      </c>
      <c r="C200" s="1918" t="s">
        <v>4623</v>
      </c>
      <c r="D200" s="1977">
        <v>2</v>
      </c>
      <c r="E200" s="1967">
        <v>0</v>
      </c>
      <c r="F200" s="1968">
        <v>2</v>
      </c>
      <c r="G200" s="1919" t="s">
        <v>282</v>
      </c>
      <c r="H200" s="1919">
        <v>2</v>
      </c>
      <c r="I200" s="1920"/>
      <c r="J200" s="1921" t="s">
        <v>4607</v>
      </c>
      <c r="K200" s="1182"/>
      <c r="L200" s="1182"/>
      <c r="M200" s="1182"/>
      <c r="N200" s="1182"/>
      <c r="O200" s="1182"/>
      <c r="P200" s="1182"/>
    </row>
    <row r="201" spans="1:16" s="103" customFormat="1" ht="18.75" thickBot="1" x14ac:dyDescent="0.3">
      <c r="A201" s="1182"/>
      <c r="B201" s="1042" t="s">
        <v>3831</v>
      </c>
      <c r="C201" s="1043" t="s">
        <v>3832</v>
      </c>
      <c r="D201" s="1044">
        <v>0.1</v>
      </c>
      <c r="E201" s="1045">
        <v>0</v>
      </c>
      <c r="F201" s="1046" t="s">
        <v>1257</v>
      </c>
      <c r="G201" s="1046" t="s">
        <v>888</v>
      </c>
      <c r="H201" s="1046">
        <v>3</v>
      </c>
      <c r="I201" s="1062"/>
      <c r="J201" s="1047"/>
      <c r="K201" s="1182"/>
      <c r="L201" s="1182"/>
      <c r="M201" s="1182"/>
      <c r="N201" s="1182"/>
      <c r="O201" s="1182"/>
      <c r="P201" s="1182"/>
    </row>
    <row r="202" spans="1:16" s="103" customFormat="1" ht="15.75" thickBot="1" x14ac:dyDescent="0.3">
      <c r="A202" s="1182"/>
      <c r="B202" s="1187"/>
      <c r="C202" s="1187"/>
      <c r="D202" s="1185"/>
      <c r="E202" s="1185"/>
      <c r="F202" s="1185"/>
      <c r="G202" s="1185"/>
      <c r="H202" s="1185"/>
      <c r="I202" s="1187"/>
      <c r="J202" s="1188"/>
      <c r="K202" s="1182"/>
      <c r="L202" s="1182"/>
      <c r="M202" s="1182"/>
      <c r="N202" s="1182"/>
      <c r="O202" s="1182"/>
      <c r="P202" s="1182"/>
    </row>
    <row r="203" spans="1:16" s="103" customFormat="1" ht="15.75" thickBot="1" x14ac:dyDescent="0.3">
      <c r="A203" s="1182"/>
      <c r="B203" s="1187"/>
      <c r="C203" s="142" t="s">
        <v>301</v>
      </c>
      <c r="D203" s="1185" t="s">
        <v>299</v>
      </c>
      <c r="E203" s="1185"/>
      <c r="F203" s="1185"/>
      <c r="G203" s="1185"/>
      <c r="H203" s="1185"/>
      <c r="I203" s="1187"/>
      <c r="J203" s="1188"/>
      <c r="K203" s="1182"/>
      <c r="L203" s="1182"/>
      <c r="M203" s="1182"/>
      <c r="N203" s="1182"/>
      <c r="O203" s="1182"/>
      <c r="P203" s="1182"/>
    </row>
    <row r="204" spans="1:16" s="103" customFormat="1" ht="15.75" thickBot="1" x14ac:dyDescent="0.3">
      <c r="A204" s="1182"/>
      <c r="B204" s="1163" t="s">
        <v>0</v>
      </c>
      <c r="C204" s="146" t="s">
        <v>1</v>
      </c>
      <c r="D204" s="128" t="s">
        <v>840</v>
      </c>
      <c r="E204" s="128" t="s">
        <v>470</v>
      </c>
      <c r="F204" s="128" t="s">
        <v>471</v>
      </c>
      <c r="G204" s="128" t="s">
        <v>2</v>
      </c>
      <c r="H204" s="128" t="s">
        <v>298</v>
      </c>
      <c r="I204" s="146" t="s">
        <v>116</v>
      </c>
      <c r="J204" s="1755" t="s">
        <v>117</v>
      </c>
      <c r="K204" s="1182"/>
      <c r="L204" s="1182"/>
      <c r="M204" s="1182"/>
      <c r="N204" s="1182"/>
      <c r="O204" s="1182"/>
      <c r="P204" s="1182"/>
    </row>
    <row r="205" spans="1:16" s="103" customFormat="1" ht="18" x14ac:dyDescent="0.25">
      <c r="A205" s="1182"/>
      <c r="B205" s="1190" t="s">
        <v>1954</v>
      </c>
      <c r="C205" s="1211" t="s">
        <v>2619</v>
      </c>
      <c r="D205" s="1236">
        <v>5.0000000000000001E-3</v>
      </c>
      <c r="E205" s="1261">
        <v>0</v>
      </c>
      <c r="F205" s="1261" t="s">
        <v>1257</v>
      </c>
      <c r="G205" s="1261" t="s">
        <v>886</v>
      </c>
      <c r="H205" s="1261">
        <v>3</v>
      </c>
      <c r="I205" s="1756"/>
      <c r="J205" s="1757"/>
      <c r="K205" s="1182"/>
      <c r="L205" s="1182"/>
      <c r="M205" s="1182"/>
      <c r="N205" s="1182"/>
      <c r="O205" s="1182"/>
      <c r="P205" s="1182"/>
    </row>
    <row r="206" spans="1:16" s="103" customFormat="1" ht="18" x14ac:dyDescent="0.25">
      <c r="A206" s="1182"/>
      <c r="B206" s="1191" t="s">
        <v>1955</v>
      </c>
      <c r="C206" s="1212" t="s">
        <v>2620</v>
      </c>
      <c r="D206" s="1237">
        <v>2E-3</v>
      </c>
      <c r="E206" s="1262">
        <v>0</v>
      </c>
      <c r="F206" s="1262" t="s">
        <v>1257</v>
      </c>
      <c r="G206" s="1262" t="s">
        <v>888</v>
      </c>
      <c r="H206" s="1262">
        <v>3</v>
      </c>
      <c r="I206" s="1758"/>
      <c r="J206" s="1759"/>
      <c r="K206" s="1182"/>
      <c r="L206" s="1182"/>
      <c r="M206" s="1182"/>
      <c r="N206" s="1182"/>
      <c r="O206" s="1182"/>
      <c r="P206" s="1182"/>
    </row>
    <row r="207" spans="1:16" s="103" customFormat="1" ht="18" x14ac:dyDescent="0.25">
      <c r="A207" s="1182"/>
      <c r="B207" s="1192" t="s">
        <v>1956</v>
      </c>
      <c r="C207" s="1213" t="s">
        <v>2621</v>
      </c>
      <c r="D207" s="1238">
        <v>1.2</v>
      </c>
      <c r="E207" s="1262">
        <v>0</v>
      </c>
      <c r="F207" s="1266" t="s">
        <v>1257</v>
      </c>
      <c r="G207" s="1266" t="s">
        <v>1609</v>
      </c>
      <c r="H207" s="1266">
        <v>1</v>
      </c>
      <c r="I207" s="1760"/>
      <c r="J207" s="1761"/>
      <c r="K207" s="1182"/>
      <c r="L207" s="1182"/>
      <c r="M207" s="1182"/>
      <c r="N207" s="1182"/>
      <c r="O207" s="1182"/>
      <c r="P207" s="1182"/>
    </row>
    <row r="208" spans="1:16" s="103" customFormat="1" ht="18" x14ac:dyDescent="0.25">
      <c r="A208" s="1182"/>
      <c r="B208" s="1191" t="s">
        <v>1957</v>
      </c>
      <c r="C208" s="1214" t="s">
        <v>2622</v>
      </c>
      <c r="D208" s="1239">
        <v>0.1</v>
      </c>
      <c r="E208" s="1262">
        <v>0</v>
      </c>
      <c r="F208" s="1239" t="s">
        <v>1257</v>
      </c>
      <c r="G208" s="1239" t="s">
        <v>3021</v>
      </c>
      <c r="H208" s="1239">
        <v>1</v>
      </c>
      <c r="I208" s="1233"/>
      <c r="J208" s="1379"/>
      <c r="K208" s="1182"/>
      <c r="L208" s="1182"/>
      <c r="M208" s="1182"/>
      <c r="N208" s="1182"/>
      <c r="O208" s="1182"/>
      <c r="P208" s="1182"/>
    </row>
    <row r="209" spans="1:16" s="103" customFormat="1" ht="18" x14ac:dyDescent="0.25">
      <c r="A209" s="1182"/>
      <c r="B209" s="1191" t="s">
        <v>1958</v>
      </c>
      <c r="C209" s="1214" t="s">
        <v>2623</v>
      </c>
      <c r="D209" s="1239">
        <v>0.1</v>
      </c>
      <c r="E209" s="1262">
        <v>0</v>
      </c>
      <c r="F209" s="1239" t="s">
        <v>1257</v>
      </c>
      <c r="G209" s="1239" t="s">
        <v>3022</v>
      </c>
      <c r="H209" s="1239">
        <v>1</v>
      </c>
      <c r="I209" s="1233"/>
      <c r="J209" s="1379"/>
      <c r="K209" s="1182"/>
      <c r="L209" s="1182"/>
      <c r="M209" s="1182"/>
      <c r="N209" s="1182"/>
      <c r="O209" s="1182"/>
      <c r="P209" s="1182"/>
    </row>
    <row r="210" spans="1:16" s="103" customFormat="1" ht="18" x14ac:dyDescent="0.25">
      <c r="A210" s="1182"/>
      <c r="B210" s="1137" t="s">
        <v>3699</v>
      </c>
      <c r="C210" s="894" t="s">
        <v>3700</v>
      </c>
      <c r="D210" s="889">
        <v>1E-4</v>
      </c>
      <c r="E210" s="887">
        <v>0</v>
      </c>
      <c r="F210" s="889" t="s">
        <v>1257</v>
      </c>
      <c r="G210" s="889" t="s">
        <v>1613</v>
      </c>
      <c r="H210" s="889">
        <v>4</v>
      </c>
      <c r="I210" s="894"/>
      <c r="J210" s="1384"/>
      <c r="K210" s="1182"/>
      <c r="L210" s="1182"/>
      <c r="M210" s="1182"/>
      <c r="N210" s="1182"/>
      <c r="O210" s="1182"/>
      <c r="P210" s="1182"/>
    </row>
    <row r="211" spans="1:16" s="103" customFormat="1" ht="18" x14ac:dyDescent="0.25">
      <c r="A211" s="1182"/>
      <c r="B211" s="1137" t="s">
        <v>3701</v>
      </c>
      <c r="C211" s="894" t="s">
        <v>3702</v>
      </c>
      <c r="D211" s="889">
        <v>1E-4</v>
      </c>
      <c r="E211" s="887">
        <v>0</v>
      </c>
      <c r="F211" s="889" t="s">
        <v>1257</v>
      </c>
      <c r="G211" s="889" t="s">
        <v>1615</v>
      </c>
      <c r="H211" s="889">
        <v>4</v>
      </c>
      <c r="I211" s="894"/>
      <c r="J211" s="1384"/>
      <c r="K211" s="1182"/>
      <c r="L211" s="1182"/>
      <c r="M211" s="1182"/>
      <c r="N211" s="1182"/>
      <c r="O211" s="1182"/>
      <c r="P211" s="1182"/>
    </row>
    <row r="212" spans="1:16" s="103" customFormat="1" ht="18" x14ac:dyDescent="0.25">
      <c r="A212" s="1182"/>
      <c r="B212" s="1191" t="s">
        <v>1731</v>
      </c>
      <c r="C212" s="1215" t="s">
        <v>2624</v>
      </c>
      <c r="D212" s="1240">
        <v>0.5</v>
      </c>
      <c r="E212" s="1262">
        <v>0</v>
      </c>
      <c r="F212" s="1262" t="s">
        <v>1257</v>
      </c>
      <c r="G212" s="1269" t="s">
        <v>2018</v>
      </c>
      <c r="H212" s="1262">
        <v>2</v>
      </c>
      <c r="I212" s="1758"/>
      <c r="J212" s="1759"/>
      <c r="K212" s="1182"/>
      <c r="L212" s="1182"/>
      <c r="M212" s="1182"/>
      <c r="N212" s="1182"/>
      <c r="O212" s="1182"/>
      <c r="P212" s="1182"/>
    </row>
    <row r="213" spans="1:16" s="103" customFormat="1" ht="18" x14ac:dyDescent="0.25">
      <c r="A213" s="1182"/>
      <c r="B213" s="1191" t="s">
        <v>1732</v>
      </c>
      <c r="C213" s="1215" t="s">
        <v>2625</v>
      </c>
      <c r="D213" s="1240">
        <v>0.25</v>
      </c>
      <c r="E213" s="1262">
        <v>0</v>
      </c>
      <c r="F213" s="1262" t="s">
        <v>1257</v>
      </c>
      <c r="G213" s="1269" t="s">
        <v>2018</v>
      </c>
      <c r="H213" s="1262">
        <v>2</v>
      </c>
      <c r="I213" s="1758"/>
      <c r="J213" s="1759"/>
      <c r="K213" s="1182"/>
      <c r="L213" s="1182"/>
      <c r="M213" s="1182"/>
      <c r="N213" s="1182"/>
      <c r="O213" s="1182"/>
      <c r="P213" s="1182"/>
    </row>
    <row r="214" spans="1:16" s="103" customFormat="1" ht="18" x14ac:dyDescent="0.25">
      <c r="A214" s="1182"/>
      <c r="B214" s="1191" t="s">
        <v>1978</v>
      </c>
      <c r="C214" s="1215" t="s">
        <v>2628</v>
      </c>
      <c r="D214" s="1240">
        <v>5</v>
      </c>
      <c r="E214" s="1262">
        <v>0</v>
      </c>
      <c r="F214" s="1262" t="s">
        <v>1257</v>
      </c>
      <c r="G214" s="1269" t="s">
        <v>2018</v>
      </c>
      <c r="H214" s="1262">
        <v>1</v>
      </c>
      <c r="I214" s="1758"/>
      <c r="J214" s="1759"/>
      <c r="K214" s="1182"/>
      <c r="L214" s="1182"/>
      <c r="M214" s="1182"/>
      <c r="N214" s="1182"/>
      <c r="O214" s="1182"/>
      <c r="P214" s="1182"/>
    </row>
    <row r="215" spans="1:16" s="103" customFormat="1" ht="18" x14ac:dyDescent="0.25">
      <c r="A215" s="1182"/>
      <c r="B215" s="1191" t="s">
        <v>1979</v>
      </c>
      <c r="C215" s="1215" t="s">
        <v>2629</v>
      </c>
      <c r="D215" s="1240">
        <v>10</v>
      </c>
      <c r="E215" s="1262">
        <v>0</v>
      </c>
      <c r="F215" s="1262" t="s">
        <v>1257</v>
      </c>
      <c r="G215" s="1269" t="s">
        <v>2018</v>
      </c>
      <c r="H215" s="1262">
        <v>1</v>
      </c>
      <c r="I215" s="1758"/>
      <c r="J215" s="1759"/>
      <c r="K215" s="1182"/>
      <c r="L215" s="1182"/>
      <c r="M215" s="1182"/>
      <c r="N215" s="1182"/>
      <c r="O215" s="1182"/>
      <c r="P215" s="1182"/>
    </row>
    <row r="216" spans="1:16" s="103" customFormat="1" ht="18" x14ac:dyDescent="0.25">
      <c r="A216" s="1182"/>
      <c r="B216" s="1191" t="s">
        <v>2135</v>
      </c>
      <c r="C216" s="1215" t="s">
        <v>2630</v>
      </c>
      <c r="D216" s="1240">
        <v>10</v>
      </c>
      <c r="E216" s="1262">
        <v>0</v>
      </c>
      <c r="F216" s="1262" t="s">
        <v>1257</v>
      </c>
      <c r="G216" s="1269" t="s">
        <v>2018</v>
      </c>
      <c r="H216" s="1262">
        <v>1</v>
      </c>
      <c r="I216" s="1758"/>
      <c r="J216" s="1759"/>
      <c r="K216" s="1182"/>
      <c r="L216" s="1182"/>
      <c r="M216" s="1182"/>
      <c r="N216" s="1182"/>
      <c r="O216" s="1182"/>
      <c r="P216" s="1182"/>
    </row>
    <row r="217" spans="1:16" s="103" customFormat="1" ht="18" x14ac:dyDescent="0.25">
      <c r="A217" s="1182"/>
      <c r="B217" s="1191" t="s">
        <v>1167</v>
      </c>
      <c r="C217" s="1214" t="s">
        <v>2631</v>
      </c>
      <c r="D217" s="1239">
        <v>3</v>
      </c>
      <c r="E217" s="1239">
        <v>0</v>
      </c>
      <c r="F217" s="1239" t="s">
        <v>1257</v>
      </c>
      <c r="G217" s="1239" t="s">
        <v>377</v>
      </c>
      <c r="H217" s="1239">
        <v>1</v>
      </c>
      <c r="I217" s="1233"/>
      <c r="J217" s="1379"/>
      <c r="K217" s="1182"/>
      <c r="L217" s="1182"/>
      <c r="M217" s="1182"/>
      <c r="N217" s="1182"/>
      <c r="O217" s="1182"/>
      <c r="P217" s="1182"/>
    </row>
    <row r="218" spans="1:16" s="103" customFormat="1" ht="18.75" thickBot="1" x14ac:dyDescent="0.3">
      <c r="A218" s="1182"/>
      <c r="B218" s="1193" t="s">
        <v>1168</v>
      </c>
      <c r="C218" s="1216" t="s">
        <v>2632</v>
      </c>
      <c r="D218" s="1241">
        <v>11</v>
      </c>
      <c r="E218" s="1241">
        <v>0</v>
      </c>
      <c r="F218" s="1241" t="s">
        <v>1257</v>
      </c>
      <c r="G218" s="1241" t="s">
        <v>377</v>
      </c>
      <c r="H218" s="1241">
        <v>1</v>
      </c>
      <c r="I218" s="1216"/>
      <c r="J218" s="1762"/>
      <c r="K218" s="1182"/>
      <c r="L218" s="1182"/>
      <c r="M218" s="1182"/>
      <c r="N218" s="1182"/>
      <c r="O218" s="1182"/>
      <c r="P218" s="1182"/>
    </row>
    <row r="219" spans="1:16" s="103" customFormat="1" ht="15.75" thickBot="1" x14ac:dyDescent="0.3">
      <c r="A219" s="1182"/>
      <c r="B219" s="1187"/>
      <c r="C219" s="1210"/>
      <c r="D219" s="1235"/>
      <c r="E219" s="1244"/>
      <c r="F219" s="1244"/>
      <c r="G219" s="1244"/>
      <c r="H219" s="1244"/>
      <c r="I219" s="1210"/>
      <c r="J219" s="1188"/>
      <c r="K219" s="1182"/>
      <c r="L219" s="1182"/>
      <c r="M219" s="1182"/>
      <c r="N219" s="1182"/>
      <c r="O219" s="1182"/>
      <c r="P219" s="1182"/>
    </row>
    <row r="220" spans="1:16" s="103" customFormat="1" ht="15.75" thickBot="1" x14ac:dyDescent="0.3">
      <c r="A220" s="1182"/>
      <c r="B220" s="1187"/>
      <c r="C220" s="142" t="s">
        <v>300</v>
      </c>
      <c r="D220" s="1185" t="s">
        <v>299</v>
      </c>
      <c r="E220" s="1185"/>
      <c r="F220" s="1185"/>
      <c r="G220" s="1185"/>
      <c r="H220" s="1185"/>
      <c r="I220" s="1187"/>
      <c r="J220" s="1188"/>
      <c r="K220" s="1182"/>
      <c r="L220" s="1182"/>
      <c r="M220" s="1182"/>
      <c r="N220" s="1182"/>
      <c r="O220" s="1182"/>
      <c r="P220" s="1182"/>
    </row>
    <row r="221" spans="1:16" s="103" customFormat="1" ht="15.75" thickBot="1" x14ac:dyDescent="0.3">
      <c r="A221" s="1182"/>
      <c r="B221" s="1153" t="s">
        <v>0</v>
      </c>
      <c r="C221" s="144" t="s">
        <v>1</v>
      </c>
      <c r="D221" s="115" t="s">
        <v>840</v>
      </c>
      <c r="E221" s="115" t="s">
        <v>470</v>
      </c>
      <c r="F221" s="115" t="s">
        <v>471</v>
      </c>
      <c r="G221" s="115" t="s">
        <v>2</v>
      </c>
      <c r="H221" s="115" t="s">
        <v>298</v>
      </c>
      <c r="I221" s="1737" t="s">
        <v>116</v>
      </c>
      <c r="J221" s="1738" t="s">
        <v>117</v>
      </c>
      <c r="K221" s="1182"/>
      <c r="L221" s="1182"/>
      <c r="M221" s="1182"/>
      <c r="N221" s="1182"/>
      <c r="O221" s="1182"/>
      <c r="P221" s="1182"/>
    </row>
    <row r="222" spans="1:16" s="103" customFormat="1" ht="18" x14ac:dyDescent="0.25">
      <c r="A222" s="1182"/>
      <c r="B222" s="1164" t="s">
        <v>855</v>
      </c>
      <c r="C222" s="553" t="s">
        <v>2634</v>
      </c>
      <c r="D222" s="456">
        <v>2</v>
      </c>
      <c r="E222" s="457">
        <v>0</v>
      </c>
      <c r="F222" s="457" t="s">
        <v>1257</v>
      </c>
      <c r="G222" s="457" t="s">
        <v>848</v>
      </c>
      <c r="H222" s="457">
        <v>1</v>
      </c>
      <c r="I222" s="1763" t="s">
        <v>2022</v>
      </c>
      <c r="J222" s="1764"/>
      <c r="K222" s="1182"/>
      <c r="L222" s="1182"/>
      <c r="M222" s="1182"/>
      <c r="N222" s="1182"/>
      <c r="O222" s="1182"/>
      <c r="P222" s="1182"/>
    </row>
    <row r="223" spans="1:16" s="103" customFormat="1" ht="18" x14ac:dyDescent="0.25">
      <c r="A223" s="1182"/>
      <c r="B223" s="1165" t="s">
        <v>1729</v>
      </c>
      <c r="C223" s="554" t="s">
        <v>2626</v>
      </c>
      <c r="D223" s="360">
        <v>0.5</v>
      </c>
      <c r="E223" s="361">
        <v>0</v>
      </c>
      <c r="F223" s="361" t="s">
        <v>1257</v>
      </c>
      <c r="G223" s="361" t="s">
        <v>2018</v>
      </c>
      <c r="H223" s="361">
        <v>2</v>
      </c>
      <c r="I223" s="1765"/>
      <c r="J223" s="1766"/>
      <c r="K223" s="1182"/>
      <c r="L223" s="1182"/>
      <c r="M223" s="1182"/>
      <c r="N223" s="1182"/>
      <c r="O223" s="1182"/>
      <c r="P223" s="1182"/>
    </row>
    <row r="224" spans="1:16" s="103" customFormat="1" ht="18" x14ac:dyDescent="0.25">
      <c r="A224" s="1182"/>
      <c r="B224" s="1166" t="s">
        <v>1730</v>
      </c>
      <c r="C224" s="555" t="s">
        <v>2627</v>
      </c>
      <c r="D224" s="108">
        <v>0.5</v>
      </c>
      <c r="E224" s="106">
        <v>0</v>
      </c>
      <c r="F224" s="106" t="s">
        <v>1257</v>
      </c>
      <c r="G224" s="106" t="s">
        <v>2018</v>
      </c>
      <c r="H224" s="106">
        <v>2</v>
      </c>
      <c r="I224" s="107"/>
      <c r="J224" s="1767"/>
      <c r="K224" s="1182"/>
      <c r="L224" s="1182"/>
      <c r="M224" s="1182"/>
      <c r="N224" s="1182"/>
      <c r="O224" s="1182"/>
      <c r="P224" s="1182"/>
    </row>
    <row r="225" spans="1:18" s="103" customFormat="1" ht="18" x14ac:dyDescent="0.25">
      <c r="A225" s="1182"/>
      <c r="B225" s="1165" t="s">
        <v>854</v>
      </c>
      <c r="C225" s="554" t="s">
        <v>2635</v>
      </c>
      <c r="D225" s="360">
        <v>50</v>
      </c>
      <c r="E225" s="361">
        <v>0</v>
      </c>
      <c r="F225" s="361" t="s">
        <v>1257</v>
      </c>
      <c r="G225" s="361" t="s">
        <v>848</v>
      </c>
      <c r="H225" s="361">
        <v>1</v>
      </c>
      <c r="I225" s="1765"/>
      <c r="J225" s="1766"/>
      <c r="K225" s="1182"/>
      <c r="L225" s="1182"/>
      <c r="M225" s="1182"/>
      <c r="N225" s="1182"/>
      <c r="O225" s="1182"/>
      <c r="P225" s="1182"/>
    </row>
    <row r="226" spans="1:18" s="103" customFormat="1" ht="18" x14ac:dyDescent="0.25">
      <c r="A226" s="1182"/>
      <c r="B226" s="1166" t="s">
        <v>1959</v>
      </c>
      <c r="C226" s="555" t="s">
        <v>2636</v>
      </c>
      <c r="D226" s="112">
        <v>1E-3</v>
      </c>
      <c r="E226" s="106">
        <v>0</v>
      </c>
      <c r="F226" s="106" t="s">
        <v>1257</v>
      </c>
      <c r="G226" s="106" t="s">
        <v>2225</v>
      </c>
      <c r="H226" s="106">
        <v>4</v>
      </c>
      <c r="I226" s="107"/>
      <c r="J226" s="1767"/>
      <c r="K226" s="1182"/>
      <c r="L226" s="1182"/>
      <c r="M226" s="1182"/>
      <c r="N226" s="1182"/>
      <c r="O226" s="1182"/>
      <c r="P226" s="1182"/>
    </row>
    <row r="227" spans="1:18" s="103" customFormat="1" ht="18" x14ac:dyDescent="0.25">
      <c r="A227" s="1182"/>
      <c r="B227" s="1166" t="s">
        <v>1960</v>
      </c>
      <c r="C227" s="556" t="s">
        <v>2637</v>
      </c>
      <c r="D227" s="110">
        <v>0.05</v>
      </c>
      <c r="E227" s="106">
        <v>0</v>
      </c>
      <c r="F227" s="106" t="s">
        <v>1257</v>
      </c>
      <c r="G227" s="106" t="s">
        <v>2225</v>
      </c>
      <c r="H227" s="106">
        <v>2</v>
      </c>
      <c r="I227" s="107"/>
      <c r="J227" s="1767"/>
      <c r="K227" s="1182"/>
      <c r="L227" s="1182"/>
      <c r="M227" s="1182"/>
      <c r="N227" s="1182"/>
      <c r="O227" s="1182"/>
      <c r="P227" s="1182"/>
    </row>
    <row r="228" spans="1:18" s="103" customFormat="1" ht="18" x14ac:dyDescent="0.25">
      <c r="A228" s="1182"/>
      <c r="B228" s="1166" t="s">
        <v>856</v>
      </c>
      <c r="C228" s="556" t="s">
        <v>2638</v>
      </c>
      <c r="D228" s="110">
        <v>0.05</v>
      </c>
      <c r="E228" s="106">
        <v>0</v>
      </c>
      <c r="F228" s="106" t="s">
        <v>1257</v>
      </c>
      <c r="G228" s="106" t="s">
        <v>848</v>
      </c>
      <c r="H228" s="106">
        <v>2</v>
      </c>
      <c r="I228" s="107"/>
      <c r="J228" s="1767"/>
      <c r="K228" s="1182"/>
      <c r="L228" s="1182"/>
      <c r="M228" s="1182"/>
      <c r="N228" s="1182"/>
      <c r="O228" s="1182"/>
      <c r="P228" s="1182"/>
    </row>
    <row r="229" spans="1:18" s="103" customFormat="1" ht="18" x14ac:dyDescent="0.25">
      <c r="A229" s="1182"/>
      <c r="B229" s="1166" t="s">
        <v>1756</v>
      </c>
      <c r="C229" s="556" t="s">
        <v>2639</v>
      </c>
      <c r="D229" s="110">
        <v>0.5</v>
      </c>
      <c r="E229" s="106">
        <v>0</v>
      </c>
      <c r="F229" s="106" t="s">
        <v>1257</v>
      </c>
      <c r="G229" s="106" t="s">
        <v>848</v>
      </c>
      <c r="H229" s="106">
        <v>2</v>
      </c>
      <c r="I229" s="107"/>
      <c r="J229" s="1767"/>
      <c r="K229" s="1182"/>
      <c r="L229" s="1182"/>
      <c r="M229" s="1182"/>
      <c r="N229" s="1182"/>
      <c r="O229" s="1182"/>
      <c r="P229" s="1182"/>
    </row>
    <row r="230" spans="1:18" s="103" customFormat="1" ht="18" x14ac:dyDescent="0.25">
      <c r="A230" s="1182"/>
      <c r="B230" s="1166" t="s">
        <v>1757</v>
      </c>
      <c r="C230" s="557" t="s">
        <v>2640</v>
      </c>
      <c r="D230" s="109">
        <v>7.0000000000000001E-3</v>
      </c>
      <c r="E230" s="106">
        <v>0</v>
      </c>
      <c r="F230" s="106" t="s">
        <v>1257</v>
      </c>
      <c r="G230" s="106" t="s">
        <v>848</v>
      </c>
      <c r="H230" s="106">
        <v>3</v>
      </c>
      <c r="I230" s="107"/>
      <c r="J230" s="1767"/>
      <c r="K230" s="1182"/>
      <c r="L230" s="1182"/>
      <c r="M230" s="1182"/>
      <c r="N230" s="1182"/>
      <c r="O230" s="1182"/>
      <c r="P230" s="1182"/>
    </row>
    <row r="231" spans="1:18" s="103" customFormat="1" ht="18" x14ac:dyDescent="0.25">
      <c r="A231" s="1182"/>
      <c r="B231" s="1166" t="s">
        <v>857</v>
      </c>
      <c r="C231" s="554" t="s">
        <v>2641</v>
      </c>
      <c r="D231" s="108">
        <v>1</v>
      </c>
      <c r="E231" s="106">
        <v>0</v>
      </c>
      <c r="F231" s="106" t="s">
        <v>1257</v>
      </c>
      <c r="G231" s="106" t="s">
        <v>848</v>
      </c>
      <c r="H231" s="106">
        <v>1</v>
      </c>
      <c r="I231" s="107"/>
      <c r="J231" s="1767"/>
      <c r="K231" s="1182"/>
      <c r="L231" s="1182"/>
      <c r="M231" s="1182"/>
      <c r="N231" s="1182"/>
      <c r="O231" s="1182"/>
      <c r="P231" s="1182"/>
    </row>
    <row r="232" spans="1:18" s="103" customFormat="1" ht="18" x14ac:dyDescent="0.25">
      <c r="A232" s="1182"/>
      <c r="B232" s="1166" t="s">
        <v>2633</v>
      </c>
      <c r="C232" s="555" t="s">
        <v>3017</v>
      </c>
      <c r="D232" s="112">
        <v>5.0000000000000001E-4</v>
      </c>
      <c r="E232" s="106">
        <v>0</v>
      </c>
      <c r="F232" s="106" t="s">
        <v>1257</v>
      </c>
      <c r="G232" s="106" t="s">
        <v>851</v>
      </c>
      <c r="H232" s="106">
        <v>4</v>
      </c>
      <c r="I232" s="107"/>
      <c r="J232" s="1767"/>
      <c r="K232" s="1182"/>
      <c r="L232" s="1182"/>
      <c r="M232" s="1182"/>
      <c r="N232" s="1182"/>
      <c r="O232" s="1182"/>
      <c r="P232" s="1182"/>
    </row>
    <row r="233" spans="1:18" s="117" customFormat="1" ht="18" x14ac:dyDescent="0.25">
      <c r="A233" s="1184"/>
      <c r="B233" s="1166" t="s">
        <v>2428</v>
      </c>
      <c r="C233" s="557" t="s">
        <v>2642</v>
      </c>
      <c r="D233" s="109">
        <v>1E-3</v>
      </c>
      <c r="E233" s="106">
        <v>0</v>
      </c>
      <c r="F233" s="106" t="s">
        <v>1257</v>
      </c>
      <c r="G233" s="106" t="s">
        <v>851</v>
      </c>
      <c r="H233" s="106">
        <v>3</v>
      </c>
      <c r="I233" s="107"/>
      <c r="J233" s="1767"/>
      <c r="K233" s="1182"/>
      <c r="L233" s="1182"/>
      <c r="M233" s="1182"/>
      <c r="N233" s="1182"/>
      <c r="O233" s="1182"/>
      <c r="P233" s="1182"/>
      <c r="Q233" s="103"/>
      <c r="R233" s="103"/>
    </row>
    <row r="234" spans="1:18" s="103" customFormat="1" ht="18.75" thickBot="1" x14ac:dyDescent="0.3">
      <c r="A234" s="1182"/>
      <c r="B234" s="1167" t="s">
        <v>2427</v>
      </c>
      <c r="C234" s="558" t="s">
        <v>2643</v>
      </c>
      <c r="D234" s="458">
        <v>1E-3</v>
      </c>
      <c r="E234" s="198">
        <v>0</v>
      </c>
      <c r="F234" s="198" t="s">
        <v>1257</v>
      </c>
      <c r="G234" s="198" t="s">
        <v>851</v>
      </c>
      <c r="H234" s="198">
        <v>3</v>
      </c>
      <c r="I234" s="1768"/>
      <c r="J234" s="1769"/>
      <c r="K234" s="1182"/>
      <c r="L234" s="1182"/>
      <c r="M234" s="1182"/>
      <c r="N234" s="1182"/>
      <c r="O234" s="1182"/>
      <c r="P234" s="1182"/>
    </row>
    <row r="235" spans="1:18" s="103" customFormat="1" ht="15.75" thickBot="1" x14ac:dyDescent="0.3">
      <c r="A235" s="1182"/>
      <c r="B235" s="1187"/>
      <c r="C235" s="1187"/>
      <c r="D235" s="1185"/>
      <c r="E235" s="1185"/>
      <c r="F235" s="1185"/>
      <c r="G235" s="1185"/>
      <c r="H235" s="1185"/>
      <c r="I235" s="1187"/>
      <c r="J235" s="1188"/>
      <c r="K235" s="1182"/>
      <c r="L235" s="1182"/>
      <c r="M235" s="1182"/>
      <c r="N235" s="1182"/>
      <c r="O235" s="1182"/>
      <c r="P235" s="1182"/>
    </row>
    <row r="236" spans="1:18" s="103" customFormat="1" ht="15.75" thickBot="1" x14ac:dyDescent="0.3">
      <c r="A236" s="1182"/>
      <c r="B236" s="1187"/>
      <c r="C236" s="459" t="s">
        <v>1196</v>
      </c>
      <c r="D236" s="1185" t="s">
        <v>299</v>
      </c>
      <c r="E236" s="1185"/>
      <c r="F236" s="1185"/>
      <c r="G236" s="1185"/>
      <c r="H236" s="1185"/>
      <c r="I236" s="1187"/>
      <c r="J236" s="1188"/>
      <c r="K236" s="1182"/>
      <c r="L236" s="1182"/>
      <c r="M236" s="1182"/>
      <c r="N236" s="1182"/>
      <c r="O236" s="1182"/>
      <c r="P236" s="1182"/>
    </row>
    <row r="237" spans="1:18" s="103" customFormat="1" ht="15.75" thickBot="1" x14ac:dyDescent="0.3">
      <c r="A237" s="1182"/>
      <c r="B237" s="283" t="s">
        <v>0</v>
      </c>
      <c r="C237" s="286" t="s">
        <v>1</v>
      </c>
      <c r="D237" s="288" t="s">
        <v>840</v>
      </c>
      <c r="E237" s="288" t="s">
        <v>470</v>
      </c>
      <c r="F237" s="288" t="s">
        <v>471</v>
      </c>
      <c r="G237" s="288" t="s">
        <v>2</v>
      </c>
      <c r="H237" s="288" t="s">
        <v>298</v>
      </c>
      <c r="I237" s="286" t="s">
        <v>116</v>
      </c>
      <c r="J237" s="1702" t="s">
        <v>117</v>
      </c>
      <c r="K237" s="1182"/>
      <c r="L237" s="1182"/>
      <c r="M237" s="1182"/>
      <c r="N237" s="1182"/>
      <c r="O237" s="1182"/>
      <c r="P237" s="1182"/>
    </row>
    <row r="238" spans="1:18" s="103" customFormat="1" ht="18.75" thickBot="1" x14ac:dyDescent="0.3">
      <c r="A238" s="1182" t="s">
        <v>3617</v>
      </c>
      <c r="B238" s="1194" t="s">
        <v>1197</v>
      </c>
      <c r="C238" s="1217" t="s">
        <v>2646</v>
      </c>
      <c r="D238" s="1242">
        <v>0.4</v>
      </c>
      <c r="E238" s="1242">
        <v>0</v>
      </c>
      <c r="F238" s="1242">
        <v>1</v>
      </c>
      <c r="G238" s="1270" t="s">
        <v>2018</v>
      </c>
      <c r="H238" s="1270">
        <v>2</v>
      </c>
      <c r="I238" s="1217"/>
      <c r="J238" s="1770"/>
      <c r="K238" s="1182"/>
      <c r="L238" s="1182"/>
      <c r="M238" s="1182"/>
      <c r="N238" s="1182"/>
      <c r="O238" s="1182"/>
      <c r="P238" s="1182"/>
    </row>
    <row r="239" spans="1:18" s="103" customFormat="1" ht="15.75" thickBot="1" x14ac:dyDescent="0.3">
      <c r="A239" s="1182"/>
      <c r="B239" s="1187"/>
      <c r="C239" s="1187"/>
      <c r="D239" s="1185"/>
      <c r="E239" s="1185"/>
      <c r="F239" s="1185"/>
      <c r="G239" s="1185"/>
      <c r="H239" s="1185"/>
      <c r="I239" s="1187"/>
      <c r="J239" s="1188"/>
      <c r="K239" s="1182"/>
      <c r="L239" s="1182"/>
      <c r="M239" s="1182"/>
      <c r="N239" s="1182"/>
      <c r="O239" s="1182"/>
      <c r="P239" s="1182"/>
    </row>
    <row r="240" spans="1:18" s="103" customFormat="1" ht="15.75" thickBot="1" x14ac:dyDescent="0.3">
      <c r="A240" s="1182"/>
      <c r="B240" s="1187"/>
      <c r="C240" s="142" t="s">
        <v>275</v>
      </c>
      <c r="D240" s="1185" t="s">
        <v>299</v>
      </c>
      <c r="E240" s="1185"/>
      <c r="F240" s="1185"/>
      <c r="G240" s="1185"/>
      <c r="H240" s="1185"/>
      <c r="I240" s="1187"/>
      <c r="J240" s="1188"/>
      <c r="K240" s="1182"/>
      <c r="L240" s="1182"/>
      <c r="M240" s="1182"/>
      <c r="N240" s="1182"/>
      <c r="O240" s="1182"/>
      <c r="P240" s="1182"/>
    </row>
    <row r="241" spans="1:16" s="103" customFormat="1" ht="15.75" thickBot="1" x14ac:dyDescent="0.3">
      <c r="A241" s="1182"/>
      <c r="B241" s="1168" t="s">
        <v>0</v>
      </c>
      <c r="C241" s="199" t="s">
        <v>1</v>
      </c>
      <c r="D241" s="200" t="s">
        <v>840</v>
      </c>
      <c r="E241" s="200" t="s">
        <v>470</v>
      </c>
      <c r="F241" s="200" t="s">
        <v>471</v>
      </c>
      <c r="G241" s="200" t="s">
        <v>2</v>
      </c>
      <c r="H241" s="200" t="s">
        <v>298</v>
      </c>
      <c r="I241" s="1771" t="s">
        <v>116</v>
      </c>
      <c r="J241" s="1772" t="s">
        <v>117</v>
      </c>
      <c r="K241" s="1182"/>
      <c r="L241" s="1182"/>
      <c r="M241" s="1182"/>
      <c r="N241" s="1182"/>
      <c r="O241" s="1182"/>
      <c r="P241" s="1182"/>
    </row>
    <row r="242" spans="1:16" s="103" customFormat="1" ht="18" x14ac:dyDescent="0.25">
      <c r="A242" s="1182"/>
      <c r="B242" s="1169" t="s">
        <v>858</v>
      </c>
      <c r="C242" s="215" t="s">
        <v>1240</v>
      </c>
      <c r="D242" s="216">
        <v>1.04</v>
      </c>
      <c r="E242" s="216">
        <v>0</v>
      </c>
      <c r="F242" s="216" t="s">
        <v>1257</v>
      </c>
      <c r="G242" s="216" t="s">
        <v>2018</v>
      </c>
      <c r="H242" s="217">
        <v>3</v>
      </c>
      <c r="I242" s="215"/>
      <c r="J242" s="1773"/>
      <c r="K242" s="1182"/>
      <c r="L242" s="1182"/>
      <c r="M242" s="1182"/>
      <c r="N242" s="1182"/>
      <c r="O242" s="1182"/>
      <c r="P242" s="1182"/>
    </row>
    <row r="243" spans="1:16" s="103" customFormat="1" ht="18" x14ac:dyDescent="0.25">
      <c r="A243" s="1182"/>
      <c r="B243" s="149" t="s">
        <v>859</v>
      </c>
      <c r="C243" s="203" t="s">
        <v>1233</v>
      </c>
      <c r="D243" s="201">
        <v>1.04</v>
      </c>
      <c r="E243" s="201">
        <v>0</v>
      </c>
      <c r="F243" s="201" t="s">
        <v>1257</v>
      </c>
      <c r="G243" s="201" t="s">
        <v>2018</v>
      </c>
      <c r="H243" s="202">
        <v>3</v>
      </c>
      <c r="I243" s="203"/>
      <c r="J243" s="1774"/>
      <c r="K243" s="1182"/>
      <c r="L243" s="1182"/>
      <c r="M243" s="1182"/>
      <c r="N243" s="1182"/>
      <c r="O243" s="1182"/>
      <c r="P243" s="1182"/>
    </row>
    <row r="244" spans="1:16" s="103" customFormat="1" ht="18" x14ac:dyDescent="0.25">
      <c r="A244" s="1182"/>
      <c r="B244" s="149" t="s">
        <v>860</v>
      </c>
      <c r="C244" s="203" t="s">
        <v>1241</v>
      </c>
      <c r="D244" s="201">
        <v>1.03</v>
      </c>
      <c r="E244" s="201">
        <v>0</v>
      </c>
      <c r="F244" s="201" t="s">
        <v>1257</v>
      </c>
      <c r="G244" s="201" t="s">
        <v>2018</v>
      </c>
      <c r="H244" s="202">
        <v>3</v>
      </c>
      <c r="I244" s="203"/>
      <c r="J244" s="1774"/>
      <c r="K244" s="1182"/>
      <c r="L244" s="1182"/>
      <c r="M244" s="1182"/>
      <c r="N244" s="1182"/>
      <c r="O244" s="1182"/>
      <c r="P244" s="1182"/>
    </row>
    <row r="245" spans="1:16" s="103" customFormat="1" ht="18" x14ac:dyDescent="0.25">
      <c r="A245" s="1182"/>
      <c r="B245" s="149" t="s">
        <v>861</v>
      </c>
      <c r="C245" s="203" t="s">
        <v>1242</v>
      </c>
      <c r="D245" s="201">
        <v>1.06</v>
      </c>
      <c r="E245" s="201">
        <v>0</v>
      </c>
      <c r="F245" s="201" t="s">
        <v>1257</v>
      </c>
      <c r="G245" s="201" t="s">
        <v>2018</v>
      </c>
      <c r="H245" s="202">
        <v>3</v>
      </c>
      <c r="I245" s="203"/>
      <c r="J245" s="1774"/>
      <c r="K245" s="1182"/>
      <c r="L245" s="1182"/>
      <c r="M245" s="1182"/>
      <c r="N245" s="1182"/>
      <c r="O245" s="1182"/>
      <c r="P245" s="1182"/>
    </row>
    <row r="246" spans="1:16" s="103" customFormat="1" ht="18" x14ac:dyDescent="0.25">
      <c r="A246" s="1182"/>
      <c r="B246" s="149" t="s">
        <v>862</v>
      </c>
      <c r="C246" s="203" t="s">
        <v>1243</v>
      </c>
      <c r="D246" s="201">
        <v>1.03</v>
      </c>
      <c r="E246" s="201">
        <v>0</v>
      </c>
      <c r="F246" s="201" t="s">
        <v>1257</v>
      </c>
      <c r="G246" s="201" t="s">
        <v>2018</v>
      </c>
      <c r="H246" s="202">
        <v>3</v>
      </c>
      <c r="I246" s="203"/>
      <c r="J246" s="1774"/>
      <c r="K246" s="1182"/>
      <c r="L246" s="1182"/>
      <c r="M246" s="1182"/>
      <c r="N246" s="1182"/>
      <c r="O246" s="1182"/>
      <c r="P246" s="1182"/>
    </row>
    <row r="247" spans="1:16" s="103" customFormat="1" ht="18" x14ac:dyDescent="0.25">
      <c r="A247" s="1182"/>
      <c r="B247" s="243" t="s">
        <v>4282</v>
      </c>
      <c r="C247" s="1048" t="s">
        <v>4281</v>
      </c>
      <c r="D247" s="450">
        <v>1.04</v>
      </c>
      <c r="E247" s="450">
        <v>0</v>
      </c>
      <c r="F247" s="450" t="s">
        <v>1257</v>
      </c>
      <c r="G247" s="450" t="s">
        <v>2018</v>
      </c>
      <c r="H247" s="451">
        <v>3</v>
      </c>
      <c r="I247" s="449"/>
      <c r="J247" s="1775"/>
      <c r="K247" s="1182"/>
      <c r="L247" s="1182"/>
      <c r="M247" s="1182"/>
      <c r="N247" s="1182"/>
      <c r="O247" s="1182"/>
      <c r="P247" s="1182"/>
    </row>
    <row r="248" spans="1:16" s="103" customFormat="1" ht="18" x14ac:dyDescent="0.25">
      <c r="A248" s="1182"/>
      <c r="B248" s="243" t="s">
        <v>1735</v>
      </c>
      <c r="C248" s="449" t="s">
        <v>1244</v>
      </c>
      <c r="D248" s="450">
        <v>1.04</v>
      </c>
      <c r="E248" s="450">
        <v>0</v>
      </c>
      <c r="F248" s="450" t="s">
        <v>1257</v>
      </c>
      <c r="G248" s="450" t="s">
        <v>2018</v>
      </c>
      <c r="H248" s="451">
        <v>3</v>
      </c>
      <c r="I248" s="449"/>
      <c r="J248" s="1775"/>
      <c r="K248" s="1182"/>
      <c r="L248" s="1182"/>
      <c r="M248" s="1182"/>
      <c r="N248" s="1182"/>
      <c r="O248" s="1182"/>
      <c r="P248" s="1182"/>
    </row>
    <row r="249" spans="1:16" s="103" customFormat="1" ht="18" x14ac:dyDescent="0.25">
      <c r="A249" s="1182"/>
      <c r="B249" s="559" t="s">
        <v>2644</v>
      </c>
      <c r="C249" s="534" t="s">
        <v>2645</v>
      </c>
      <c r="D249" s="560">
        <v>1.04</v>
      </c>
      <c r="E249" s="560">
        <v>0</v>
      </c>
      <c r="F249" s="560" t="s">
        <v>1257</v>
      </c>
      <c r="G249" s="560" t="s">
        <v>2018</v>
      </c>
      <c r="H249" s="561">
        <v>3</v>
      </c>
      <c r="I249" s="534"/>
      <c r="J249" s="1776"/>
      <c r="K249" s="1182"/>
      <c r="L249" s="1182"/>
      <c r="M249" s="1182"/>
      <c r="N249" s="1182"/>
      <c r="O249" s="1182"/>
      <c r="P249" s="1182"/>
    </row>
    <row r="250" spans="1:16" s="103" customFormat="1" ht="18" x14ac:dyDescent="0.25">
      <c r="A250" s="1182"/>
      <c r="B250" s="1051" t="s">
        <v>3833</v>
      </c>
      <c r="C250" s="1048" t="s">
        <v>3834</v>
      </c>
      <c r="D250" s="1052">
        <v>1.04</v>
      </c>
      <c r="E250" s="1049">
        <v>0</v>
      </c>
      <c r="F250" s="1049" t="s">
        <v>1257</v>
      </c>
      <c r="G250" s="1049" t="s">
        <v>2018</v>
      </c>
      <c r="H250" s="1050">
        <v>3</v>
      </c>
      <c r="I250" s="1048"/>
      <c r="J250" s="1777"/>
      <c r="K250" s="1182"/>
      <c r="L250" s="1182"/>
      <c r="M250" s="1182"/>
      <c r="N250" s="1182"/>
      <c r="O250" s="1182"/>
      <c r="P250" s="1182"/>
    </row>
    <row r="251" spans="1:16" s="103" customFormat="1" ht="18" x14ac:dyDescent="0.25">
      <c r="A251" s="1182"/>
      <c r="B251" s="243" t="s">
        <v>863</v>
      </c>
      <c r="C251" s="449" t="s">
        <v>1245</v>
      </c>
      <c r="D251" s="450">
        <v>1.04</v>
      </c>
      <c r="E251" s="450">
        <v>0</v>
      </c>
      <c r="F251" s="450" t="s">
        <v>1257</v>
      </c>
      <c r="G251" s="450" t="s">
        <v>2018</v>
      </c>
      <c r="H251" s="451">
        <v>3</v>
      </c>
      <c r="I251" s="449"/>
      <c r="J251" s="1775"/>
      <c r="K251" s="1182"/>
      <c r="L251" s="1182"/>
      <c r="M251" s="1182"/>
      <c r="N251" s="1182"/>
      <c r="O251" s="1182"/>
      <c r="P251" s="1182"/>
    </row>
    <row r="252" spans="1:16" s="103" customFormat="1" ht="18" x14ac:dyDescent="0.25">
      <c r="A252" s="1182"/>
      <c r="B252" s="243" t="s">
        <v>4284</v>
      </c>
      <c r="C252" s="1048" t="s">
        <v>4283</v>
      </c>
      <c r="D252" s="450">
        <v>1.03</v>
      </c>
      <c r="E252" s="450">
        <v>0</v>
      </c>
      <c r="F252" s="450" t="s">
        <v>1257</v>
      </c>
      <c r="G252" s="450" t="s">
        <v>2018</v>
      </c>
      <c r="H252" s="451">
        <v>3</v>
      </c>
      <c r="I252" s="449"/>
      <c r="J252" s="1775"/>
      <c r="K252" s="1182"/>
      <c r="L252" s="1182"/>
      <c r="M252" s="1182"/>
      <c r="N252" s="1182"/>
      <c r="O252" s="1182"/>
      <c r="P252" s="1182"/>
    </row>
    <row r="253" spans="1:16" s="103" customFormat="1" ht="18" x14ac:dyDescent="0.25">
      <c r="A253" s="1182"/>
      <c r="B253" s="243" t="s">
        <v>4286</v>
      </c>
      <c r="C253" s="1048" t="s">
        <v>4285</v>
      </c>
      <c r="D253" s="450">
        <v>1.0640000000000001</v>
      </c>
      <c r="E253" s="450">
        <v>0</v>
      </c>
      <c r="F253" s="450" t="s">
        <v>1257</v>
      </c>
      <c r="G253" s="450" t="s">
        <v>2018</v>
      </c>
      <c r="H253" s="451">
        <v>3</v>
      </c>
      <c r="I253" s="449"/>
      <c r="J253" s="398" t="s">
        <v>2174</v>
      </c>
      <c r="K253" s="1182"/>
      <c r="L253" s="1182"/>
      <c r="M253" s="1182"/>
      <c r="N253" s="1182"/>
      <c r="O253" s="1182"/>
      <c r="P253" s="1182"/>
    </row>
    <row r="254" spans="1:16" s="103" customFormat="1" ht="18" x14ac:dyDescent="0.25">
      <c r="A254" s="1182"/>
      <c r="B254" s="243" t="s">
        <v>2155</v>
      </c>
      <c r="C254" s="449" t="s">
        <v>1246</v>
      </c>
      <c r="D254" s="832">
        <v>1.03</v>
      </c>
      <c r="E254" s="450">
        <v>0</v>
      </c>
      <c r="F254" s="450" t="s">
        <v>1257</v>
      </c>
      <c r="G254" s="450" t="s">
        <v>2018</v>
      </c>
      <c r="H254" s="451">
        <v>3</v>
      </c>
      <c r="I254" s="449"/>
      <c r="J254" s="1775"/>
      <c r="K254" s="1182"/>
      <c r="L254" s="1182"/>
      <c r="M254" s="1182"/>
      <c r="N254" s="1182"/>
      <c r="O254" s="1182"/>
      <c r="P254" s="1182"/>
    </row>
    <row r="255" spans="1:16" s="103" customFormat="1" ht="18" x14ac:dyDescent="0.25">
      <c r="A255" s="1182"/>
      <c r="B255" s="211" t="s">
        <v>2161</v>
      </c>
      <c r="C255" s="212" t="s">
        <v>2162</v>
      </c>
      <c r="D255" s="833">
        <v>1.0720000000000001</v>
      </c>
      <c r="E255" s="213">
        <v>0</v>
      </c>
      <c r="F255" s="213" t="s">
        <v>1257</v>
      </c>
      <c r="G255" s="213" t="s">
        <v>2018</v>
      </c>
      <c r="H255" s="214">
        <v>3</v>
      </c>
      <c r="I255" s="212"/>
      <c r="J255" s="1778"/>
      <c r="K255" s="1182"/>
      <c r="L255" s="1182"/>
      <c r="M255" s="1182"/>
      <c r="N255" s="1182"/>
      <c r="O255" s="1182"/>
      <c r="P255" s="1182"/>
    </row>
    <row r="256" spans="1:16" s="103" customFormat="1" ht="18" x14ac:dyDescent="0.25">
      <c r="A256" s="1182"/>
      <c r="B256" s="1144" t="s">
        <v>2315</v>
      </c>
      <c r="C256" s="191" t="s">
        <v>2316</v>
      </c>
      <c r="D256" s="209">
        <v>1.0720000000000001</v>
      </c>
      <c r="E256" s="192">
        <v>0</v>
      </c>
      <c r="F256" s="192" t="s">
        <v>1257</v>
      </c>
      <c r="G256" s="192" t="s">
        <v>2018</v>
      </c>
      <c r="H256" s="210">
        <v>3</v>
      </c>
      <c r="I256" s="191"/>
      <c r="J256" s="1779"/>
      <c r="K256" s="1182"/>
      <c r="L256" s="1182"/>
      <c r="M256" s="1182"/>
      <c r="N256" s="1182"/>
      <c r="O256" s="1182"/>
      <c r="P256" s="1182"/>
    </row>
    <row r="257" spans="1:16" s="103" customFormat="1" ht="18" x14ac:dyDescent="0.25">
      <c r="A257" s="1182"/>
      <c r="B257" s="1144" t="s">
        <v>2317</v>
      </c>
      <c r="C257" s="191" t="s">
        <v>2318</v>
      </c>
      <c r="D257" s="209">
        <v>1.03</v>
      </c>
      <c r="E257" s="192">
        <v>0</v>
      </c>
      <c r="F257" s="192" t="s">
        <v>1257</v>
      </c>
      <c r="G257" s="192" t="s">
        <v>2018</v>
      </c>
      <c r="H257" s="210">
        <v>3</v>
      </c>
      <c r="I257" s="191"/>
      <c r="J257" s="1779"/>
      <c r="K257" s="1182"/>
      <c r="L257" s="1182"/>
      <c r="M257" s="1182"/>
      <c r="N257" s="1182"/>
      <c r="O257" s="1182"/>
      <c r="P257" s="1182"/>
    </row>
    <row r="258" spans="1:16" s="103" customFormat="1" ht="18" x14ac:dyDescent="0.25">
      <c r="A258" s="1182"/>
      <c r="B258" s="1144" t="s">
        <v>2319</v>
      </c>
      <c r="C258" s="191" t="s">
        <v>2320</v>
      </c>
      <c r="D258" s="209">
        <v>1.06</v>
      </c>
      <c r="E258" s="192">
        <v>0</v>
      </c>
      <c r="F258" s="192" t="s">
        <v>1257</v>
      </c>
      <c r="G258" s="192" t="s">
        <v>2018</v>
      </c>
      <c r="H258" s="210">
        <v>3</v>
      </c>
      <c r="I258" s="191"/>
      <c r="J258" s="1779"/>
      <c r="K258" s="1182"/>
      <c r="L258" s="1182"/>
      <c r="M258" s="1182"/>
      <c r="N258" s="1182"/>
      <c r="O258" s="1182"/>
      <c r="P258" s="1182"/>
    </row>
    <row r="259" spans="1:16" s="103" customFormat="1" ht="18" x14ac:dyDescent="0.25">
      <c r="A259" s="1182"/>
      <c r="B259" s="1144" t="s">
        <v>2321</v>
      </c>
      <c r="C259" s="191" t="s">
        <v>2322</v>
      </c>
      <c r="D259" s="209">
        <v>1.03</v>
      </c>
      <c r="E259" s="192">
        <v>0</v>
      </c>
      <c r="F259" s="192" t="s">
        <v>1257</v>
      </c>
      <c r="G259" s="192" t="s">
        <v>2018</v>
      </c>
      <c r="H259" s="210">
        <v>3</v>
      </c>
      <c r="I259" s="191"/>
      <c r="J259" s="1779"/>
      <c r="K259" s="1182"/>
      <c r="L259" s="1182"/>
      <c r="M259" s="1182"/>
      <c r="N259" s="1182"/>
      <c r="O259" s="1182"/>
      <c r="P259" s="1182"/>
    </row>
    <row r="260" spans="1:16" s="103" customFormat="1" ht="18" x14ac:dyDescent="0.25">
      <c r="A260" s="1182"/>
      <c r="B260" s="1148" t="s">
        <v>2323</v>
      </c>
      <c r="C260" s="474" t="s">
        <v>2324</v>
      </c>
      <c r="D260" s="478">
        <v>1.01</v>
      </c>
      <c r="E260" s="475">
        <v>0</v>
      </c>
      <c r="F260" s="475" t="s">
        <v>1257</v>
      </c>
      <c r="G260" s="475" t="s">
        <v>2018</v>
      </c>
      <c r="H260" s="479">
        <v>3</v>
      </c>
      <c r="I260" s="474"/>
      <c r="J260" s="1734"/>
      <c r="K260" s="1182"/>
      <c r="L260" s="1182"/>
      <c r="M260" s="1182"/>
      <c r="N260" s="1182"/>
      <c r="O260" s="1182"/>
      <c r="P260" s="1182"/>
    </row>
    <row r="261" spans="1:16" s="103" customFormat="1" ht="18" x14ac:dyDescent="0.25">
      <c r="A261" s="1182"/>
      <c r="B261" s="1148" t="s">
        <v>2325</v>
      </c>
      <c r="C261" s="474" t="s">
        <v>2326</v>
      </c>
      <c r="D261" s="478">
        <v>1.03</v>
      </c>
      <c r="E261" s="475">
        <v>0</v>
      </c>
      <c r="F261" s="475" t="s">
        <v>1257</v>
      </c>
      <c r="G261" s="475" t="s">
        <v>2018</v>
      </c>
      <c r="H261" s="479">
        <v>3</v>
      </c>
      <c r="I261" s="474"/>
      <c r="J261" s="1734"/>
      <c r="K261" s="1182"/>
      <c r="L261" s="1182"/>
      <c r="M261" s="1182"/>
      <c r="N261" s="1182"/>
      <c r="O261" s="1182"/>
      <c r="P261" s="1182"/>
    </row>
    <row r="262" spans="1:16" s="103" customFormat="1" ht="18" x14ac:dyDescent="0.25">
      <c r="A262" s="1182"/>
      <c r="B262" s="150" t="s">
        <v>864</v>
      </c>
      <c r="C262" s="352" t="s">
        <v>1247</v>
      </c>
      <c r="D262" s="353">
        <v>1.03</v>
      </c>
      <c r="E262" s="353">
        <v>0</v>
      </c>
      <c r="F262" s="353" t="s">
        <v>1257</v>
      </c>
      <c r="G262" s="353" t="s">
        <v>2018</v>
      </c>
      <c r="H262" s="354">
        <v>3</v>
      </c>
      <c r="I262" s="352"/>
      <c r="J262" s="1780"/>
      <c r="K262" s="1182"/>
      <c r="L262" s="1182"/>
      <c r="M262" s="1182"/>
      <c r="N262" s="1182"/>
      <c r="O262" s="1182"/>
      <c r="P262" s="1182"/>
    </row>
    <row r="263" spans="1:16" s="103" customFormat="1" ht="18" x14ac:dyDescent="0.25">
      <c r="A263" s="1182"/>
      <c r="B263" s="150" t="s">
        <v>865</v>
      </c>
      <c r="C263" s="352" t="s">
        <v>1248</v>
      </c>
      <c r="D263" s="353">
        <v>1.03</v>
      </c>
      <c r="E263" s="353">
        <v>0</v>
      </c>
      <c r="F263" s="353" t="s">
        <v>1257</v>
      </c>
      <c r="G263" s="353" t="s">
        <v>2018</v>
      </c>
      <c r="H263" s="354">
        <v>3</v>
      </c>
      <c r="I263" s="352"/>
      <c r="J263" s="1780"/>
      <c r="K263" s="1182"/>
      <c r="L263" s="1182"/>
      <c r="M263" s="1182"/>
      <c r="N263" s="1182"/>
      <c r="O263" s="1182"/>
      <c r="P263" s="1182"/>
    </row>
    <row r="264" spans="1:16" s="103" customFormat="1" ht="18" x14ac:dyDescent="0.25">
      <c r="A264" s="1182"/>
      <c r="B264" s="1155" t="s">
        <v>866</v>
      </c>
      <c r="C264" s="349" t="s">
        <v>1249</v>
      </c>
      <c r="D264" s="350">
        <v>1.03</v>
      </c>
      <c r="E264" s="350">
        <v>0</v>
      </c>
      <c r="F264" s="350" t="s">
        <v>1257</v>
      </c>
      <c r="G264" s="350" t="s">
        <v>2018</v>
      </c>
      <c r="H264" s="351">
        <v>3</v>
      </c>
      <c r="I264" s="349"/>
      <c r="J264" s="1781"/>
      <c r="K264" s="1182"/>
      <c r="L264" s="1182"/>
      <c r="M264" s="1182"/>
      <c r="N264" s="1182"/>
      <c r="O264" s="1182"/>
      <c r="P264" s="1182"/>
    </row>
    <row r="265" spans="1:16" s="103" customFormat="1" ht="18" x14ac:dyDescent="0.25">
      <c r="A265" s="1182"/>
      <c r="B265" s="1155" t="s">
        <v>867</v>
      </c>
      <c r="C265" s="349" t="s">
        <v>1250</v>
      </c>
      <c r="D265" s="350">
        <v>1.03</v>
      </c>
      <c r="E265" s="350">
        <v>0</v>
      </c>
      <c r="F265" s="350" t="s">
        <v>1257</v>
      </c>
      <c r="G265" s="350" t="s">
        <v>2018</v>
      </c>
      <c r="H265" s="351">
        <v>3</v>
      </c>
      <c r="I265" s="349"/>
      <c r="J265" s="1781"/>
      <c r="K265" s="1182"/>
      <c r="L265" s="1182"/>
      <c r="M265" s="1182"/>
      <c r="N265" s="1182"/>
      <c r="O265" s="1182"/>
      <c r="P265" s="1182"/>
    </row>
    <row r="266" spans="1:16" s="103" customFormat="1" ht="18" x14ac:dyDescent="0.25">
      <c r="A266" s="1182"/>
      <c r="B266" s="204" t="s">
        <v>868</v>
      </c>
      <c r="C266" s="107" t="s">
        <v>1234</v>
      </c>
      <c r="D266" s="205">
        <v>1.03</v>
      </c>
      <c r="E266" s="205">
        <v>0</v>
      </c>
      <c r="F266" s="205" t="s">
        <v>1257</v>
      </c>
      <c r="G266" s="205" t="s">
        <v>2018</v>
      </c>
      <c r="H266" s="111">
        <v>3</v>
      </c>
      <c r="I266" s="245"/>
      <c r="J266" s="1782"/>
      <c r="K266" s="1182"/>
      <c r="L266" s="1182"/>
      <c r="M266" s="1182"/>
      <c r="N266" s="1182"/>
      <c r="O266" s="1182"/>
      <c r="P266" s="1182"/>
    </row>
    <row r="267" spans="1:16" s="103" customFormat="1" ht="18" x14ac:dyDescent="0.25">
      <c r="A267" s="1182"/>
      <c r="B267" s="204" t="s">
        <v>869</v>
      </c>
      <c r="C267" s="107" t="s">
        <v>1235</v>
      </c>
      <c r="D267" s="205">
        <v>1.03</v>
      </c>
      <c r="E267" s="205">
        <v>0</v>
      </c>
      <c r="F267" s="205" t="s">
        <v>1257</v>
      </c>
      <c r="G267" s="205" t="s">
        <v>2018</v>
      </c>
      <c r="H267" s="111">
        <v>3</v>
      </c>
      <c r="I267" s="245"/>
      <c r="J267" s="1782"/>
      <c r="K267" s="1182"/>
      <c r="L267" s="1182"/>
      <c r="M267" s="1182"/>
      <c r="N267" s="1182"/>
      <c r="O267" s="1182"/>
      <c r="P267" s="1182"/>
    </row>
    <row r="268" spans="1:16" s="103" customFormat="1" ht="18" x14ac:dyDescent="0.25">
      <c r="A268" s="1182"/>
      <c r="B268" s="204" t="s">
        <v>870</v>
      </c>
      <c r="C268" s="107" t="s">
        <v>1236</v>
      </c>
      <c r="D268" s="205">
        <v>1.03</v>
      </c>
      <c r="E268" s="205">
        <v>0</v>
      </c>
      <c r="F268" s="205" t="s">
        <v>1257</v>
      </c>
      <c r="G268" s="205" t="s">
        <v>2018</v>
      </c>
      <c r="H268" s="111">
        <v>3</v>
      </c>
      <c r="I268" s="245"/>
      <c r="J268" s="1782"/>
      <c r="K268" s="1182"/>
      <c r="L268" s="1182"/>
      <c r="M268" s="1182"/>
      <c r="N268" s="1182"/>
      <c r="O268" s="1182"/>
      <c r="P268" s="1182"/>
    </row>
    <row r="269" spans="1:16" s="103" customFormat="1" ht="18" x14ac:dyDescent="0.25">
      <c r="A269" s="1182"/>
      <c r="B269" s="204" t="s">
        <v>1755</v>
      </c>
      <c r="C269" s="107" t="s">
        <v>1237</v>
      </c>
      <c r="D269" s="205">
        <v>1.03</v>
      </c>
      <c r="E269" s="205">
        <v>0</v>
      </c>
      <c r="F269" s="205" t="s">
        <v>1257</v>
      </c>
      <c r="G269" s="205" t="s">
        <v>2018</v>
      </c>
      <c r="H269" s="111">
        <v>3</v>
      </c>
      <c r="I269" s="245"/>
      <c r="J269" s="1782"/>
      <c r="K269" s="1182"/>
      <c r="L269" s="1182"/>
      <c r="M269" s="1182"/>
      <c r="N269" s="1182"/>
      <c r="O269" s="1182"/>
      <c r="P269" s="1182"/>
    </row>
    <row r="270" spans="1:16" s="103" customFormat="1" ht="18" x14ac:dyDescent="0.25">
      <c r="A270" s="1182"/>
      <c r="B270" s="204" t="s">
        <v>1754</v>
      </c>
      <c r="C270" s="107" t="s">
        <v>1238</v>
      </c>
      <c r="D270" s="205">
        <v>1.03</v>
      </c>
      <c r="E270" s="205">
        <v>0</v>
      </c>
      <c r="F270" s="205" t="s">
        <v>1257</v>
      </c>
      <c r="G270" s="205" t="s">
        <v>2018</v>
      </c>
      <c r="H270" s="111">
        <v>3</v>
      </c>
      <c r="I270" s="245"/>
      <c r="J270" s="1782"/>
      <c r="K270" s="1182"/>
      <c r="L270" s="1182"/>
      <c r="M270" s="1182"/>
      <c r="N270" s="1182"/>
      <c r="O270" s="1182"/>
      <c r="P270" s="1182"/>
    </row>
    <row r="271" spans="1:16" s="103" customFormat="1" ht="18" x14ac:dyDescent="0.25">
      <c r="A271" s="1182"/>
      <c r="B271" s="204" t="s">
        <v>871</v>
      </c>
      <c r="C271" s="107" t="s">
        <v>1239</v>
      </c>
      <c r="D271" s="205">
        <v>1.03</v>
      </c>
      <c r="E271" s="205">
        <v>0</v>
      </c>
      <c r="F271" s="205" t="s">
        <v>1257</v>
      </c>
      <c r="G271" s="205" t="s">
        <v>2018</v>
      </c>
      <c r="H271" s="111">
        <v>3</v>
      </c>
      <c r="I271" s="245"/>
      <c r="J271" s="1782"/>
      <c r="K271" s="1182"/>
      <c r="L271" s="1182"/>
      <c r="M271" s="1182"/>
      <c r="N271" s="1182"/>
      <c r="O271" s="1182"/>
      <c r="P271" s="1182"/>
    </row>
    <row r="272" spans="1:16" s="103" customFormat="1" ht="18" x14ac:dyDescent="0.25">
      <c r="A272" s="1182"/>
      <c r="B272" s="206" t="s">
        <v>2921</v>
      </c>
      <c r="C272" s="197" t="s">
        <v>1367</v>
      </c>
      <c r="D272" s="207">
        <v>1.04</v>
      </c>
      <c r="E272" s="207">
        <v>0</v>
      </c>
      <c r="F272" s="207" t="s">
        <v>1257</v>
      </c>
      <c r="G272" s="207" t="s">
        <v>2018</v>
      </c>
      <c r="H272" s="208">
        <v>3</v>
      </c>
      <c r="I272" s="246"/>
      <c r="J272" s="1783"/>
      <c r="K272" s="1182"/>
      <c r="L272" s="1182"/>
      <c r="M272" s="1182"/>
      <c r="N272" s="1182"/>
      <c r="O272" s="1182"/>
      <c r="P272" s="1182"/>
    </row>
    <row r="273" spans="1:16" s="103" customFormat="1" ht="18" x14ac:dyDescent="0.25">
      <c r="A273" s="1182"/>
      <c r="B273" s="206" t="s">
        <v>1734</v>
      </c>
      <c r="C273" s="197" t="s">
        <v>1368</v>
      </c>
      <c r="D273" s="207">
        <v>1.04</v>
      </c>
      <c r="E273" s="207">
        <v>0</v>
      </c>
      <c r="F273" s="207" t="s">
        <v>1257</v>
      </c>
      <c r="G273" s="207" t="s">
        <v>2018</v>
      </c>
      <c r="H273" s="208">
        <v>3</v>
      </c>
      <c r="I273" s="246"/>
      <c r="J273" s="1783"/>
      <c r="K273" s="1182"/>
      <c r="L273" s="1182"/>
      <c r="M273" s="1182"/>
      <c r="N273" s="1182"/>
      <c r="O273" s="1182"/>
      <c r="P273" s="1182"/>
    </row>
    <row r="274" spans="1:16" s="103" customFormat="1" ht="18.75" thickBot="1" x14ac:dyDescent="0.3">
      <c r="A274" s="1182"/>
      <c r="B274" s="1195" t="s">
        <v>892</v>
      </c>
      <c r="C274" s="1217" t="s">
        <v>280</v>
      </c>
      <c r="D274" s="1243">
        <v>20</v>
      </c>
      <c r="E274" s="1243">
        <v>1</v>
      </c>
      <c r="F274" s="1243">
        <v>60</v>
      </c>
      <c r="G274" s="1243" t="s">
        <v>891</v>
      </c>
      <c r="H274" s="1242">
        <v>1</v>
      </c>
      <c r="I274" s="1217"/>
      <c r="J274" s="1784"/>
      <c r="K274" s="1182"/>
      <c r="L274" s="1182"/>
      <c r="M274" s="1182"/>
      <c r="N274" s="1182"/>
      <c r="O274" s="1182"/>
      <c r="P274" s="1182"/>
    </row>
    <row r="275" spans="1:16" s="103" customFormat="1" ht="15.75" thickBot="1" x14ac:dyDescent="0.3">
      <c r="A275" s="1182"/>
      <c r="B275" s="1187"/>
      <c r="C275" s="1188"/>
      <c r="D275" s="1182"/>
      <c r="E275" s="1244"/>
      <c r="F275" s="1244"/>
      <c r="G275" s="1244"/>
      <c r="H275" s="1244"/>
      <c r="I275" s="1210"/>
      <c r="J275" s="1188"/>
      <c r="K275" s="1182"/>
      <c r="L275" s="1182"/>
      <c r="M275" s="1182"/>
      <c r="N275" s="1182"/>
      <c r="O275" s="1182"/>
      <c r="P275" s="1182"/>
    </row>
    <row r="276" spans="1:16" s="103" customFormat="1" ht="15.75" thickBot="1" x14ac:dyDescent="0.3">
      <c r="A276" s="1182"/>
      <c r="B276" s="1187"/>
      <c r="C276" s="142" t="s">
        <v>984</v>
      </c>
      <c r="D276" s="1185" t="s">
        <v>315</v>
      </c>
      <c r="E276" s="1185"/>
      <c r="F276" s="1185"/>
      <c r="G276" s="1185"/>
      <c r="H276" s="1185"/>
      <c r="I276" s="1187"/>
      <c r="J276" s="1188"/>
      <c r="K276" s="1182"/>
      <c r="L276" s="1182"/>
      <c r="M276" s="1182"/>
      <c r="N276" s="1182"/>
      <c r="O276" s="1182"/>
      <c r="P276" s="1182"/>
    </row>
    <row r="277" spans="1:16" s="103" customFormat="1" ht="15.75" thickBot="1" x14ac:dyDescent="0.3">
      <c r="A277" s="1182"/>
      <c r="B277" s="284" t="s">
        <v>0</v>
      </c>
      <c r="C277" s="287" t="s">
        <v>1</v>
      </c>
      <c r="D277" s="291" t="s">
        <v>840</v>
      </c>
      <c r="E277" s="291" t="s">
        <v>470</v>
      </c>
      <c r="F277" s="291" t="s">
        <v>471</v>
      </c>
      <c r="G277" s="291" t="s">
        <v>2</v>
      </c>
      <c r="H277" s="291" t="s">
        <v>298</v>
      </c>
      <c r="I277" s="287" t="s">
        <v>116</v>
      </c>
      <c r="J277" s="1744" t="s">
        <v>117</v>
      </c>
      <c r="K277" s="1182"/>
      <c r="L277" s="1182"/>
      <c r="M277" s="1182"/>
      <c r="N277" s="1182"/>
      <c r="O277" s="1182"/>
      <c r="P277" s="1182"/>
    </row>
    <row r="278" spans="1:16" s="103" customFormat="1" ht="18" x14ac:dyDescent="0.25">
      <c r="A278" s="1182"/>
      <c r="B278" s="1170" t="s">
        <v>1736</v>
      </c>
      <c r="C278" s="562" t="s">
        <v>2647</v>
      </c>
      <c r="D278" s="357">
        <v>0.6</v>
      </c>
      <c r="E278" s="2424">
        <v>0</v>
      </c>
      <c r="F278" s="2424">
        <v>1</v>
      </c>
      <c r="G278" s="2417" t="s">
        <v>2175</v>
      </c>
      <c r="H278" s="358">
        <v>2</v>
      </c>
      <c r="I278" s="1785"/>
      <c r="J278" s="1786"/>
      <c r="K278" s="1182"/>
      <c r="L278" s="1182"/>
      <c r="M278" s="1185"/>
      <c r="N278" s="1185"/>
      <c r="O278" s="1182"/>
      <c r="P278" s="1182"/>
    </row>
    <row r="279" spans="1:16" s="103" customFormat="1" ht="18" x14ac:dyDescent="0.25">
      <c r="A279" s="1182"/>
      <c r="B279" s="175" t="s">
        <v>1737</v>
      </c>
      <c r="C279" s="515" t="s">
        <v>2648</v>
      </c>
      <c r="D279" s="177">
        <v>0.45</v>
      </c>
      <c r="E279" s="2418">
        <v>0</v>
      </c>
      <c r="F279" s="2418">
        <v>1</v>
      </c>
      <c r="G279" s="2418" t="s">
        <v>2175</v>
      </c>
      <c r="H279" s="177">
        <v>2</v>
      </c>
      <c r="I279" s="1697"/>
      <c r="J279" s="1698"/>
      <c r="K279" s="1182"/>
      <c r="L279" s="1244"/>
      <c r="M279" s="1276"/>
      <c r="N279" s="1276"/>
      <c r="O279" s="1182"/>
      <c r="P279" s="1182"/>
    </row>
    <row r="280" spans="1:16" s="103" customFormat="1" ht="18" x14ac:dyDescent="0.25">
      <c r="A280" s="1182"/>
      <c r="B280" s="175" t="s">
        <v>1738</v>
      </c>
      <c r="C280" s="515" t="s">
        <v>2649</v>
      </c>
      <c r="D280" s="177">
        <v>0.67</v>
      </c>
      <c r="E280" s="2418">
        <v>0</v>
      </c>
      <c r="F280" s="2418">
        <v>1</v>
      </c>
      <c r="G280" s="2418" t="s">
        <v>2175</v>
      </c>
      <c r="H280" s="177">
        <v>2</v>
      </c>
      <c r="I280" s="1697"/>
      <c r="J280" s="1698"/>
      <c r="K280" s="1182"/>
      <c r="L280" s="1244"/>
      <c r="M280" s="1276"/>
      <c r="N280" s="1276"/>
      <c r="O280" s="1182"/>
      <c r="P280" s="1182"/>
    </row>
    <row r="281" spans="1:16" s="103" customFormat="1" ht="18" x14ac:dyDescent="0.25">
      <c r="A281" s="1182"/>
      <c r="B281" s="175" t="s">
        <v>1739</v>
      </c>
      <c r="C281" s="515" t="s">
        <v>2650</v>
      </c>
      <c r="D281" s="177">
        <v>0.54</v>
      </c>
      <c r="E281" s="2418">
        <v>0</v>
      </c>
      <c r="F281" s="2418">
        <v>1</v>
      </c>
      <c r="G281" s="2418" t="s">
        <v>2175</v>
      </c>
      <c r="H281" s="177">
        <v>2</v>
      </c>
      <c r="I281" s="1697"/>
      <c r="J281" s="1698"/>
      <c r="K281" s="1182"/>
      <c r="L281" s="1244"/>
      <c r="M281" s="1276"/>
      <c r="N281" s="1276"/>
      <c r="O281" s="1182"/>
      <c r="P281" s="1182"/>
    </row>
    <row r="282" spans="1:16" s="103" customFormat="1" ht="18" x14ac:dyDescent="0.25">
      <c r="A282" s="1182"/>
      <c r="B282" s="175" t="s">
        <v>1740</v>
      </c>
      <c r="C282" s="515" t="s">
        <v>2651</v>
      </c>
      <c r="D282" s="178">
        <v>0.1</v>
      </c>
      <c r="E282" s="2425">
        <v>0</v>
      </c>
      <c r="F282" s="2418">
        <v>1</v>
      </c>
      <c r="G282" s="2418" t="s">
        <v>2175</v>
      </c>
      <c r="H282" s="177">
        <v>2</v>
      </c>
      <c r="I282" s="1697"/>
      <c r="J282" s="1698"/>
      <c r="K282" s="1182"/>
      <c r="L282" s="1244"/>
      <c r="M282" s="1276"/>
      <c r="N282" s="1276"/>
      <c r="O282" s="1182"/>
      <c r="P282" s="1182"/>
    </row>
    <row r="283" spans="1:16" s="103" customFormat="1" ht="18" x14ac:dyDescent="0.25">
      <c r="A283" s="1182"/>
      <c r="B283" s="175" t="s">
        <v>2202</v>
      </c>
      <c r="C283" s="515" t="s">
        <v>2652</v>
      </c>
      <c r="D283" s="177">
        <v>0.35</v>
      </c>
      <c r="E283" s="2418">
        <v>0</v>
      </c>
      <c r="F283" s="2418">
        <v>1</v>
      </c>
      <c r="G283" s="2418" t="s">
        <v>2175</v>
      </c>
      <c r="H283" s="177">
        <v>2</v>
      </c>
      <c r="I283" s="1697"/>
      <c r="J283" s="1698"/>
      <c r="K283" s="1182"/>
      <c r="L283" s="1244"/>
      <c r="M283" s="1276"/>
      <c r="N283" s="1276"/>
      <c r="O283" s="1182"/>
      <c r="P283" s="1182"/>
    </row>
    <row r="284" spans="1:16" s="103" customFormat="1" ht="18" x14ac:dyDescent="0.25">
      <c r="A284" s="1182"/>
      <c r="B284" s="175" t="s">
        <v>2203</v>
      </c>
      <c r="C284" s="515" t="s">
        <v>2653</v>
      </c>
      <c r="D284" s="177">
        <v>0.1</v>
      </c>
      <c r="E284" s="2418">
        <v>0</v>
      </c>
      <c r="F284" s="2418">
        <v>1</v>
      </c>
      <c r="G284" s="2418" t="s">
        <v>2175</v>
      </c>
      <c r="H284" s="177">
        <v>2</v>
      </c>
      <c r="I284" s="1697"/>
      <c r="J284" s="1698"/>
      <c r="K284" s="1182"/>
      <c r="L284" s="1244"/>
      <c r="M284" s="1276"/>
      <c r="N284" s="1276"/>
      <c r="O284" s="1182"/>
      <c r="P284" s="1182"/>
    </row>
    <row r="285" spans="1:16" s="103" customFormat="1" ht="18" x14ac:dyDescent="0.25">
      <c r="A285" s="1182"/>
      <c r="B285" s="175" t="s">
        <v>1741</v>
      </c>
      <c r="C285" s="515" t="s">
        <v>2654</v>
      </c>
      <c r="D285" s="178">
        <v>0.4</v>
      </c>
      <c r="E285" s="2425">
        <v>0</v>
      </c>
      <c r="F285" s="2418">
        <v>1</v>
      </c>
      <c r="G285" s="2418" t="s">
        <v>2175</v>
      </c>
      <c r="H285" s="177">
        <v>2</v>
      </c>
      <c r="I285" s="1697"/>
      <c r="J285" s="1698"/>
      <c r="K285" s="1182"/>
      <c r="L285" s="1182"/>
      <c r="M285" s="1182"/>
      <c r="N285" s="1182"/>
      <c r="O285" s="1182"/>
      <c r="P285" s="1182"/>
    </row>
    <row r="286" spans="1:16" s="103" customFormat="1" ht="18" x14ac:dyDescent="0.25">
      <c r="A286" s="1182"/>
      <c r="B286" s="175" t="s">
        <v>872</v>
      </c>
      <c r="C286" s="515" t="s">
        <v>2655</v>
      </c>
      <c r="D286" s="178">
        <v>0.4</v>
      </c>
      <c r="E286" s="2425">
        <v>0</v>
      </c>
      <c r="F286" s="2418">
        <v>1</v>
      </c>
      <c r="G286" s="2418" t="s">
        <v>2175</v>
      </c>
      <c r="H286" s="177">
        <v>2</v>
      </c>
      <c r="I286" s="1697"/>
      <c r="J286" s="1698"/>
      <c r="K286" s="1182"/>
      <c r="L286" s="1182"/>
      <c r="M286" s="1182"/>
      <c r="N286" s="1182"/>
      <c r="O286" s="1182"/>
      <c r="P286" s="1182"/>
    </row>
    <row r="287" spans="1:16" s="103" customFormat="1" ht="18" x14ac:dyDescent="0.25">
      <c r="A287" s="1182"/>
      <c r="B287" s="1171" t="s">
        <v>4296</v>
      </c>
      <c r="C287" s="1386" t="s">
        <v>4287</v>
      </c>
      <c r="D287" s="136">
        <v>0.63900000000000001</v>
      </c>
      <c r="E287" s="2419">
        <v>0</v>
      </c>
      <c r="F287" s="2419">
        <v>1</v>
      </c>
      <c r="G287" s="2419" t="s">
        <v>4834</v>
      </c>
      <c r="H287" s="136">
        <v>3</v>
      </c>
      <c r="I287" s="1787"/>
      <c r="J287" s="1788"/>
      <c r="K287" s="1182"/>
      <c r="L287" s="1182"/>
      <c r="M287" s="1182"/>
      <c r="N287" s="1182"/>
      <c r="O287" s="1182"/>
      <c r="P287" s="1182"/>
    </row>
    <row r="288" spans="1:16" s="103" customFormat="1" ht="18" x14ac:dyDescent="0.25">
      <c r="A288" s="1182"/>
      <c r="B288" s="1171" t="s">
        <v>4297</v>
      </c>
      <c r="C288" s="1386" t="s">
        <v>4288</v>
      </c>
      <c r="D288" s="136">
        <v>0.52</v>
      </c>
      <c r="E288" s="2419">
        <v>0</v>
      </c>
      <c r="F288" s="2419">
        <v>1</v>
      </c>
      <c r="G288" s="2419" t="s">
        <v>4834</v>
      </c>
      <c r="H288" s="136">
        <v>2</v>
      </c>
      <c r="I288" s="1787"/>
      <c r="J288" s="1788"/>
      <c r="K288" s="1182"/>
      <c r="L288" s="1182"/>
      <c r="M288" s="1182"/>
      <c r="N288" s="1182"/>
      <c r="O288" s="1182"/>
      <c r="P288" s="1182"/>
    </row>
    <row r="289" spans="1:18" s="103" customFormat="1" ht="18" x14ac:dyDescent="0.25">
      <c r="A289" s="1182"/>
      <c r="B289" s="530" t="s">
        <v>4298</v>
      </c>
      <c r="C289" s="1386" t="s">
        <v>4289</v>
      </c>
      <c r="D289" s="533">
        <v>0.1</v>
      </c>
      <c r="E289" s="2426">
        <v>0</v>
      </c>
      <c r="F289" s="2419">
        <v>1</v>
      </c>
      <c r="G289" s="2419" t="s">
        <v>4834</v>
      </c>
      <c r="H289" s="532">
        <v>2</v>
      </c>
      <c r="I289" s="531"/>
      <c r="J289" s="1789"/>
      <c r="K289" s="1182"/>
      <c r="L289" s="1244"/>
      <c r="M289" s="1276"/>
      <c r="N289" s="1276"/>
      <c r="O289" s="1182"/>
      <c r="P289" s="1182"/>
    </row>
    <row r="290" spans="1:18" s="103" customFormat="1" ht="18" x14ac:dyDescent="0.25">
      <c r="A290" s="1182"/>
      <c r="B290" s="530" t="s">
        <v>4299</v>
      </c>
      <c r="C290" s="1386" t="s">
        <v>4290</v>
      </c>
      <c r="D290" s="532">
        <v>0.35</v>
      </c>
      <c r="E290" s="2419">
        <v>0</v>
      </c>
      <c r="F290" s="2419">
        <v>1</v>
      </c>
      <c r="G290" s="2419" t="s">
        <v>4834</v>
      </c>
      <c r="H290" s="532">
        <v>2</v>
      </c>
      <c r="I290" s="531"/>
      <c r="J290" s="1789"/>
      <c r="K290" s="1182"/>
      <c r="L290" s="1244"/>
      <c r="M290" s="1276"/>
      <c r="N290" s="1276"/>
      <c r="O290" s="1182"/>
      <c r="P290" s="1182"/>
    </row>
    <row r="291" spans="1:18" s="103" customFormat="1" ht="18" x14ac:dyDescent="0.25">
      <c r="A291" s="1182"/>
      <c r="B291" s="530" t="s">
        <v>4300</v>
      </c>
      <c r="C291" s="1386" t="s">
        <v>4291</v>
      </c>
      <c r="D291" s="532">
        <v>0.1</v>
      </c>
      <c r="E291" s="2419">
        <v>0</v>
      </c>
      <c r="F291" s="2419">
        <v>1</v>
      </c>
      <c r="G291" s="2419" t="s">
        <v>4834</v>
      </c>
      <c r="H291" s="532">
        <v>2</v>
      </c>
      <c r="I291" s="531"/>
      <c r="J291" s="1789"/>
      <c r="K291" s="1182"/>
      <c r="L291" s="1244"/>
      <c r="M291" s="1276"/>
      <c r="N291" s="1276"/>
      <c r="O291" s="1182"/>
      <c r="P291" s="1182"/>
    </row>
    <row r="292" spans="1:18" s="103" customFormat="1" ht="18" x14ac:dyDescent="0.25">
      <c r="A292" s="1182"/>
      <c r="B292" s="1125" t="s">
        <v>4294</v>
      </c>
      <c r="C292" s="1386" t="s">
        <v>4292</v>
      </c>
      <c r="D292" s="1126">
        <v>0.33</v>
      </c>
      <c r="E292" s="2419">
        <v>0</v>
      </c>
      <c r="F292" s="2419">
        <v>1</v>
      </c>
      <c r="G292" s="2419" t="s">
        <v>4835</v>
      </c>
      <c r="H292" s="1126">
        <v>2</v>
      </c>
      <c r="I292" s="1790"/>
      <c r="J292" s="1715"/>
      <c r="K292" s="1182"/>
      <c r="L292" s="1182"/>
      <c r="M292" s="1182"/>
      <c r="N292" s="1182"/>
      <c r="O292" s="1182"/>
      <c r="P292" s="1182"/>
    </row>
    <row r="293" spans="1:18" s="103" customFormat="1" ht="18" x14ac:dyDescent="0.25">
      <c r="A293" s="1182"/>
      <c r="B293" s="1125" t="s">
        <v>4295</v>
      </c>
      <c r="C293" s="1386" t="s">
        <v>4293</v>
      </c>
      <c r="D293" s="1126">
        <v>0.23</v>
      </c>
      <c r="E293" s="2419">
        <v>0</v>
      </c>
      <c r="F293" s="2419">
        <v>1</v>
      </c>
      <c r="G293" s="2419" t="s">
        <v>4835</v>
      </c>
      <c r="H293" s="1126">
        <v>2</v>
      </c>
      <c r="I293" s="1790"/>
      <c r="J293" s="1715"/>
      <c r="K293" s="1182"/>
      <c r="L293" s="1182"/>
      <c r="M293" s="1182"/>
      <c r="N293" s="1182"/>
      <c r="O293" s="1182"/>
      <c r="P293" s="1182"/>
    </row>
    <row r="294" spans="1:18" s="103" customFormat="1" ht="18" x14ac:dyDescent="0.25">
      <c r="A294" s="1182"/>
      <c r="B294" s="151" t="s">
        <v>881</v>
      </c>
      <c r="C294" s="531" t="s">
        <v>2656</v>
      </c>
      <c r="D294" s="136">
        <v>0.65</v>
      </c>
      <c r="E294" s="2419">
        <v>0</v>
      </c>
      <c r="F294" s="2419">
        <v>1</v>
      </c>
      <c r="G294" s="2419" t="s">
        <v>4836</v>
      </c>
      <c r="H294" s="136">
        <v>2</v>
      </c>
      <c r="I294" s="1787"/>
      <c r="J294" s="1788"/>
      <c r="K294" s="1182"/>
      <c r="L294" s="1182"/>
      <c r="M294" s="1182"/>
      <c r="N294" s="1182"/>
      <c r="O294" s="1182"/>
      <c r="P294" s="1182"/>
    </row>
    <row r="295" spans="1:18" s="103" customFormat="1" ht="18" x14ac:dyDescent="0.25">
      <c r="A295" s="1182"/>
      <c r="B295" s="151" t="s">
        <v>882</v>
      </c>
      <c r="C295" s="531" t="s">
        <v>272</v>
      </c>
      <c r="D295" s="430">
        <f>(30+31+3*16)/31</f>
        <v>3.5161290322580645</v>
      </c>
      <c r="E295" s="2427">
        <v>0</v>
      </c>
      <c r="F295" s="2419">
        <v>10</v>
      </c>
      <c r="G295" s="2419" t="s">
        <v>4837</v>
      </c>
      <c r="H295" s="136">
        <v>1</v>
      </c>
      <c r="I295" s="1787"/>
      <c r="J295" s="1788"/>
      <c r="K295" s="1182"/>
      <c r="L295" s="1182"/>
      <c r="M295" s="1182"/>
      <c r="N295" s="1182"/>
      <c r="O295" s="1182"/>
      <c r="P295" s="1182"/>
    </row>
    <row r="296" spans="1:18" s="103" customFormat="1" ht="18" x14ac:dyDescent="0.25">
      <c r="A296" s="1182"/>
      <c r="B296" s="1172" t="s">
        <v>4303</v>
      </c>
      <c r="C296" s="1451" t="s">
        <v>4301</v>
      </c>
      <c r="D296" s="446">
        <v>0.6</v>
      </c>
      <c r="E296" s="2420">
        <v>0</v>
      </c>
      <c r="F296" s="2420">
        <v>1</v>
      </c>
      <c r="G296" s="2420" t="s">
        <v>2175</v>
      </c>
      <c r="H296" s="446">
        <v>3</v>
      </c>
      <c r="I296" s="1791"/>
      <c r="J296" s="1792"/>
      <c r="K296" s="1182"/>
      <c r="L296" s="1182"/>
      <c r="M296" s="1182"/>
      <c r="N296" s="1182"/>
      <c r="O296" s="1182"/>
      <c r="P296" s="1182"/>
    </row>
    <row r="297" spans="1:18" s="103" customFormat="1" ht="18" x14ac:dyDescent="0.25">
      <c r="A297" s="1182"/>
      <c r="B297" s="1172" t="s">
        <v>4304</v>
      </c>
      <c r="C297" s="1451" t="s">
        <v>4302</v>
      </c>
      <c r="D297" s="446">
        <v>0.5</v>
      </c>
      <c r="E297" s="2420">
        <v>0</v>
      </c>
      <c r="F297" s="2420">
        <v>1</v>
      </c>
      <c r="G297" s="2420" t="s">
        <v>2175</v>
      </c>
      <c r="H297" s="446">
        <v>2</v>
      </c>
      <c r="I297" s="1791"/>
      <c r="J297" s="1792"/>
      <c r="K297" s="1182"/>
      <c r="L297" s="1182"/>
      <c r="M297" s="1182"/>
      <c r="N297" s="1182"/>
      <c r="O297" s="1182"/>
      <c r="P297" s="1182"/>
    </row>
    <row r="298" spans="1:18" s="103" customFormat="1" ht="18" x14ac:dyDescent="0.25">
      <c r="A298" s="1182"/>
      <c r="B298" s="1173" t="s">
        <v>2327</v>
      </c>
      <c r="C298" s="564" t="s">
        <v>2659</v>
      </c>
      <c r="D298" s="480">
        <v>0.15</v>
      </c>
      <c r="E298" s="2421">
        <v>0</v>
      </c>
      <c r="F298" s="2421">
        <v>1</v>
      </c>
      <c r="G298" s="2421" t="s">
        <v>4838</v>
      </c>
      <c r="H298" s="480">
        <v>2</v>
      </c>
      <c r="I298" s="1793"/>
      <c r="J298" s="1794"/>
      <c r="K298" s="1182"/>
      <c r="L298" s="481"/>
      <c r="M298" s="481"/>
      <c r="N298" s="481"/>
      <c r="O298" s="481"/>
      <c r="P298" s="481"/>
      <c r="Q298" s="481"/>
      <c r="R298" s="481"/>
    </row>
    <row r="299" spans="1:18" s="103" customFormat="1" ht="18" x14ac:dyDescent="0.25">
      <c r="A299" s="1182"/>
      <c r="B299" s="179" t="s">
        <v>2328</v>
      </c>
      <c r="C299" s="564" t="s">
        <v>2660</v>
      </c>
      <c r="D299" s="180">
        <v>0.09</v>
      </c>
      <c r="E299" s="180">
        <v>0</v>
      </c>
      <c r="F299" s="180">
        <v>1</v>
      </c>
      <c r="G299" s="2421" t="s">
        <v>4838</v>
      </c>
      <c r="H299" s="180">
        <v>2</v>
      </c>
      <c r="I299" s="681"/>
      <c r="J299" s="1795"/>
      <c r="K299" s="1182"/>
      <c r="L299" s="481"/>
      <c r="M299" s="481"/>
      <c r="N299" s="481"/>
      <c r="O299" s="481"/>
      <c r="P299" s="481"/>
      <c r="Q299" s="481"/>
      <c r="R299" s="481"/>
    </row>
    <row r="300" spans="1:18" s="117" customFormat="1" ht="18" x14ac:dyDescent="0.25">
      <c r="A300" s="1184"/>
      <c r="B300" s="1174" t="s">
        <v>2329</v>
      </c>
      <c r="C300" s="565" t="s">
        <v>2661</v>
      </c>
      <c r="D300" s="482">
        <v>1.32</v>
      </c>
      <c r="E300" s="483">
        <v>0</v>
      </c>
      <c r="F300" s="483">
        <v>10</v>
      </c>
      <c r="G300" s="483" t="s">
        <v>4839</v>
      </c>
      <c r="H300" s="483">
        <v>2</v>
      </c>
      <c r="I300" s="1796"/>
      <c r="J300" s="1797"/>
      <c r="K300" s="1182"/>
      <c r="L300" s="481"/>
      <c r="M300" s="481"/>
      <c r="N300" s="481"/>
      <c r="O300" s="481"/>
      <c r="P300" s="481"/>
      <c r="Q300" s="481"/>
      <c r="R300" s="481"/>
    </row>
    <row r="301" spans="1:18" s="117" customFormat="1" ht="18" x14ac:dyDescent="0.25">
      <c r="A301" s="1184"/>
      <c r="B301" s="1174" t="s">
        <v>2330</v>
      </c>
      <c r="C301" s="565" t="s">
        <v>2662</v>
      </c>
      <c r="D301" s="482">
        <v>0.26</v>
      </c>
      <c r="E301" s="483">
        <v>0</v>
      </c>
      <c r="F301" s="483">
        <v>1</v>
      </c>
      <c r="G301" s="483" t="s">
        <v>4840</v>
      </c>
      <c r="H301" s="483">
        <v>2</v>
      </c>
      <c r="I301" s="1796"/>
      <c r="J301" s="1797"/>
      <c r="K301" s="1182"/>
      <c r="L301" s="481"/>
      <c r="M301" s="481"/>
      <c r="N301" s="481"/>
      <c r="O301" s="481"/>
      <c r="P301" s="481"/>
      <c r="Q301" s="481"/>
      <c r="R301" s="481"/>
    </row>
    <row r="302" spans="1:18" s="103" customFormat="1" ht="18" x14ac:dyDescent="0.25">
      <c r="A302" s="1182"/>
      <c r="B302" s="181" t="s">
        <v>874</v>
      </c>
      <c r="C302" s="563" t="s">
        <v>2657</v>
      </c>
      <c r="D302" s="356">
        <v>0.1</v>
      </c>
      <c r="E302" s="356">
        <v>0</v>
      </c>
      <c r="F302" s="356">
        <v>1</v>
      </c>
      <c r="G302" s="2422" t="s">
        <v>2175</v>
      </c>
      <c r="H302" s="232">
        <v>2</v>
      </c>
      <c r="I302" s="355"/>
      <c r="J302" s="1798"/>
      <c r="K302" s="1182"/>
      <c r="L302" s="1182"/>
      <c r="M302" s="1182"/>
      <c r="N302" s="1182"/>
      <c r="O302" s="1182"/>
      <c r="P302" s="1182"/>
    </row>
    <row r="303" spans="1:18" s="103" customFormat="1" ht="18.75" thickBot="1" x14ac:dyDescent="0.3">
      <c r="A303" s="1182"/>
      <c r="B303" s="1156" t="s">
        <v>873</v>
      </c>
      <c r="C303" s="428" t="s">
        <v>2658</v>
      </c>
      <c r="D303" s="429">
        <v>0.1</v>
      </c>
      <c r="E303" s="429">
        <v>0</v>
      </c>
      <c r="F303" s="429">
        <v>1</v>
      </c>
      <c r="G303" s="2423" t="s">
        <v>2175</v>
      </c>
      <c r="H303" s="423">
        <v>2</v>
      </c>
      <c r="I303" s="428"/>
      <c r="J303" s="1799"/>
      <c r="K303" s="1182"/>
      <c r="L303" s="1182"/>
      <c r="M303" s="1182"/>
      <c r="N303" s="1182"/>
      <c r="O303" s="1182"/>
      <c r="P303" s="1182"/>
    </row>
    <row r="304" spans="1:18" ht="15.75" thickBot="1" x14ac:dyDescent="0.3">
      <c r="A304" s="1185"/>
      <c r="B304" s="1187"/>
      <c r="C304" s="1210"/>
      <c r="D304" s="1244"/>
      <c r="E304" s="1244"/>
      <c r="F304" s="1244"/>
      <c r="G304" s="1244"/>
      <c r="H304" s="1244"/>
      <c r="I304" s="1210"/>
      <c r="J304" s="1188"/>
      <c r="K304" s="1182"/>
      <c r="L304" s="1244"/>
      <c r="M304" s="1276"/>
      <c r="N304" s="1276"/>
      <c r="O304" s="1182"/>
      <c r="P304" s="1182"/>
      <c r="Q304" s="103"/>
      <c r="R304" s="103"/>
    </row>
    <row r="305" spans="1:18" ht="15.75" thickBot="1" x14ac:dyDescent="0.3">
      <c r="A305" s="1185"/>
      <c r="B305" s="1187"/>
      <c r="C305" s="147" t="s">
        <v>799</v>
      </c>
      <c r="D305" s="1185" t="s">
        <v>315</v>
      </c>
      <c r="E305" s="1185"/>
      <c r="F305" s="1185"/>
      <c r="G305" s="1185"/>
      <c r="H305" s="1185"/>
      <c r="I305" s="1187"/>
      <c r="J305" s="1188"/>
      <c r="K305" s="1182"/>
      <c r="L305" s="1244"/>
      <c r="M305" s="1276"/>
      <c r="N305" s="1276"/>
      <c r="O305" s="1182"/>
      <c r="P305" s="1182"/>
      <c r="Q305" s="103"/>
      <c r="R305" s="103"/>
    </row>
    <row r="306" spans="1:18" ht="15.75" thickBot="1" x14ac:dyDescent="0.3">
      <c r="A306" s="1185"/>
      <c r="B306" s="1175" t="s">
        <v>0</v>
      </c>
      <c r="C306" s="145" t="s">
        <v>1</v>
      </c>
      <c r="D306" s="129" t="s">
        <v>840</v>
      </c>
      <c r="E306" s="129" t="s">
        <v>470</v>
      </c>
      <c r="F306" s="129" t="s">
        <v>471</v>
      </c>
      <c r="G306" s="129" t="s">
        <v>2</v>
      </c>
      <c r="H306" s="129" t="s">
        <v>298</v>
      </c>
      <c r="I306" s="145" t="s">
        <v>116</v>
      </c>
      <c r="J306" s="1800" t="s">
        <v>117</v>
      </c>
      <c r="K306" s="1182"/>
      <c r="L306" s="1244"/>
      <c r="M306" s="1276"/>
      <c r="N306" s="1276"/>
      <c r="O306" s="1182"/>
      <c r="P306" s="1182"/>
      <c r="Q306" s="103"/>
      <c r="R306" s="103"/>
    </row>
    <row r="307" spans="1:18" s="103" customFormat="1" ht="18.75" x14ac:dyDescent="0.25">
      <c r="A307" s="1182"/>
      <c r="B307" s="1196" t="s">
        <v>875</v>
      </c>
      <c r="C307" s="1218" t="s">
        <v>2666</v>
      </c>
      <c r="D307" s="1245">
        <v>0.08</v>
      </c>
      <c r="E307" s="1245">
        <v>0</v>
      </c>
      <c r="F307" s="1245">
        <v>0.5</v>
      </c>
      <c r="G307" s="1271" t="s">
        <v>3023</v>
      </c>
      <c r="H307" s="1245">
        <v>2</v>
      </c>
      <c r="I307" s="1230"/>
      <c r="J307" s="1801"/>
      <c r="K307" s="1182"/>
      <c r="L307" s="1182"/>
      <c r="M307" s="1182"/>
      <c r="N307" s="1182"/>
      <c r="O307" s="1182"/>
      <c r="P307" s="1182"/>
    </row>
    <row r="308" spans="1:18" s="103" customFormat="1" ht="18" x14ac:dyDescent="0.25">
      <c r="A308" s="1182"/>
      <c r="B308" s="501" t="s">
        <v>876</v>
      </c>
      <c r="C308" s="502" t="s">
        <v>276</v>
      </c>
      <c r="D308" s="503">
        <v>7.0000000000000007E-2</v>
      </c>
      <c r="E308" s="504">
        <v>0</v>
      </c>
      <c r="F308" s="504">
        <v>0.5</v>
      </c>
      <c r="G308" s="504" t="s">
        <v>1914</v>
      </c>
      <c r="H308" s="504">
        <v>3</v>
      </c>
      <c r="I308" s="1802"/>
      <c r="J308" s="1803"/>
      <c r="K308" s="1182"/>
      <c r="L308" s="1182"/>
      <c r="M308" s="1182"/>
      <c r="N308" s="1182"/>
      <c r="O308" s="1182"/>
      <c r="P308" s="1182"/>
    </row>
    <row r="309" spans="1:18" s="103" customFormat="1" ht="18" x14ac:dyDescent="0.25">
      <c r="A309" s="1182"/>
      <c r="B309" s="501" t="s">
        <v>2180</v>
      </c>
      <c r="C309" s="502" t="s">
        <v>2181</v>
      </c>
      <c r="D309" s="503">
        <v>0.06</v>
      </c>
      <c r="E309" s="504">
        <v>0</v>
      </c>
      <c r="F309" s="504">
        <v>0.5</v>
      </c>
      <c r="G309" s="504" t="s">
        <v>1914</v>
      </c>
      <c r="H309" s="504">
        <v>3</v>
      </c>
      <c r="I309" s="1802"/>
      <c r="J309" s="1803"/>
      <c r="K309" s="1182"/>
      <c r="L309" s="1182"/>
      <c r="M309" s="1182"/>
      <c r="N309" s="1182"/>
      <c r="O309" s="1182"/>
      <c r="P309" s="1182"/>
    </row>
    <row r="310" spans="1:18" s="103" customFormat="1" ht="18" x14ac:dyDescent="0.25">
      <c r="A310" s="1182"/>
      <c r="B310" s="501" t="s">
        <v>1123</v>
      </c>
      <c r="C310" s="502" t="s">
        <v>2667</v>
      </c>
      <c r="D310" s="503">
        <v>0.01</v>
      </c>
      <c r="E310" s="504">
        <v>0</v>
      </c>
      <c r="F310" s="504">
        <v>0.5</v>
      </c>
      <c r="G310" s="504" t="s">
        <v>1914</v>
      </c>
      <c r="H310" s="504">
        <v>3</v>
      </c>
      <c r="I310" s="1802"/>
      <c r="J310" s="1803" t="s">
        <v>4584</v>
      </c>
      <c r="K310" s="1276"/>
      <c r="L310" s="1276"/>
      <c r="M310" s="1182"/>
      <c r="N310" s="1182"/>
      <c r="O310" s="1182"/>
      <c r="P310" s="1182"/>
    </row>
    <row r="311" spans="1:18" s="103" customFormat="1" ht="18" x14ac:dyDescent="0.25">
      <c r="A311" s="1182"/>
      <c r="B311" s="501" t="s">
        <v>1058</v>
      </c>
      <c r="C311" s="502" t="s">
        <v>2668</v>
      </c>
      <c r="D311" s="503">
        <v>0.01</v>
      </c>
      <c r="E311" s="504">
        <v>0</v>
      </c>
      <c r="F311" s="504">
        <v>0.1</v>
      </c>
      <c r="G311" s="504" t="s">
        <v>1914</v>
      </c>
      <c r="H311" s="504">
        <v>3</v>
      </c>
      <c r="I311" s="1802"/>
      <c r="J311" s="1803"/>
      <c r="K311" s="1276"/>
      <c r="L311" s="1276"/>
      <c r="M311" s="1182"/>
      <c r="N311" s="1182"/>
      <c r="O311" s="1182"/>
      <c r="P311" s="1182"/>
    </row>
    <row r="312" spans="1:18" s="103" customFormat="1" ht="18" x14ac:dyDescent="0.25">
      <c r="A312" s="1182"/>
      <c r="B312" s="501" t="s">
        <v>1124</v>
      </c>
      <c r="C312" s="502" t="s">
        <v>2669</v>
      </c>
      <c r="D312" s="503">
        <v>0.01</v>
      </c>
      <c r="E312" s="504">
        <v>0</v>
      </c>
      <c r="F312" s="504">
        <v>0.1</v>
      </c>
      <c r="G312" s="504" t="s">
        <v>1914</v>
      </c>
      <c r="H312" s="504">
        <v>3</v>
      </c>
      <c r="I312" s="1802"/>
      <c r="J312" s="1879" t="s">
        <v>4585</v>
      </c>
      <c r="K312" s="1276"/>
      <c r="L312" s="1276"/>
      <c r="M312" s="1182"/>
      <c r="N312" s="1182"/>
      <c r="O312" s="1182"/>
      <c r="P312" s="1182"/>
    </row>
    <row r="313" spans="1:18" s="103" customFormat="1" ht="18" x14ac:dyDescent="0.25">
      <c r="A313" s="1182"/>
      <c r="B313" s="501" t="s">
        <v>1369</v>
      </c>
      <c r="C313" s="505" t="s">
        <v>2670</v>
      </c>
      <c r="D313" s="506">
        <v>5.7075504823359977E-2</v>
      </c>
      <c r="E313" s="504">
        <v>0</v>
      </c>
      <c r="F313" s="504">
        <v>1</v>
      </c>
      <c r="G313" s="504" t="s">
        <v>1919</v>
      </c>
      <c r="H313" s="504">
        <v>2</v>
      </c>
      <c r="I313" s="1802"/>
      <c r="J313" s="1804" t="s">
        <v>2011</v>
      </c>
      <c r="K313" s="1182"/>
      <c r="L313" s="1182"/>
      <c r="M313" s="1182"/>
      <c r="N313" s="1182"/>
      <c r="O313" s="1182"/>
      <c r="P313" s="1182"/>
    </row>
    <row r="314" spans="1:18" s="103" customFormat="1" ht="18" x14ac:dyDescent="0.25">
      <c r="A314" s="1182"/>
      <c r="B314" s="1176" t="s">
        <v>877</v>
      </c>
      <c r="C314" s="507" t="s">
        <v>277</v>
      </c>
      <c r="D314" s="508">
        <v>0.02</v>
      </c>
      <c r="E314" s="509">
        <v>0</v>
      </c>
      <c r="F314" s="509">
        <v>0.1</v>
      </c>
      <c r="G314" s="509" t="s">
        <v>1915</v>
      </c>
      <c r="H314" s="509">
        <v>3</v>
      </c>
      <c r="I314" s="1805"/>
      <c r="J314" s="1806"/>
      <c r="K314" s="1182"/>
      <c r="L314" s="1182"/>
      <c r="M314" s="1182"/>
      <c r="N314" s="1182"/>
      <c r="O314" s="1182"/>
      <c r="P314" s="1182"/>
    </row>
    <row r="315" spans="1:18" s="103" customFormat="1" ht="18" x14ac:dyDescent="0.25">
      <c r="A315" s="1182"/>
      <c r="B315" s="1176" t="s">
        <v>1059</v>
      </c>
      <c r="C315" s="507" t="s">
        <v>2671</v>
      </c>
      <c r="D315" s="1880">
        <v>2E-3</v>
      </c>
      <c r="E315" s="509">
        <v>0</v>
      </c>
      <c r="F315" s="509">
        <v>0.1</v>
      </c>
      <c r="G315" s="509" t="s">
        <v>1915</v>
      </c>
      <c r="H315" s="509">
        <v>3</v>
      </c>
      <c r="I315" s="1805"/>
      <c r="J315" s="1806" t="s">
        <v>4586</v>
      </c>
      <c r="K315" s="1276"/>
      <c r="L315" s="1276"/>
      <c r="M315" s="1182"/>
      <c r="N315" s="1182"/>
      <c r="O315" s="1182"/>
      <c r="P315" s="1182"/>
    </row>
    <row r="316" spans="1:18" s="103" customFormat="1" ht="18" x14ac:dyDescent="0.25">
      <c r="A316" s="1182"/>
      <c r="B316" s="1176" t="s">
        <v>1060</v>
      </c>
      <c r="C316" s="507" t="s">
        <v>2672</v>
      </c>
      <c r="D316" s="1880">
        <v>2E-3</v>
      </c>
      <c r="E316" s="509">
        <v>0</v>
      </c>
      <c r="F316" s="509">
        <v>0.1</v>
      </c>
      <c r="G316" s="509" t="s">
        <v>1915</v>
      </c>
      <c r="H316" s="509">
        <v>3</v>
      </c>
      <c r="I316" s="1805"/>
      <c r="J316" s="1806" t="s">
        <v>4586</v>
      </c>
      <c r="K316" s="1276"/>
      <c r="L316" s="1276"/>
      <c r="M316" s="1182"/>
      <c r="N316" s="1182"/>
      <c r="O316" s="1182"/>
      <c r="P316" s="1182"/>
    </row>
    <row r="317" spans="1:18" s="103" customFormat="1" ht="18" x14ac:dyDescent="0.25">
      <c r="A317" s="1182"/>
      <c r="B317" s="1176" t="s">
        <v>1061</v>
      </c>
      <c r="C317" s="507" t="s">
        <v>2673</v>
      </c>
      <c r="D317" s="508">
        <v>2E-3</v>
      </c>
      <c r="E317" s="509">
        <v>0</v>
      </c>
      <c r="F317" s="509">
        <v>0.1</v>
      </c>
      <c r="G317" s="509" t="s">
        <v>1915</v>
      </c>
      <c r="H317" s="509">
        <v>3</v>
      </c>
      <c r="I317" s="1805"/>
      <c r="J317" s="1806"/>
      <c r="K317" s="1276"/>
      <c r="L317" s="1276"/>
      <c r="M317" s="1182"/>
      <c r="N317" s="1182"/>
      <c r="O317" s="1182"/>
      <c r="P317" s="1182"/>
    </row>
    <row r="318" spans="1:18" s="103" customFormat="1" ht="18" x14ac:dyDescent="0.25">
      <c r="A318" s="1182"/>
      <c r="B318" s="1176" t="s">
        <v>880</v>
      </c>
      <c r="C318" s="510" t="s">
        <v>2674</v>
      </c>
      <c r="D318" s="511">
        <v>0.12621410566683836</v>
      </c>
      <c r="E318" s="509">
        <v>0</v>
      </c>
      <c r="F318" s="509">
        <v>1</v>
      </c>
      <c r="G318" s="509" t="s">
        <v>1920</v>
      </c>
      <c r="H318" s="509">
        <v>2</v>
      </c>
      <c r="I318" s="1805"/>
      <c r="J318" s="1807" t="s">
        <v>2012</v>
      </c>
      <c r="K318" s="1182"/>
      <c r="L318" s="1182"/>
      <c r="M318" s="1182"/>
      <c r="N318" s="1182"/>
      <c r="O318" s="1182"/>
      <c r="P318" s="1182"/>
    </row>
    <row r="319" spans="1:18" s="103" customFormat="1" ht="18" x14ac:dyDescent="0.25">
      <c r="A319" s="1182"/>
      <c r="B319" s="1176" t="s">
        <v>1370</v>
      </c>
      <c r="C319" s="510" t="s">
        <v>2675</v>
      </c>
      <c r="D319" s="511">
        <v>0.16206538757887573</v>
      </c>
      <c r="E319" s="509">
        <v>0</v>
      </c>
      <c r="F319" s="509">
        <v>1</v>
      </c>
      <c r="G319" s="509" t="s">
        <v>1920</v>
      </c>
      <c r="H319" s="509">
        <v>2</v>
      </c>
      <c r="I319" s="1805"/>
      <c r="J319" s="1807" t="s">
        <v>2013</v>
      </c>
      <c r="K319" s="1182"/>
      <c r="L319" s="1182"/>
      <c r="M319" s="1182"/>
      <c r="N319" s="1182"/>
      <c r="O319" s="1182"/>
      <c r="P319" s="1182"/>
    </row>
    <row r="320" spans="1:18" s="103" customFormat="1" ht="18" x14ac:dyDescent="0.25">
      <c r="A320" s="1182"/>
      <c r="B320" s="1177" t="s">
        <v>3835</v>
      </c>
      <c r="C320" s="1053" t="s">
        <v>3836</v>
      </c>
      <c r="D320" s="1054">
        <v>0.179988070070871</v>
      </c>
      <c r="E320" s="1055">
        <v>0</v>
      </c>
      <c r="F320" s="1055">
        <v>1</v>
      </c>
      <c r="G320" s="1055" t="s">
        <v>1920</v>
      </c>
      <c r="H320" s="1055">
        <v>2</v>
      </c>
      <c r="I320" s="1808"/>
      <c r="J320" s="1809" t="s">
        <v>4715</v>
      </c>
      <c r="K320" s="1182"/>
      <c r="L320" s="1182"/>
      <c r="M320" s="1182"/>
      <c r="N320" s="1182"/>
      <c r="O320" s="1182"/>
      <c r="P320" s="1182"/>
    </row>
    <row r="321" spans="1:16" s="103" customFormat="1" ht="18" x14ac:dyDescent="0.25">
      <c r="A321" s="1182"/>
      <c r="B321" s="1176" t="s">
        <v>1375</v>
      </c>
      <c r="C321" s="510" t="s">
        <v>2676</v>
      </c>
      <c r="D321" s="511">
        <v>0.1234998580474381</v>
      </c>
      <c r="E321" s="509">
        <v>0</v>
      </c>
      <c r="F321" s="509">
        <v>1</v>
      </c>
      <c r="G321" s="509" t="s">
        <v>1920</v>
      </c>
      <c r="H321" s="509">
        <v>2</v>
      </c>
      <c r="I321" s="1805"/>
      <c r="J321" s="1807" t="s">
        <v>2014</v>
      </c>
      <c r="K321" s="1182"/>
      <c r="L321" s="1182"/>
      <c r="M321" s="1182"/>
      <c r="N321" s="1182"/>
      <c r="O321" s="1182"/>
      <c r="P321" s="1182"/>
    </row>
    <row r="322" spans="1:16" s="103" customFormat="1" ht="18" x14ac:dyDescent="0.25">
      <c r="A322" s="1182"/>
      <c r="B322" s="1178" t="s">
        <v>2663</v>
      </c>
      <c r="C322" s="505" t="s">
        <v>2678</v>
      </c>
      <c r="D322" s="506">
        <v>1.8</v>
      </c>
      <c r="E322" s="504">
        <v>0</v>
      </c>
      <c r="F322" s="504">
        <v>5</v>
      </c>
      <c r="G322" s="504" t="s">
        <v>1916</v>
      </c>
      <c r="H322" s="504">
        <v>2</v>
      </c>
      <c r="I322" s="1802" t="s">
        <v>2220</v>
      </c>
      <c r="J322" s="1803"/>
      <c r="K322" s="1276"/>
      <c r="L322" s="1276"/>
      <c r="M322" s="1182"/>
      <c r="N322" s="1182"/>
      <c r="O322" s="1182"/>
      <c r="P322" s="1182"/>
    </row>
    <row r="323" spans="1:16" s="103" customFormat="1" ht="18" x14ac:dyDescent="0.25">
      <c r="A323" s="1182"/>
      <c r="B323" s="1178" t="s">
        <v>2664</v>
      </c>
      <c r="C323" s="505" t="s">
        <v>2679</v>
      </c>
      <c r="D323" s="506">
        <v>1.3</v>
      </c>
      <c r="E323" s="504">
        <v>0</v>
      </c>
      <c r="F323" s="504">
        <v>5</v>
      </c>
      <c r="G323" s="504" t="s">
        <v>1916</v>
      </c>
      <c r="H323" s="504">
        <v>2</v>
      </c>
      <c r="I323" s="1802" t="s">
        <v>3489</v>
      </c>
      <c r="J323" s="1803"/>
      <c r="K323" s="1276"/>
      <c r="L323" s="1276"/>
      <c r="M323" s="1182"/>
      <c r="N323" s="1182"/>
      <c r="O323" s="1182"/>
      <c r="P323" s="1182"/>
    </row>
    <row r="324" spans="1:16" s="103" customFormat="1" ht="18" x14ac:dyDescent="0.25">
      <c r="A324" s="1182"/>
      <c r="B324" s="1178" t="s">
        <v>878</v>
      </c>
      <c r="C324" s="505" t="s">
        <v>2677</v>
      </c>
      <c r="D324" s="506">
        <v>1.42</v>
      </c>
      <c r="E324" s="504">
        <v>0</v>
      </c>
      <c r="F324" s="504">
        <v>5</v>
      </c>
      <c r="G324" s="504" t="s">
        <v>1916</v>
      </c>
      <c r="H324" s="504">
        <v>2</v>
      </c>
      <c r="I324" s="1802" t="s">
        <v>3490</v>
      </c>
      <c r="J324" s="1803"/>
      <c r="K324" s="1276"/>
      <c r="L324" s="1182"/>
      <c r="M324" s="1182"/>
      <c r="N324" s="1182"/>
      <c r="O324" s="1182"/>
      <c r="P324" s="1182"/>
    </row>
    <row r="325" spans="1:16" s="103" customFormat="1" ht="18" x14ac:dyDescent="0.25">
      <c r="A325" s="1182"/>
      <c r="B325" s="1178" t="s">
        <v>2665</v>
      </c>
      <c r="C325" s="505" t="s">
        <v>2688</v>
      </c>
      <c r="D325" s="506">
        <v>1.42</v>
      </c>
      <c r="E325" s="504">
        <v>0</v>
      </c>
      <c r="F325" s="504">
        <v>5</v>
      </c>
      <c r="G325" s="504" t="s">
        <v>1916</v>
      </c>
      <c r="H325" s="504">
        <v>2</v>
      </c>
      <c r="I325" s="1802" t="s">
        <v>3491</v>
      </c>
      <c r="J325" s="1803"/>
      <c r="K325" s="1276"/>
      <c r="L325" s="1276"/>
      <c r="M325" s="1182"/>
      <c r="N325" s="1182"/>
      <c r="O325" s="1182"/>
      <c r="P325" s="1182"/>
    </row>
    <row r="326" spans="1:16" s="103" customFormat="1" ht="18" x14ac:dyDescent="0.25">
      <c r="A326" s="1182"/>
      <c r="B326" s="1178" t="s">
        <v>1143</v>
      </c>
      <c r="C326" s="505" t="s">
        <v>2680</v>
      </c>
      <c r="D326" s="506">
        <v>1.0660000000000001</v>
      </c>
      <c r="E326" s="504">
        <v>0</v>
      </c>
      <c r="F326" s="504">
        <v>5</v>
      </c>
      <c r="G326" s="504" t="s">
        <v>1917</v>
      </c>
      <c r="H326" s="504">
        <v>2</v>
      </c>
      <c r="I326" s="1802"/>
      <c r="J326" s="1803"/>
      <c r="K326" s="1276"/>
      <c r="L326" s="1276"/>
      <c r="M326" s="1182"/>
      <c r="N326" s="1182"/>
      <c r="O326" s="1182"/>
      <c r="P326" s="1182"/>
    </row>
    <row r="327" spans="1:16" s="103" customFormat="1" ht="18" x14ac:dyDescent="0.25">
      <c r="A327" s="1182"/>
      <c r="B327" s="1178" t="s">
        <v>1144</v>
      </c>
      <c r="C327" s="505" t="s">
        <v>2681</v>
      </c>
      <c r="D327" s="506">
        <v>1.0660000000000001</v>
      </c>
      <c r="E327" s="504">
        <v>0</v>
      </c>
      <c r="F327" s="504">
        <v>5</v>
      </c>
      <c r="G327" s="504" t="s">
        <v>1917</v>
      </c>
      <c r="H327" s="504">
        <v>2</v>
      </c>
      <c r="I327" s="1802"/>
      <c r="J327" s="1803"/>
      <c r="K327" s="1276"/>
      <c r="L327" s="1276"/>
      <c r="M327" s="1182"/>
      <c r="N327" s="1182"/>
      <c r="O327" s="1182"/>
      <c r="P327" s="1182"/>
    </row>
    <row r="328" spans="1:16" s="103" customFormat="1" ht="18" x14ac:dyDescent="0.25">
      <c r="A328" s="1182"/>
      <c r="B328" s="1178" t="s">
        <v>1145</v>
      </c>
      <c r="C328" s="505" t="s">
        <v>2682</v>
      </c>
      <c r="D328" s="506">
        <v>1.5</v>
      </c>
      <c r="E328" s="504">
        <v>0</v>
      </c>
      <c r="F328" s="504">
        <v>5</v>
      </c>
      <c r="G328" s="504" t="s">
        <v>1917</v>
      </c>
      <c r="H328" s="504">
        <v>2</v>
      </c>
      <c r="I328" s="1802"/>
      <c r="J328" s="1803"/>
      <c r="K328" s="1276"/>
      <c r="L328" s="1276"/>
      <c r="M328" s="1182"/>
      <c r="N328" s="1182"/>
      <c r="O328" s="1182"/>
      <c r="P328" s="1182"/>
    </row>
    <row r="329" spans="1:16" s="103" customFormat="1" ht="18" x14ac:dyDescent="0.25">
      <c r="A329" s="1182"/>
      <c r="B329" s="1178" t="s">
        <v>1146</v>
      </c>
      <c r="C329" s="505" t="s">
        <v>2683</v>
      </c>
      <c r="D329" s="506">
        <v>0.92600000000000005</v>
      </c>
      <c r="E329" s="504">
        <v>0</v>
      </c>
      <c r="F329" s="504">
        <v>5</v>
      </c>
      <c r="G329" s="504" t="s">
        <v>1917</v>
      </c>
      <c r="H329" s="504">
        <v>2</v>
      </c>
      <c r="I329" s="1802"/>
      <c r="J329" s="1803"/>
      <c r="K329" s="1276"/>
      <c r="L329" s="1276"/>
      <c r="M329" s="1182"/>
      <c r="N329" s="1182"/>
      <c r="O329" s="1182"/>
      <c r="P329" s="1182"/>
    </row>
    <row r="330" spans="1:16" s="103" customFormat="1" ht="18" x14ac:dyDescent="0.25">
      <c r="A330" s="1182"/>
      <c r="B330" s="1178" t="s">
        <v>1147</v>
      </c>
      <c r="C330" s="505" t="s">
        <v>2684</v>
      </c>
      <c r="D330" s="506">
        <v>1.8</v>
      </c>
      <c r="E330" s="504">
        <v>0</v>
      </c>
      <c r="F330" s="504">
        <v>5</v>
      </c>
      <c r="G330" s="504" t="s">
        <v>1917</v>
      </c>
      <c r="H330" s="504">
        <v>2</v>
      </c>
      <c r="I330" s="1802"/>
      <c r="J330" s="1803"/>
      <c r="K330" s="1276"/>
      <c r="L330" s="1276"/>
      <c r="M330" s="1182"/>
      <c r="N330" s="1182"/>
      <c r="O330" s="1182"/>
      <c r="P330" s="1182"/>
    </row>
    <row r="331" spans="1:16" s="103" customFormat="1" ht="18" x14ac:dyDescent="0.25">
      <c r="A331" s="1182"/>
      <c r="B331" s="1178" t="s">
        <v>1148</v>
      </c>
      <c r="C331" s="505" t="s">
        <v>2685</v>
      </c>
      <c r="D331" s="506">
        <v>1.3</v>
      </c>
      <c r="E331" s="504">
        <v>0</v>
      </c>
      <c r="F331" s="504">
        <v>5</v>
      </c>
      <c r="G331" s="504" t="s">
        <v>1917</v>
      </c>
      <c r="H331" s="504">
        <v>2</v>
      </c>
      <c r="I331" s="1802"/>
      <c r="J331" s="1803"/>
      <c r="K331" s="1276"/>
      <c r="L331" s="1276"/>
      <c r="M331" s="1182"/>
      <c r="N331" s="1182"/>
      <c r="O331" s="1182"/>
      <c r="P331" s="1182"/>
    </row>
    <row r="332" spans="1:16" s="103" customFormat="1" ht="18" x14ac:dyDescent="0.25">
      <c r="A332" s="1182"/>
      <c r="B332" s="1178" t="s">
        <v>879</v>
      </c>
      <c r="C332" s="505" t="s">
        <v>2686</v>
      </c>
      <c r="D332" s="506">
        <v>1.67</v>
      </c>
      <c r="E332" s="504">
        <v>0</v>
      </c>
      <c r="F332" s="504">
        <v>5</v>
      </c>
      <c r="G332" s="504" t="s">
        <v>1916</v>
      </c>
      <c r="H332" s="504">
        <v>2</v>
      </c>
      <c r="I332" s="1802"/>
      <c r="J332" s="1803"/>
      <c r="K332" s="1276"/>
      <c r="L332" s="1276"/>
      <c r="M332" s="1182"/>
      <c r="N332" s="1182"/>
      <c r="O332" s="1182"/>
      <c r="P332" s="1182"/>
    </row>
    <row r="333" spans="1:16" s="103" customFormat="1" ht="18" x14ac:dyDescent="0.25">
      <c r="A333" s="1182"/>
      <c r="B333" s="1178" t="s">
        <v>2152</v>
      </c>
      <c r="C333" s="505" t="s">
        <v>2687</v>
      </c>
      <c r="D333" s="506">
        <v>1.19</v>
      </c>
      <c r="E333" s="504">
        <v>0</v>
      </c>
      <c r="F333" s="504">
        <v>5</v>
      </c>
      <c r="G333" s="504" t="s">
        <v>1916</v>
      </c>
      <c r="H333" s="504">
        <v>2</v>
      </c>
      <c r="I333" s="1802"/>
      <c r="J333" s="1803"/>
      <c r="K333" s="1276"/>
      <c r="L333" s="1276"/>
      <c r="M333" s="1182"/>
      <c r="N333" s="1182"/>
      <c r="O333" s="1182"/>
      <c r="P333" s="1182"/>
    </row>
    <row r="334" spans="1:16" s="186" customFormat="1" ht="18" x14ac:dyDescent="0.25">
      <c r="A334" s="1186"/>
      <c r="B334" s="1179" t="s">
        <v>1624</v>
      </c>
      <c r="C334" s="507" t="s">
        <v>2689</v>
      </c>
      <c r="D334" s="511">
        <v>0.35199999999999998</v>
      </c>
      <c r="E334" s="509">
        <v>0</v>
      </c>
      <c r="F334" s="509">
        <v>5</v>
      </c>
      <c r="G334" s="512" t="s">
        <v>1918</v>
      </c>
      <c r="H334" s="509">
        <v>2</v>
      </c>
      <c r="I334" s="1810"/>
      <c r="J334" s="1806" t="s">
        <v>1987</v>
      </c>
      <c r="K334" s="1277"/>
      <c r="L334" s="1277"/>
      <c r="M334" s="1186"/>
      <c r="N334" s="1186"/>
      <c r="O334" s="1186"/>
      <c r="P334" s="1186"/>
    </row>
    <row r="335" spans="1:16" s="186" customFormat="1" ht="18" x14ac:dyDescent="0.25">
      <c r="A335" s="1186"/>
      <c r="B335" s="1179" t="s">
        <v>1982</v>
      </c>
      <c r="C335" s="507" t="s">
        <v>2690</v>
      </c>
      <c r="D335" s="511">
        <v>0.28599999999999998</v>
      </c>
      <c r="E335" s="509">
        <v>0</v>
      </c>
      <c r="F335" s="509">
        <v>5</v>
      </c>
      <c r="G335" s="512" t="s">
        <v>1918</v>
      </c>
      <c r="H335" s="509">
        <v>2</v>
      </c>
      <c r="I335" s="1810"/>
      <c r="J335" s="1806" t="s">
        <v>1987</v>
      </c>
      <c r="K335" s="1277"/>
      <c r="L335" s="1277"/>
      <c r="M335" s="1186"/>
      <c r="N335" s="1186"/>
      <c r="O335" s="1186"/>
      <c r="P335" s="1186"/>
    </row>
    <row r="336" spans="1:16" s="186" customFormat="1" ht="18" x14ac:dyDescent="0.25">
      <c r="A336" s="1186"/>
      <c r="B336" s="1179" t="s">
        <v>1983</v>
      </c>
      <c r="C336" s="507" t="s">
        <v>2691</v>
      </c>
      <c r="D336" s="511">
        <v>0.25</v>
      </c>
      <c r="E336" s="509">
        <v>0</v>
      </c>
      <c r="F336" s="509">
        <v>5</v>
      </c>
      <c r="G336" s="512" t="s">
        <v>1918</v>
      </c>
      <c r="H336" s="509">
        <v>2</v>
      </c>
      <c r="I336" s="1810"/>
      <c r="J336" s="1806" t="s">
        <v>2179</v>
      </c>
      <c r="K336" s="1277"/>
      <c r="L336" s="1277"/>
      <c r="M336" s="1186"/>
      <c r="N336" s="1186"/>
      <c r="O336" s="1186"/>
      <c r="P336" s="1186"/>
    </row>
    <row r="337" spans="1:18" s="186" customFormat="1" ht="18" x14ac:dyDescent="0.25">
      <c r="A337" s="1186"/>
      <c r="B337" s="1179" t="s">
        <v>1980</v>
      </c>
      <c r="C337" s="507" t="s">
        <v>2692</v>
      </c>
      <c r="D337" s="511">
        <v>0.188</v>
      </c>
      <c r="E337" s="509">
        <v>0</v>
      </c>
      <c r="F337" s="509">
        <v>5</v>
      </c>
      <c r="G337" s="512" t="s">
        <v>1918</v>
      </c>
      <c r="H337" s="509">
        <v>2</v>
      </c>
      <c r="I337" s="1810"/>
      <c r="J337" s="1806" t="s">
        <v>1984</v>
      </c>
      <c r="K337" s="1277"/>
      <c r="L337" s="1277"/>
      <c r="M337" s="1186"/>
      <c r="N337" s="1186"/>
      <c r="O337" s="1186"/>
      <c r="P337" s="1186"/>
    </row>
    <row r="338" spans="1:18" s="186" customFormat="1" ht="18" x14ac:dyDescent="0.25">
      <c r="A338" s="1186"/>
      <c r="B338" s="1179" t="s">
        <v>1981</v>
      </c>
      <c r="C338" s="507" t="s">
        <v>2693</v>
      </c>
      <c r="D338" s="511">
        <v>0.375</v>
      </c>
      <c r="E338" s="509">
        <v>0</v>
      </c>
      <c r="F338" s="509">
        <v>5</v>
      </c>
      <c r="G338" s="512" t="s">
        <v>1918</v>
      </c>
      <c r="H338" s="509">
        <v>2</v>
      </c>
      <c r="I338" s="1810"/>
      <c r="J338" s="1806" t="s">
        <v>1985</v>
      </c>
      <c r="K338" s="1277"/>
      <c r="L338" s="1277"/>
      <c r="M338" s="1186"/>
      <c r="N338" s="1186"/>
      <c r="O338" s="1186"/>
      <c r="P338" s="1186"/>
    </row>
    <row r="339" spans="1:18" s="186" customFormat="1" ht="18" x14ac:dyDescent="0.25">
      <c r="A339" s="1186"/>
      <c r="B339" s="1179" t="s">
        <v>1986</v>
      </c>
      <c r="C339" s="513" t="s">
        <v>2694</v>
      </c>
      <c r="D339" s="514">
        <v>0.33300000000000002</v>
      </c>
      <c r="E339" s="509">
        <v>0</v>
      </c>
      <c r="F339" s="509">
        <v>5</v>
      </c>
      <c r="G339" s="512" t="s">
        <v>1918</v>
      </c>
      <c r="H339" s="509">
        <v>2</v>
      </c>
      <c r="I339" s="1810"/>
      <c r="J339" s="1806" t="s">
        <v>1988</v>
      </c>
      <c r="K339" s="1277"/>
      <c r="L339" s="1277"/>
      <c r="M339" s="1186"/>
      <c r="N339" s="1186"/>
      <c r="O339" s="1186"/>
      <c r="P339" s="1186"/>
    </row>
    <row r="340" spans="1:18" s="186" customFormat="1" ht="18" x14ac:dyDescent="0.25">
      <c r="A340" s="1186"/>
      <c r="B340" s="1179" t="s">
        <v>2156</v>
      </c>
      <c r="C340" s="513" t="s">
        <v>2695</v>
      </c>
      <c r="D340" s="514">
        <v>0.375</v>
      </c>
      <c r="E340" s="509">
        <v>0</v>
      </c>
      <c r="F340" s="509">
        <v>5</v>
      </c>
      <c r="G340" s="512" t="s">
        <v>1918</v>
      </c>
      <c r="H340" s="509">
        <v>2</v>
      </c>
      <c r="I340" s="1810"/>
      <c r="J340" s="1806" t="s">
        <v>2158</v>
      </c>
      <c r="K340" s="1277"/>
      <c r="L340" s="1277"/>
      <c r="M340" s="1186"/>
      <c r="N340" s="1186"/>
      <c r="O340" s="1186"/>
      <c r="P340" s="1186"/>
    </row>
    <row r="341" spans="1:18" s="103" customFormat="1" ht="18" x14ac:dyDescent="0.25">
      <c r="A341" s="1182"/>
      <c r="B341" s="1191" t="s">
        <v>2517</v>
      </c>
      <c r="C341" s="1215" t="s">
        <v>2696</v>
      </c>
      <c r="D341" s="1240">
        <v>0.11</v>
      </c>
      <c r="E341" s="1262">
        <v>0</v>
      </c>
      <c r="F341" s="1262">
        <v>1</v>
      </c>
      <c r="G341" s="1262" t="s">
        <v>2226</v>
      </c>
      <c r="H341" s="1262">
        <v>2</v>
      </c>
      <c r="I341" s="1758"/>
      <c r="J341" s="1759" t="s">
        <v>1062</v>
      </c>
      <c r="K341" s="1182"/>
      <c r="L341" s="1182"/>
      <c r="M341" s="1182"/>
      <c r="N341" s="1182"/>
      <c r="O341" s="1182"/>
      <c r="P341" s="1182"/>
    </row>
    <row r="342" spans="1:18" s="103" customFormat="1" ht="18" x14ac:dyDescent="0.25">
      <c r="A342" s="1182"/>
      <c r="B342" s="1191" t="s">
        <v>1002</v>
      </c>
      <c r="C342" s="1215" t="s">
        <v>2697</v>
      </c>
      <c r="D342" s="1240">
        <v>0.1</v>
      </c>
      <c r="E342" s="1262">
        <v>0</v>
      </c>
      <c r="F342" s="1262">
        <v>1</v>
      </c>
      <c r="G342" s="1262" t="s">
        <v>1921</v>
      </c>
      <c r="H342" s="1262">
        <v>2</v>
      </c>
      <c r="I342" s="1758"/>
      <c r="J342" s="1759" t="s">
        <v>3734</v>
      </c>
      <c r="K342" s="1182"/>
      <c r="L342" s="1182"/>
      <c r="M342" s="1182"/>
      <c r="N342" s="1182"/>
      <c r="O342" s="1182"/>
      <c r="P342" s="1182"/>
    </row>
    <row r="343" spans="1:18" s="103" customFormat="1" ht="18" x14ac:dyDescent="0.25">
      <c r="A343" s="1182"/>
      <c r="B343" s="1191" t="s">
        <v>1003</v>
      </c>
      <c r="C343" s="1215" t="s">
        <v>2698</v>
      </c>
      <c r="D343" s="1240">
        <v>0.35</v>
      </c>
      <c r="E343" s="1262">
        <v>0</v>
      </c>
      <c r="F343" s="1262">
        <v>1</v>
      </c>
      <c r="G343" s="1262" t="s">
        <v>1922</v>
      </c>
      <c r="H343" s="1262">
        <v>2</v>
      </c>
      <c r="I343" s="1758"/>
      <c r="J343" s="1759" t="s">
        <v>3735</v>
      </c>
      <c r="K343" s="1182"/>
      <c r="L343" s="1182"/>
      <c r="M343" s="1182"/>
      <c r="N343" s="1182"/>
      <c r="O343" s="1182"/>
      <c r="P343" s="1182"/>
    </row>
    <row r="344" spans="1:18" s="103" customFormat="1" ht="18" x14ac:dyDescent="0.25">
      <c r="A344" s="1182"/>
      <c r="B344" s="1191" t="s">
        <v>1378</v>
      </c>
      <c r="C344" s="1215" t="s">
        <v>2699</v>
      </c>
      <c r="D344" s="1240">
        <v>0.1</v>
      </c>
      <c r="E344" s="1262">
        <v>0</v>
      </c>
      <c r="F344" s="1262">
        <v>1</v>
      </c>
      <c r="G344" s="1262" t="s">
        <v>1973</v>
      </c>
      <c r="H344" s="1262">
        <v>2</v>
      </c>
      <c r="I344" s="1758"/>
      <c r="J344" s="1759" t="s">
        <v>3736</v>
      </c>
      <c r="K344" s="1182"/>
      <c r="L344" s="1182"/>
      <c r="M344" s="1182"/>
      <c r="N344" s="1182"/>
      <c r="O344" s="1182"/>
      <c r="P344" s="1182"/>
    </row>
    <row r="345" spans="1:18" s="103" customFormat="1" ht="18" x14ac:dyDescent="0.25">
      <c r="A345" s="1185"/>
      <c r="B345" s="1197" t="s">
        <v>1159</v>
      </c>
      <c r="C345" s="1219" t="s">
        <v>2700</v>
      </c>
      <c r="D345" s="1246">
        <f>A_MNa/(A_MNa+A_MCl)</f>
        <v>0.39337234346305527</v>
      </c>
      <c r="E345" s="1246">
        <v>0</v>
      </c>
      <c r="F345" s="1267">
        <v>1</v>
      </c>
      <c r="G345" s="1267" t="s">
        <v>1974</v>
      </c>
      <c r="H345" s="1267">
        <v>3</v>
      </c>
      <c r="I345" s="1316"/>
      <c r="J345" s="1375"/>
      <c r="K345" s="1185"/>
      <c r="L345" s="1185"/>
      <c r="M345" s="1185"/>
      <c r="N345" s="1185"/>
      <c r="O345" s="1185"/>
      <c r="P345" s="1185"/>
    </row>
    <row r="346" spans="1:18" s="103" customFormat="1" ht="18" x14ac:dyDescent="0.25">
      <c r="A346" s="1185"/>
      <c r="B346" s="1196" t="s">
        <v>3679</v>
      </c>
      <c r="C346" s="1220" t="s">
        <v>3680</v>
      </c>
      <c r="D346" s="1247">
        <v>0.05</v>
      </c>
      <c r="E346" s="1247">
        <v>0</v>
      </c>
      <c r="F346" s="1255">
        <v>0.14000000000000001</v>
      </c>
      <c r="G346" s="1255" t="s">
        <v>3681</v>
      </c>
      <c r="H346" s="1255">
        <v>3</v>
      </c>
      <c r="I346" s="1226"/>
      <c r="J346" s="1811"/>
      <c r="K346" s="1185"/>
      <c r="L346" s="1185"/>
      <c r="M346" s="1185"/>
      <c r="N346" s="1185"/>
      <c r="O346" s="1185"/>
      <c r="P346" s="1185"/>
    </row>
    <row r="347" spans="1:18" s="103" customFormat="1" ht="18" x14ac:dyDescent="0.25">
      <c r="A347" s="1185"/>
      <c r="B347" s="1197" t="s">
        <v>3682</v>
      </c>
      <c r="C347" s="1219" t="s">
        <v>3683</v>
      </c>
      <c r="D347" s="1246">
        <v>0.05</v>
      </c>
      <c r="E347" s="1246">
        <v>0</v>
      </c>
      <c r="F347" s="1267">
        <v>0.15</v>
      </c>
      <c r="G347" s="1267" t="s">
        <v>3684</v>
      </c>
      <c r="H347" s="1267">
        <v>3</v>
      </c>
      <c r="I347" s="1316"/>
      <c r="J347" s="1375"/>
      <c r="K347" s="1185"/>
      <c r="L347" s="1185"/>
      <c r="M347" s="1185"/>
      <c r="N347" s="1185"/>
      <c r="O347" s="1185"/>
      <c r="P347" s="1185"/>
    </row>
    <row r="348" spans="1:18" s="103" customFormat="1" ht="18.75" thickBot="1" x14ac:dyDescent="0.3">
      <c r="A348" s="1185"/>
      <c r="B348" s="1195" t="s">
        <v>3685</v>
      </c>
      <c r="C348" s="1221" t="s">
        <v>3686</v>
      </c>
      <c r="D348" s="1248">
        <v>0.5</v>
      </c>
      <c r="E348" s="1248">
        <v>0</v>
      </c>
      <c r="F348" s="1268">
        <v>1</v>
      </c>
      <c r="G348" s="1268" t="s">
        <v>282</v>
      </c>
      <c r="H348" s="1268">
        <v>2</v>
      </c>
      <c r="I348" s="1812"/>
      <c r="J348" s="1813"/>
      <c r="K348" s="1185"/>
      <c r="L348" s="1185"/>
      <c r="M348" s="1185"/>
      <c r="N348" s="1185"/>
      <c r="O348" s="1185"/>
      <c r="P348" s="1185"/>
    </row>
    <row r="349" spans="1:18" ht="15.75" thickBot="1" x14ac:dyDescent="0.3">
      <c r="A349" s="1185"/>
      <c r="B349" s="1187"/>
      <c r="C349" s="1210"/>
      <c r="D349" s="1249"/>
      <c r="E349" s="1244"/>
      <c r="F349" s="1244"/>
      <c r="G349" s="1244"/>
      <c r="H349" s="1244"/>
      <c r="I349" s="1210"/>
      <c r="J349" s="1188"/>
      <c r="K349" s="1182"/>
      <c r="L349" s="1182"/>
      <c r="M349" s="1182"/>
      <c r="N349" s="1182"/>
      <c r="O349" s="1182"/>
      <c r="P349" s="1182"/>
      <c r="Q349" s="103"/>
      <c r="R349" s="103"/>
    </row>
    <row r="350" spans="1:18" s="103" customFormat="1" ht="15.75" thickBot="1" x14ac:dyDescent="0.3">
      <c r="A350" s="1182"/>
      <c r="B350" s="1187"/>
      <c r="C350" s="706" t="s">
        <v>3492</v>
      </c>
      <c r="D350" s="1185" t="s">
        <v>315</v>
      </c>
      <c r="E350" s="1185"/>
      <c r="F350" s="1185"/>
      <c r="G350" s="1185"/>
      <c r="H350" s="1185"/>
      <c r="I350" s="1187"/>
      <c r="J350" s="1188"/>
      <c r="K350" s="1182"/>
      <c r="L350" s="1182"/>
      <c r="M350" s="1182"/>
      <c r="N350" s="1182"/>
      <c r="O350" s="1182"/>
      <c r="P350" s="1182"/>
    </row>
    <row r="351" spans="1:18" s="103" customFormat="1" ht="15.75" thickBot="1" x14ac:dyDescent="0.3">
      <c r="A351" s="1182"/>
      <c r="B351" s="826" t="s">
        <v>0</v>
      </c>
      <c r="C351" s="851" t="s">
        <v>1</v>
      </c>
      <c r="D351" s="852" t="s">
        <v>840</v>
      </c>
      <c r="E351" s="852" t="s">
        <v>470</v>
      </c>
      <c r="F351" s="852" t="s">
        <v>471</v>
      </c>
      <c r="G351" s="852" t="s">
        <v>2</v>
      </c>
      <c r="H351" s="852" t="s">
        <v>298</v>
      </c>
      <c r="I351" s="851" t="s">
        <v>116</v>
      </c>
      <c r="J351" s="1754" t="s">
        <v>117</v>
      </c>
      <c r="K351" s="1182"/>
      <c r="L351" s="1182"/>
      <c r="M351" s="1279" t="s">
        <v>3060</v>
      </c>
      <c r="N351" s="1279" t="s">
        <v>3061</v>
      </c>
      <c r="O351" s="1182"/>
      <c r="P351" s="1182"/>
    </row>
    <row r="352" spans="1:18" s="103" customFormat="1" ht="18" x14ac:dyDescent="0.25">
      <c r="A352" s="1182"/>
      <c r="B352" s="1198" t="s">
        <v>2126</v>
      </c>
      <c r="C352" s="1222" t="s">
        <v>346</v>
      </c>
      <c r="D352" s="1250">
        <v>0.95</v>
      </c>
      <c r="E352" s="1263">
        <v>0</v>
      </c>
      <c r="F352" s="1263">
        <v>1</v>
      </c>
      <c r="G352" s="1272" t="s">
        <v>3024</v>
      </c>
      <c r="H352" s="1263">
        <v>2</v>
      </c>
      <c r="I352" s="1814"/>
      <c r="J352" s="1815"/>
      <c r="K352" s="1276"/>
      <c r="L352" s="1276"/>
      <c r="M352" s="1182"/>
      <c r="N352" s="1182"/>
      <c r="O352" s="1182"/>
      <c r="P352" s="1182"/>
    </row>
    <row r="353" spans="1:18" s="103" customFormat="1" ht="18" x14ac:dyDescent="0.25">
      <c r="A353" s="1182"/>
      <c r="B353" s="1199" t="s">
        <v>3025</v>
      </c>
      <c r="C353" s="1218" t="s">
        <v>3026</v>
      </c>
      <c r="D353" s="1251">
        <v>0.9</v>
      </c>
      <c r="E353" s="1259">
        <v>0</v>
      </c>
      <c r="F353" s="1259">
        <v>1</v>
      </c>
      <c r="G353" s="1273" t="s">
        <v>2018</v>
      </c>
      <c r="H353" s="1259">
        <v>2</v>
      </c>
      <c r="I353" s="1231"/>
      <c r="J353" s="1816"/>
      <c r="K353" s="1276"/>
      <c r="L353" s="1276"/>
      <c r="M353" s="1182"/>
      <c r="N353" s="1182"/>
      <c r="O353" s="1182"/>
      <c r="P353" s="1182"/>
    </row>
    <row r="354" spans="1:18" s="103" customFormat="1" ht="18" x14ac:dyDescent="0.25">
      <c r="A354" s="1182"/>
      <c r="B354" s="1199" t="s">
        <v>3027</v>
      </c>
      <c r="C354" s="1218" t="s">
        <v>3028</v>
      </c>
      <c r="D354" s="1251">
        <v>0.6</v>
      </c>
      <c r="E354" s="1259">
        <v>0</v>
      </c>
      <c r="F354" s="1259">
        <v>1</v>
      </c>
      <c r="G354" s="1273" t="s">
        <v>2018</v>
      </c>
      <c r="H354" s="1259">
        <v>2</v>
      </c>
      <c r="I354" s="1231"/>
      <c r="J354" s="1816"/>
      <c r="K354" s="1276"/>
      <c r="L354" s="1276"/>
      <c r="M354" s="1182"/>
      <c r="N354" s="1182"/>
      <c r="O354" s="1182"/>
      <c r="P354" s="1182"/>
    </row>
    <row r="355" spans="1:18" s="103" customFormat="1" ht="18.75" thickBot="1" x14ac:dyDescent="0.3">
      <c r="A355" s="1182"/>
      <c r="B355" s="1200" t="s">
        <v>3029</v>
      </c>
      <c r="C355" s="1223" t="s">
        <v>3030</v>
      </c>
      <c r="D355" s="1252">
        <v>0.5</v>
      </c>
      <c r="E355" s="1264">
        <v>0</v>
      </c>
      <c r="F355" s="1264">
        <v>1</v>
      </c>
      <c r="G355" s="1274" t="s">
        <v>2018</v>
      </c>
      <c r="H355" s="1264">
        <v>2</v>
      </c>
      <c r="I355" s="1330"/>
      <c r="J355" s="1817"/>
      <c r="K355" s="1276"/>
      <c r="L355" s="1276"/>
      <c r="M355" s="1182"/>
      <c r="N355" s="1182"/>
      <c r="O355" s="1182"/>
      <c r="P355" s="1182"/>
    </row>
    <row r="356" spans="1:18" ht="15.75" thickBot="1" x14ac:dyDescent="0.3">
      <c r="A356" s="1185"/>
      <c r="B356" s="1187"/>
      <c r="C356" s="1210"/>
      <c r="D356" s="1249"/>
      <c r="E356" s="1244"/>
      <c r="F356" s="1244"/>
      <c r="G356" s="1244"/>
      <c r="H356" s="1244"/>
      <c r="I356" s="1210"/>
      <c r="J356" s="1188"/>
      <c r="K356" s="1182"/>
      <c r="L356" s="1182"/>
      <c r="M356" s="1182"/>
      <c r="N356" s="1182"/>
      <c r="O356" s="1182"/>
      <c r="P356" s="1182"/>
      <c r="Q356" s="103"/>
      <c r="R356" s="103"/>
    </row>
    <row r="357" spans="1:18" s="103" customFormat="1" ht="15.75" thickBot="1" x14ac:dyDescent="0.3">
      <c r="A357" s="1182"/>
      <c r="B357" s="1187"/>
      <c r="C357" s="148" t="s">
        <v>2015</v>
      </c>
      <c r="D357" s="1185" t="s">
        <v>315</v>
      </c>
      <c r="E357" s="1185"/>
      <c r="F357" s="1185"/>
      <c r="G357" s="1185"/>
      <c r="H357" s="1185"/>
      <c r="I357" s="1187"/>
      <c r="J357" s="1188"/>
      <c r="K357" s="1182"/>
      <c r="L357" s="1182"/>
      <c r="M357" s="1182"/>
      <c r="N357" s="1182"/>
      <c r="O357" s="1182"/>
      <c r="P357" s="1182"/>
    </row>
    <row r="358" spans="1:18" s="103" customFormat="1" ht="15.75" thickBot="1" x14ac:dyDescent="0.3">
      <c r="A358" s="1182"/>
      <c r="B358" s="1163" t="s">
        <v>0</v>
      </c>
      <c r="C358" s="146" t="s">
        <v>1</v>
      </c>
      <c r="D358" s="128" t="s">
        <v>840</v>
      </c>
      <c r="E358" s="128" t="s">
        <v>470</v>
      </c>
      <c r="F358" s="128" t="s">
        <v>471</v>
      </c>
      <c r="G358" s="128" t="s">
        <v>2</v>
      </c>
      <c r="H358" s="128" t="s">
        <v>298</v>
      </c>
      <c r="I358" s="146" t="s">
        <v>116</v>
      </c>
      <c r="J358" s="1755" t="s">
        <v>117</v>
      </c>
      <c r="K358" s="1182"/>
      <c r="L358" s="1182"/>
      <c r="M358" s="2446" t="s">
        <v>3060</v>
      </c>
      <c r="N358" s="2446" t="s">
        <v>3061</v>
      </c>
      <c r="O358" s="1182"/>
      <c r="P358" s="1182"/>
    </row>
    <row r="359" spans="1:18" s="103" customFormat="1" ht="18" x14ac:dyDescent="0.25">
      <c r="A359" s="1182"/>
      <c r="B359" s="1201" t="s">
        <v>4030</v>
      </c>
      <c r="C359" s="1224" t="s">
        <v>883</v>
      </c>
      <c r="D359" s="1253">
        <v>1.2</v>
      </c>
      <c r="E359" s="1253">
        <v>0</v>
      </c>
      <c r="F359" s="1253" t="s">
        <v>1257</v>
      </c>
      <c r="G359" s="1275" t="s">
        <v>1923</v>
      </c>
      <c r="H359" s="1253">
        <v>1</v>
      </c>
      <c r="I359" s="1224"/>
      <c r="J359" s="1818"/>
      <c r="K359" s="1182"/>
      <c r="L359" s="2447" t="s">
        <v>3841</v>
      </c>
      <c r="M359" s="2448">
        <f>A_MP/A_MFe</f>
        <v>0.55463805533172172</v>
      </c>
      <c r="N359" s="2448">
        <f>A_MP/A_MAl</f>
        <v>1.1479629449808202</v>
      </c>
      <c r="O359" s="1182"/>
      <c r="P359" s="1182"/>
    </row>
    <row r="360" spans="1:18" s="103" customFormat="1" ht="18" x14ac:dyDescent="0.25">
      <c r="A360" s="1182"/>
      <c r="B360" s="1197" t="s">
        <v>4031</v>
      </c>
      <c r="C360" s="1225" t="s">
        <v>884</v>
      </c>
      <c r="D360" s="1254">
        <v>0.2</v>
      </c>
      <c r="E360" s="1254">
        <v>0</v>
      </c>
      <c r="F360" s="1254" t="s">
        <v>1257</v>
      </c>
      <c r="G360" s="1254" t="s">
        <v>1923</v>
      </c>
      <c r="H360" s="1254">
        <v>1</v>
      </c>
      <c r="I360" s="1225"/>
      <c r="J360" s="1374"/>
      <c r="K360" s="1182"/>
      <c r="L360" s="2447" t="s">
        <v>3844</v>
      </c>
      <c r="M360" s="2448">
        <f>(A_MFe+3*(A_MH+A_MO))/A_MFe</f>
        <v>1.9136363147998925</v>
      </c>
      <c r="N360" s="2448">
        <f>(A_MAl+3*(A_MH+A_MO))/A_MP</f>
        <v>2.5183740837269033</v>
      </c>
      <c r="O360" s="1182"/>
      <c r="P360" s="1182"/>
    </row>
    <row r="361" spans="1:18" s="103" customFormat="1" ht="18" x14ac:dyDescent="0.25">
      <c r="A361" s="1182"/>
      <c r="B361" s="1202" t="s">
        <v>3054</v>
      </c>
      <c r="C361" s="1226" t="s">
        <v>3055</v>
      </c>
      <c r="D361" s="1255">
        <v>8.2900000000000001E-2</v>
      </c>
      <c r="E361" s="1255">
        <v>0</v>
      </c>
      <c r="F361" s="1255" t="s">
        <v>1257</v>
      </c>
      <c r="G361" s="1255" t="s">
        <v>3056</v>
      </c>
      <c r="H361" s="1255">
        <v>4</v>
      </c>
      <c r="I361" s="1226"/>
      <c r="J361" s="1378"/>
      <c r="K361" s="1182"/>
      <c r="L361" s="2447" t="s">
        <v>3848</v>
      </c>
      <c r="M361" s="2448">
        <f>(A_MFe+A_MP+4*A_MO)/A_MFe</f>
        <v>2.7006242671680543</v>
      </c>
      <c r="N361" s="2448">
        <f>(A_MAl+A_MP+4*A_MO)/A_MP</f>
        <v>3.9372957476893138</v>
      </c>
      <c r="O361" s="2451"/>
      <c r="P361" s="1188"/>
    </row>
    <row r="362" spans="1:18" s="103" customFormat="1" ht="18.75" thickBot="1" x14ac:dyDescent="0.3">
      <c r="A362" s="1182"/>
      <c r="B362" s="1203" t="s">
        <v>3057</v>
      </c>
      <c r="C362" s="1227" t="s">
        <v>3058</v>
      </c>
      <c r="D362" s="2437">
        <v>0.25286491566808916</v>
      </c>
      <c r="E362" s="1256">
        <v>0</v>
      </c>
      <c r="F362" s="1256" t="s">
        <v>1257</v>
      </c>
      <c r="G362" s="1256" t="s">
        <v>3056</v>
      </c>
      <c r="H362" s="1256">
        <v>4</v>
      </c>
      <c r="I362" s="1227"/>
      <c r="J362" s="1762" t="s">
        <v>4716</v>
      </c>
      <c r="K362" s="1182"/>
      <c r="L362" s="2447" t="s">
        <v>3062</v>
      </c>
      <c r="M362" s="2448">
        <f>3*(2*A_MH+A_MO)/(2*(A_MFe+3*(A_MH+A_MO)))</f>
        <v>0.25286491566808916</v>
      </c>
      <c r="N362" s="2448">
        <f>3*(2*A_MH+A_MO)/(2*(A_MAl+3*(A_MH+A_MO)))</f>
        <v>0.34643205845069558</v>
      </c>
      <c r="O362" s="2452" t="s">
        <v>3059</v>
      </c>
      <c r="P362" s="2452" t="s">
        <v>3063</v>
      </c>
    </row>
    <row r="363" spans="1:18" ht="15.75" thickBot="1" x14ac:dyDescent="0.3">
      <c r="A363" s="1185"/>
      <c r="B363" s="1187"/>
      <c r="C363" s="1210"/>
      <c r="D363" s="1249"/>
      <c r="E363" s="1244"/>
      <c r="F363" s="1244"/>
      <c r="G363" s="1244"/>
      <c r="H363" s="1244"/>
      <c r="I363" s="1210"/>
      <c r="J363" s="1188"/>
      <c r="K363" s="1182"/>
      <c r="L363" s="2447" t="s">
        <v>3062</v>
      </c>
      <c r="M363" s="2449">
        <v>0.17</v>
      </c>
      <c r="N363" s="2450">
        <f>M363*(A_MFe+3*A_MH+3*A_MO)/(A_MAl+3*A_MH+3*A_MO)</f>
        <v>0.23290478942488754</v>
      </c>
      <c r="O363" s="1188" t="s">
        <v>3064</v>
      </c>
      <c r="P363" s="1188" t="s">
        <v>3065</v>
      </c>
      <c r="Q363" s="103"/>
      <c r="R363" s="103"/>
    </row>
    <row r="364" spans="1:18" s="103" customFormat="1" ht="15.75" thickBot="1" x14ac:dyDescent="0.3">
      <c r="A364" s="1182"/>
      <c r="B364" s="1187"/>
      <c r="C364" s="1026" t="s">
        <v>3837</v>
      </c>
      <c r="D364" s="1185" t="s">
        <v>315</v>
      </c>
      <c r="E364" s="1185"/>
      <c r="F364" s="1185"/>
      <c r="G364" s="1185"/>
      <c r="H364" s="1185"/>
      <c r="I364" s="1187"/>
      <c r="J364" s="1188"/>
      <c r="K364" s="1182"/>
      <c r="L364" s="2447" t="s">
        <v>3062</v>
      </c>
      <c r="M364" s="2450">
        <f>M362-M363</f>
        <v>8.2864915668089151E-2</v>
      </c>
      <c r="N364" s="2450">
        <f>N362-N363</f>
        <v>0.11352726902580804</v>
      </c>
      <c r="O364" s="1188" t="s">
        <v>4813</v>
      </c>
      <c r="P364" s="1182"/>
    </row>
    <row r="365" spans="1:18" s="103" customFormat="1" ht="15.75" thickBot="1" x14ac:dyDescent="0.3">
      <c r="A365" s="1182"/>
      <c r="B365" s="826" t="s">
        <v>0</v>
      </c>
      <c r="C365" s="851" t="s">
        <v>1</v>
      </c>
      <c r="D365" s="852" t="s">
        <v>840</v>
      </c>
      <c r="E365" s="852" t="s">
        <v>470</v>
      </c>
      <c r="F365" s="852" t="s">
        <v>471</v>
      </c>
      <c r="G365" s="852" t="s">
        <v>2</v>
      </c>
      <c r="H365" s="852" t="s">
        <v>298</v>
      </c>
      <c r="I365" s="851" t="s">
        <v>116</v>
      </c>
      <c r="J365" s="1754" t="s">
        <v>117</v>
      </c>
      <c r="K365" s="1182"/>
      <c r="L365" s="1182"/>
      <c r="M365" s="1182"/>
      <c r="N365" s="1182"/>
      <c r="O365" s="1182"/>
      <c r="P365" s="1182"/>
    </row>
    <row r="366" spans="1:18" s="103" customFormat="1" ht="18" x14ac:dyDescent="0.25">
      <c r="A366" s="1182"/>
      <c r="B366" s="1027" t="s">
        <v>3838</v>
      </c>
      <c r="C366" s="1056" t="s">
        <v>3839</v>
      </c>
      <c r="D366" s="1031">
        <v>1</v>
      </c>
      <c r="E366" s="1031">
        <v>0</v>
      </c>
      <c r="F366" s="1031" t="s">
        <v>1257</v>
      </c>
      <c r="G366" s="1031" t="s">
        <v>3840</v>
      </c>
      <c r="H366" s="1031">
        <v>1</v>
      </c>
      <c r="I366" s="1056"/>
      <c r="J366" s="1032"/>
      <c r="K366" s="1182"/>
      <c r="L366" s="1182"/>
      <c r="M366" s="1182"/>
      <c r="N366" s="1182"/>
      <c r="O366" s="481"/>
      <c r="P366" s="481"/>
    </row>
    <row r="367" spans="1:18" s="103" customFormat="1" ht="18" x14ac:dyDescent="0.25">
      <c r="A367" s="1182"/>
      <c r="B367" s="806" t="s">
        <v>3842</v>
      </c>
      <c r="C367" s="1057" t="s">
        <v>3843</v>
      </c>
      <c r="D367" s="1035">
        <v>0.1</v>
      </c>
      <c r="E367" s="1035">
        <v>0</v>
      </c>
      <c r="F367" s="1035" t="s">
        <v>1257</v>
      </c>
      <c r="G367" s="1035" t="s">
        <v>3840</v>
      </c>
      <c r="H367" s="1035">
        <v>1</v>
      </c>
      <c r="I367" s="1057"/>
      <c r="J367" s="1038"/>
      <c r="K367" s="1182"/>
      <c r="L367" s="1182"/>
      <c r="M367" s="1182"/>
      <c r="N367" s="1182"/>
      <c r="O367" s="481"/>
      <c r="P367" s="481"/>
    </row>
    <row r="368" spans="1:18" s="103" customFormat="1" ht="18" x14ac:dyDescent="0.25">
      <c r="A368" s="1182"/>
      <c r="B368" s="1058" t="s">
        <v>3845</v>
      </c>
      <c r="C368" s="1059" t="s">
        <v>3846</v>
      </c>
      <c r="D368" s="2413">
        <v>0.1135</v>
      </c>
      <c r="E368" s="1060">
        <v>0</v>
      </c>
      <c r="F368" s="1060" t="s">
        <v>1257</v>
      </c>
      <c r="G368" s="1060" t="s">
        <v>3847</v>
      </c>
      <c r="H368" s="1060">
        <v>4</v>
      </c>
      <c r="I368" s="1059"/>
      <c r="J368" s="1819"/>
      <c r="K368" s="1182"/>
      <c r="L368" s="1182"/>
      <c r="M368" s="1182"/>
      <c r="N368" s="1182"/>
      <c r="O368" s="481"/>
      <c r="P368" s="1061"/>
    </row>
    <row r="369" spans="1:16" s="103" customFormat="1" ht="18.75" thickBot="1" x14ac:dyDescent="0.3">
      <c r="A369" s="1182"/>
      <c r="B369" s="1042" t="s">
        <v>3849</v>
      </c>
      <c r="C369" s="1062" t="s">
        <v>3850</v>
      </c>
      <c r="D369" s="2414">
        <v>0.34643205845069558</v>
      </c>
      <c r="E369" s="1046">
        <v>0</v>
      </c>
      <c r="F369" s="1046" t="s">
        <v>1257</v>
      </c>
      <c r="G369" s="1046" t="s">
        <v>3847</v>
      </c>
      <c r="H369" s="1046">
        <v>4</v>
      </c>
      <c r="I369" s="1062"/>
      <c r="J369" s="1047" t="s">
        <v>3851</v>
      </c>
      <c r="K369" s="1182"/>
      <c r="L369" s="1182"/>
      <c r="M369" s="1182"/>
      <c r="N369" s="1182"/>
      <c r="O369" s="1063"/>
      <c r="P369" s="1061"/>
    </row>
    <row r="370" spans="1:16" s="103" customFormat="1" ht="15.75" thickBot="1" x14ac:dyDescent="0.3">
      <c r="A370" s="1182"/>
      <c r="B370" s="1189"/>
      <c r="C370" s="1210"/>
      <c r="D370" s="1235"/>
      <c r="E370" s="1244"/>
      <c r="F370" s="1244"/>
      <c r="G370" s="1244"/>
      <c r="H370" s="1244"/>
      <c r="I370" s="1210"/>
      <c r="J370" s="1188"/>
      <c r="K370" s="1182"/>
      <c r="L370" s="1182"/>
      <c r="M370" s="1182"/>
      <c r="N370" s="1182"/>
      <c r="O370" s="1182"/>
      <c r="P370" s="1182"/>
    </row>
    <row r="371" spans="1:16" s="103" customFormat="1" ht="15.75" thickBot="1" x14ac:dyDescent="0.3">
      <c r="A371" s="1182"/>
      <c r="B371" s="1187"/>
      <c r="C371" s="148" t="s">
        <v>1256</v>
      </c>
      <c r="D371" s="1185" t="s">
        <v>299</v>
      </c>
      <c r="E371" s="1185"/>
      <c r="F371" s="1185"/>
      <c r="G371" s="1185"/>
      <c r="H371" s="1185"/>
      <c r="I371" s="1187"/>
      <c r="J371" s="1188"/>
      <c r="K371" s="1182"/>
      <c r="L371" s="1182"/>
      <c r="M371" s="1182"/>
      <c r="N371" s="1182"/>
      <c r="O371" s="1182"/>
      <c r="P371" s="1182"/>
    </row>
    <row r="372" spans="1:16" s="103" customFormat="1" ht="15.75" thickBot="1" x14ac:dyDescent="0.3">
      <c r="A372" s="1182"/>
      <c r="B372" s="1180" t="s">
        <v>0</v>
      </c>
      <c r="C372" s="1694" t="s">
        <v>1</v>
      </c>
      <c r="D372" s="289" t="s">
        <v>840</v>
      </c>
      <c r="E372" s="289" t="s">
        <v>470</v>
      </c>
      <c r="F372" s="289" t="s">
        <v>471</v>
      </c>
      <c r="G372" s="289" t="s">
        <v>2</v>
      </c>
      <c r="H372" s="289" t="s">
        <v>298</v>
      </c>
      <c r="I372" s="1694" t="s">
        <v>116</v>
      </c>
      <c r="J372" s="1820" t="s">
        <v>117</v>
      </c>
      <c r="K372" s="1182"/>
      <c r="L372" s="1182"/>
      <c r="M372" s="1182"/>
      <c r="N372" s="1182"/>
      <c r="O372" s="1182"/>
      <c r="P372" s="1182"/>
    </row>
    <row r="373" spans="1:16" s="103" customFormat="1" ht="18" x14ac:dyDescent="0.35">
      <c r="A373" s="1182"/>
      <c r="B373" s="1204" t="s">
        <v>3632</v>
      </c>
      <c r="C373" s="1228" t="s">
        <v>3630</v>
      </c>
      <c r="D373" s="1257">
        <v>13</v>
      </c>
      <c r="E373" s="1257">
        <v>0</v>
      </c>
      <c r="F373" s="1257" t="s">
        <v>1257</v>
      </c>
      <c r="G373" s="1257" t="s">
        <v>3246</v>
      </c>
      <c r="H373" s="1257">
        <v>2</v>
      </c>
      <c r="I373" s="1228"/>
      <c r="J373" s="1821"/>
      <c r="K373" s="1182"/>
      <c r="L373" s="1182"/>
      <c r="M373" s="1182"/>
      <c r="N373" s="1182"/>
      <c r="O373" s="1182"/>
      <c r="P373" s="1182"/>
    </row>
    <row r="374" spans="1:16" s="103" customFormat="1" ht="18" x14ac:dyDescent="0.35">
      <c r="A374" s="1182"/>
      <c r="B374" s="1205" t="s">
        <v>3633</v>
      </c>
      <c r="C374" s="1229" t="s">
        <v>3631</v>
      </c>
      <c r="D374" s="1258">
        <v>7.6</v>
      </c>
      <c r="E374" s="1258">
        <v>0</v>
      </c>
      <c r="F374" s="1258" t="s">
        <v>1257</v>
      </c>
      <c r="G374" s="1258" t="s">
        <v>3246</v>
      </c>
      <c r="H374" s="1258">
        <v>2</v>
      </c>
      <c r="I374" s="1229"/>
      <c r="J374" s="1816"/>
      <c r="K374" s="1182"/>
      <c r="L374" s="1182"/>
      <c r="M374" s="1182"/>
      <c r="N374" s="1182"/>
      <c r="O374" s="1182"/>
      <c r="P374" s="1182"/>
    </row>
    <row r="375" spans="1:16" s="103" customFormat="1" ht="18" x14ac:dyDescent="0.25">
      <c r="A375" s="1182"/>
      <c r="B375" s="1206" t="s">
        <v>3401</v>
      </c>
      <c r="C375" s="1230" t="s">
        <v>2704</v>
      </c>
      <c r="D375" s="1245">
        <v>1</v>
      </c>
      <c r="E375" s="1245">
        <v>0</v>
      </c>
      <c r="F375" s="1245" t="s">
        <v>1257</v>
      </c>
      <c r="G375" s="1245" t="s">
        <v>282</v>
      </c>
      <c r="H375" s="1245">
        <v>2</v>
      </c>
      <c r="I375" s="1230"/>
      <c r="J375" s="1801"/>
      <c r="K375" s="1182"/>
      <c r="L375" s="1182"/>
      <c r="M375" s="1182"/>
      <c r="N375" s="1182"/>
      <c r="O375" s="1182"/>
      <c r="P375" s="1182"/>
    </row>
    <row r="376" spans="1:16" s="103" customFormat="1" ht="18" x14ac:dyDescent="0.25">
      <c r="A376" s="1182"/>
      <c r="B376" s="1207" t="s">
        <v>3402</v>
      </c>
      <c r="C376" s="1231" t="s">
        <v>2705</v>
      </c>
      <c r="D376" s="1259">
        <v>1</v>
      </c>
      <c r="E376" s="1245">
        <v>0</v>
      </c>
      <c r="F376" s="1245" t="s">
        <v>1257</v>
      </c>
      <c r="G376" s="1259" t="s">
        <v>282</v>
      </c>
      <c r="H376" s="1259">
        <v>2</v>
      </c>
      <c r="I376" s="1231"/>
      <c r="J376" s="1822"/>
      <c r="K376" s="1182"/>
      <c r="L376" s="1182"/>
      <c r="M376" s="1182"/>
      <c r="N376" s="1182"/>
      <c r="O376" s="1182"/>
      <c r="P376" s="1182"/>
    </row>
    <row r="377" spans="1:16" s="103" customFormat="1" ht="18" x14ac:dyDescent="0.25">
      <c r="A377" s="1182"/>
      <c r="B377" s="1207" t="s">
        <v>3403</v>
      </c>
      <c r="C377" s="1231" t="s">
        <v>2706</v>
      </c>
      <c r="D377" s="1259">
        <v>1</v>
      </c>
      <c r="E377" s="1245">
        <v>0</v>
      </c>
      <c r="F377" s="1245" t="s">
        <v>1257</v>
      </c>
      <c r="G377" s="1259" t="s">
        <v>282</v>
      </c>
      <c r="H377" s="1259">
        <v>2</v>
      </c>
      <c r="I377" s="1231"/>
      <c r="J377" s="1822"/>
      <c r="K377" s="1182"/>
      <c r="L377" s="1182"/>
      <c r="M377" s="1182"/>
      <c r="N377" s="1182"/>
      <c r="O377" s="1182"/>
      <c r="P377" s="1182"/>
    </row>
    <row r="378" spans="1:16" s="103" customFormat="1" ht="18" x14ac:dyDescent="0.25">
      <c r="A378" s="1182"/>
      <c r="B378" s="1207" t="s">
        <v>3404</v>
      </c>
      <c r="C378" s="1231" t="s">
        <v>2707</v>
      </c>
      <c r="D378" s="1259">
        <v>1</v>
      </c>
      <c r="E378" s="1265">
        <v>0</v>
      </c>
      <c r="F378" s="1245" t="s">
        <v>1257</v>
      </c>
      <c r="G378" s="1259" t="s">
        <v>282</v>
      </c>
      <c r="H378" s="1259">
        <v>2</v>
      </c>
      <c r="I378" s="1231"/>
      <c r="J378" s="1822"/>
      <c r="K378" s="1182"/>
      <c r="L378" s="1182"/>
      <c r="M378" s="1182"/>
      <c r="N378" s="1182"/>
      <c r="O378" s="1182"/>
      <c r="P378" s="1182"/>
    </row>
    <row r="379" spans="1:16" s="103" customFormat="1" ht="18" x14ac:dyDescent="0.25">
      <c r="A379" s="1182"/>
      <c r="B379" s="1387" t="s">
        <v>3405</v>
      </c>
      <c r="C379" s="1388" t="s">
        <v>2708</v>
      </c>
      <c r="D379" s="1389">
        <v>0.05</v>
      </c>
      <c r="E379" s="1389">
        <v>0</v>
      </c>
      <c r="F379" s="1389" t="s">
        <v>1257</v>
      </c>
      <c r="G379" s="1389" t="s">
        <v>282</v>
      </c>
      <c r="H379" s="1389">
        <v>2</v>
      </c>
      <c r="I379" s="1388"/>
      <c r="J379" s="1823" t="s">
        <v>3406</v>
      </c>
      <c r="K379" s="1182"/>
      <c r="L379" s="1182"/>
      <c r="M379" s="1182"/>
      <c r="N379" s="1182"/>
      <c r="O379" s="1182"/>
      <c r="P379" s="1182"/>
    </row>
    <row r="380" spans="1:16" ht="18" x14ac:dyDescent="0.25">
      <c r="A380" s="1185"/>
      <c r="B380" s="2432" t="s">
        <v>4216</v>
      </c>
      <c r="C380" s="2429" t="s">
        <v>4755</v>
      </c>
      <c r="D380" s="2438">
        <v>1.4E-3</v>
      </c>
      <c r="E380" s="2438">
        <v>0</v>
      </c>
      <c r="F380" s="2438" t="s">
        <v>1257</v>
      </c>
      <c r="G380" s="2438" t="s">
        <v>4217</v>
      </c>
      <c r="H380" s="2438">
        <v>4</v>
      </c>
      <c r="I380" s="2438"/>
      <c r="J380" s="2444"/>
      <c r="K380" s="1185"/>
      <c r="L380" s="1185"/>
      <c r="M380" s="1185"/>
      <c r="N380" s="1185"/>
      <c r="O380" s="1185"/>
      <c r="P380" s="1185"/>
    </row>
    <row r="381" spans="1:16" ht="18" x14ac:dyDescent="0.25">
      <c r="A381" s="1185"/>
      <c r="B381" s="2432" t="s">
        <v>4218</v>
      </c>
      <c r="C381" s="2429" t="s">
        <v>4756</v>
      </c>
      <c r="D381" s="2438">
        <v>1</v>
      </c>
      <c r="E381" s="2438">
        <v>0</v>
      </c>
      <c r="F381" s="2438">
        <v>1</v>
      </c>
      <c r="G381" s="2438" t="s">
        <v>2018</v>
      </c>
      <c r="H381" s="2438">
        <v>1</v>
      </c>
      <c r="I381" s="2438"/>
      <c r="J381" s="2444"/>
      <c r="K381" s="1185"/>
      <c r="L381" s="1185"/>
      <c r="M381" s="1185"/>
      <c r="N381" s="1185"/>
      <c r="O381" s="1185"/>
      <c r="P381" s="1185"/>
    </row>
    <row r="382" spans="1:16" ht="18" x14ac:dyDescent="0.25">
      <c r="A382" s="1185"/>
      <c r="B382" s="2432" t="s">
        <v>4757</v>
      </c>
      <c r="C382" s="2429" t="s">
        <v>4758</v>
      </c>
      <c r="D382" s="2438">
        <v>0.05</v>
      </c>
      <c r="E382" s="2438">
        <v>0</v>
      </c>
      <c r="F382" s="2438" t="s">
        <v>1257</v>
      </c>
      <c r="G382" s="2443" t="s">
        <v>2222</v>
      </c>
      <c r="H382" s="2438">
        <v>2</v>
      </c>
      <c r="I382" s="2438"/>
      <c r="J382" s="2444"/>
      <c r="K382" s="1185"/>
      <c r="L382" s="1185"/>
      <c r="M382" s="1185"/>
      <c r="N382" s="1185"/>
      <c r="O382" s="1185"/>
      <c r="P382" s="1185"/>
    </row>
    <row r="383" spans="1:16" ht="18" x14ac:dyDescent="0.25">
      <c r="A383" s="1185"/>
      <c r="B383" s="2432" t="s">
        <v>4759</v>
      </c>
      <c r="C383" s="2429" t="s">
        <v>4760</v>
      </c>
      <c r="D383" s="2438">
        <v>2.5</v>
      </c>
      <c r="E383" s="2438">
        <v>0</v>
      </c>
      <c r="F383" s="2438" t="s">
        <v>1257</v>
      </c>
      <c r="G383" s="2438" t="s">
        <v>2018</v>
      </c>
      <c r="H383" s="2438">
        <v>1</v>
      </c>
      <c r="I383" s="2438"/>
      <c r="J383" s="2444"/>
      <c r="K383" s="1185"/>
      <c r="L383" s="1185"/>
      <c r="M383" s="1185"/>
      <c r="N383" s="1185"/>
      <c r="O383" s="1185"/>
      <c r="P383" s="1185"/>
    </row>
    <row r="384" spans="1:16" ht="18" x14ac:dyDescent="0.25">
      <c r="A384" s="1185"/>
      <c r="B384" s="2432" t="s">
        <v>4219</v>
      </c>
      <c r="C384" s="2429" t="s">
        <v>4761</v>
      </c>
      <c r="D384" s="2438">
        <v>4.2</v>
      </c>
      <c r="E384" s="2438">
        <v>0</v>
      </c>
      <c r="F384" s="2438" t="s">
        <v>1257</v>
      </c>
      <c r="G384" s="2438" t="s">
        <v>2018</v>
      </c>
      <c r="H384" s="2438">
        <v>1</v>
      </c>
      <c r="I384" s="2438"/>
      <c r="J384" s="2444"/>
      <c r="K384" s="1185"/>
      <c r="L384" s="1185"/>
      <c r="M384" s="1185"/>
      <c r="N384" s="1185"/>
      <c r="O384" s="1185"/>
      <c r="P384" s="1185"/>
    </row>
    <row r="385" spans="1:16" ht="18" x14ac:dyDescent="0.25">
      <c r="A385" s="1185"/>
      <c r="B385" s="2432" t="s">
        <v>4220</v>
      </c>
      <c r="C385" s="2429" t="s">
        <v>4762</v>
      </c>
      <c r="D385" s="2438">
        <v>7.3</v>
      </c>
      <c r="E385" s="2438">
        <v>0</v>
      </c>
      <c r="F385" s="2438" t="s">
        <v>1257</v>
      </c>
      <c r="G385" s="2438" t="s">
        <v>2018</v>
      </c>
      <c r="H385" s="2438">
        <v>1</v>
      </c>
      <c r="I385" s="2438"/>
      <c r="J385" s="2444"/>
      <c r="K385" s="1185"/>
      <c r="L385" s="1185"/>
      <c r="M385" s="1185"/>
      <c r="N385" s="1185"/>
      <c r="O385" s="1185"/>
      <c r="P385" s="1185"/>
    </row>
    <row r="386" spans="1:16" ht="18" x14ac:dyDescent="0.25">
      <c r="A386" s="1185"/>
      <c r="B386" s="2432" t="s">
        <v>4763</v>
      </c>
      <c r="C386" s="2429" t="s">
        <v>4764</v>
      </c>
      <c r="D386" s="2438">
        <v>-0.28999999999999998</v>
      </c>
      <c r="E386" s="2442" t="s">
        <v>2236</v>
      </c>
      <c r="F386" s="2438" t="s">
        <v>1257</v>
      </c>
      <c r="G386" s="2438" t="s">
        <v>4765</v>
      </c>
      <c r="H386" s="2438">
        <v>2</v>
      </c>
      <c r="I386" s="2438"/>
      <c r="J386" s="2444"/>
      <c r="K386" s="1185"/>
      <c r="L386" s="1185"/>
      <c r="M386" s="1185"/>
      <c r="N386" s="1185"/>
      <c r="O386" s="1185"/>
      <c r="P386" s="1185"/>
    </row>
    <row r="387" spans="1:16" ht="18" x14ac:dyDescent="0.25">
      <c r="A387" s="1185"/>
      <c r="B387" s="2432" t="s">
        <v>4221</v>
      </c>
      <c r="C387" s="2429" t="s">
        <v>4766</v>
      </c>
      <c r="D387" s="2438">
        <v>-7.1099999999999997E-2</v>
      </c>
      <c r="E387" s="2442" t="s">
        <v>2236</v>
      </c>
      <c r="F387" s="2438" t="s">
        <v>1257</v>
      </c>
      <c r="G387" s="2438" t="s">
        <v>4767</v>
      </c>
      <c r="H387" s="2438">
        <v>4</v>
      </c>
      <c r="I387" s="2438"/>
      <c r="J387" s="2444"/>
      <c r="K387" s="1185"/>
      <c r="L387" s="1185"/>
      <c r="M387" s="1185"/>
      <c r="N387" s="1185"/>
      <c r="O387" s="1185"/>
      <c r="P387" s="1185"/>
    </row>
    <row r="388" spans="1:16" ht="18" x14ac:dyDescent="0.25">
      <c r="A388" s="1185"/>
      <c r="B388" s="2432" t="s">
        <v>4222</v>
      </c>
      <c r="C388" s="2429" t="s">
        <v>4768</v>
      </c>
      <c r="D388" s="2438">
        <v>-4.7399999999999998E-2</v>
      </c>
      <c r="E388" s="2442" t="s">
        <v>2236</v>
      </c>
      <c r="F388" s="2438" t="s">
        <v>1257</v>
      </c>
      <c r="G388" s="2438" t="s">
        <v>4769</v>
      </c>
      <c r="H388" s="2438">
        <v>4</v>
      </c>
      <c r="I388" s="2438"/>
      <c r="J388" s="2444"/>
      <c r="K388" s="1185"/>
      <c r="L388" s="1185"/>
      <c r="M388" s="1185"/>
      <c r="N388" s="1185"/>
      <c r="O388" s="1185"/>
      <c r="P388" s="1185"/>
    </row>
    <row r="389" spans="1:16" ht="18" x14ac:dyDescent="0.25">
      <c r="A389" s="1185"/>
      <c r="B389" s="2432" t="s">
        <v>4223</v>
      </c>
      <c r="C389" s="2429" t="s">
        <v>4770</v>
      </c>
      <c r="D389" s="2438">
        <v>-7.8700000000000005E-4</v>
      </c>
      <c r="E389" s="2442" t="s">
        <v>2236</v>
      </c>
      <c r="F389" s="2438" t="s">
        <v>1257</v>
      </c>
      <c r="G389" s="2438" t="s">
        <v>4771</v>
      </c>
      <c r="H389" s="2438">
        <v>6</v>
      </c>
      <c r="I389" s="2438"/>
      <c r="J389" s="2444"/>
      <c r="K389" s="1185"/>
      <c r="L389" s="1185"/>
      <c r="M389" s="1185"/>
      <c r="N389" s="1185"/>
      <c r="O389" s="1185"/>
      <c r="P389" s="1185"/>
    </row>
    <row r="390" spans="1:16" ht="18" x14ac:dyDescent="0.25">
      <c r="A390" s="1185"/>
      <c r="B390" s="2432" t="s">
        <v>4224</v>
      </c>
      <c r="C390" s="2429" t="s">
        <v>4772</v>
      </c>
      <c r="D390" s="2438">
        <v>2.3199999999999998E-2</v>
      </c>
      <c r="E390" s="2442" t="s">
        <v>2236</v>
      </c>
      <c r="F390" s="2438" t="s">
        <v>1257</v>
      </c>
      <c r="G390" s="2438" t="s">
        <v>4769</v>
      </c>
      <c r="H390" s="2438">
        <v>4</v>
      </c>
      <c r="I390" s="2438"/>
      <c r="J390" s="2444"/>
      <c r="K390" s="1185"/>
      <c r="L390" s="1185"/>
      <c r="M390" s="1185"/>
      <c r="N390" s="1185"/>
      <c r="O390" s="1185"/>
      <c r="P390" s="1185"/>
    </row>
    <row r="391" spans="1:16" ht="18.75" thickBot="1" x14ac:dyDescent="0.3">
      <c r="A391" s="1185"/>
      <c r="B391" s="2433" t="s">
        <v>4225</v>
      </c>
      <c r="C391" s="2435" t="s">
        <v>4773</v>
      </c>
      <c r="D391" s="2439">
        <v>0.877</v>
      </c>
      <c r="E391" s="2439">
        <v>0</v>
      </c>
      <c r="F391" s="2439" t="s">
        <v>1257</v>
      </c>
      <c r="G391" s="2439" t="s">
        <v>2018</v>
      </c>
      <c r="H391" s="2439">
        <v>3</v>
      </c>
      <c r="I391" s="2439"/>
      <c r="J391" s="2445"/>
      <c r="K391" s="1185"/>
      <c r="L391" s="1185"/>
      <c r="M391" s="1185"/>
      <c r="N391" s="1185"/>
      <c r="O391" s="1185"/>
      <c r="P391" s="1185"/>
    </row>
    <row r="392" spans="1:16" ht="15.75" thickBot="1" x14ac:dyDescent="0.3">
      <c r="A392" s="1185"/>
      <c r="B392" s="2434"/>
      <c r="C392" s="2436"/>
      <c r="D392" s="2440"/>
      <c r="E392" s="2440"/>
      <c r="F392" s="2440"/>
      <c r="G392" s="2440"/>
      <c r="H392" s="2440"/>
      <c r="I392" s="2440"/>
      <c r="J392" s="2440"/>
      <c r="K392" s="1185"/>
      <c r="L392" s="1185"/>
      <c r="M392" s="1185"/>
      <c r="N392" s="1185"/>
      <c r="O392" s="1185"/>
      <c r="P392" s="1185"/>
    </row>
    <row r="393" spans="1:16" ht="15.75" thickBot="1" x14ac:dyDescent="0.3">
      <c r="A393" s="1185"/>
      <c r="B393" s="1187"/>
      <c r="C393" s="439" t="s">
        <v>2190</v>
      </c>
      <c r="D393" s="1185" t="s">
        <v>299</v>
      </c>
      <c r="E393" s="1185"/>
      <c r="F393" s="1185"/>
      <c r="G393" s="1185"/>
      <c r="H393" s="1185"/>
      <c r="I393" s="1187"/>
      <c r="J393" s="1188"/>
      <c r="K393" s="1185"/>
      <c r="L393" s="1185"/>
      <c r="M393" s="1185"/>
      <c r="N393" s="1185"/>
      <c r="O393" s="1185"/>
      <c r="P393" s="1185"/>
    </row>
    <row r="394" spans="1:16" ht="15.75" thickBot="1" x14ac:dyDescent="0.3">
      <c r="A394" s="1185"/>
      <c r="B394" s="368" t="s">
        <v>0</v>
      </c>
      <c r="C394" s="1695" t="s">
        <v>1</v>
      </c>
      <c r="D394" s="460" t="s">
        <v>840</v>
      </c>
      <c r="E394" s="460" t="s">
        <v>470</v>
      </c>
      <c r="F394" s="460" t="s">
        <v>471</v>
      </c>
      <c r="G394" s="460" t="s">
        <v>2</v>
      </c>
      <c r="H394" s="460" t="s">
        <v>298</v>
      </c>
      <c r="I394" s="1695" t="s">
        <v>116</v>
      </c>
      <c r="J394" s="369" t="s">
        <v>117</v>
      </c>
      <c r="K394" s="1185"/>
      <c r="L394" s="1185"/>
      <c r="M394" s="1185"/>
      <c r="N394" s="1185"/>
      <c r="O394" s="1185"/>
      <c r="P394" s="1185"/>
    </row>
    <row r="395" spans="1:16" ht="18" x14ac:dyDescent="0.25">
      <c r="A395" s="1185"/>
      <c r="B395" s="1209" t="s">
        <v>2191</v>
      </c>
      <c r="C395" s="1232" t="s">
        <v>2192</v>
      </c>
      <c r="D395" s="1260">
        <v>-300</v>
      </c>
      <c r="E395" s="1260" t="s">
        <v>2236</v>
      </c>
      <c r="F395" s="1260" t="s">
        <v>1257</v>
      </c>
      <c r="G395" s="1260" t="s">
        <v>2193</v>
      </c>
      <c r="H395" s="1260">
        <v>1</v>
      </c>
      <c r="I395" s="1232"/>
      <c r="J395" s="1824"/>
      <c r="K395" s="1185"/>
      <c r="L395" s="1185"/>
      <c r="M395" s="1185"/>
      <c r="N395" s="1185"/>
      <c r="O395" s="1185"/>
      <c r="P395" s="1185"/>
    </row>
    <row r="396" spans="1:16" ht="18" x14ac:dyDescent="0.25">
      <c r="A396" s="1185"/>
      <c r="B396" s="1191" t="s">
        <v>2227</v>
      </c>
      <c r="C396" s="1233" t="s">
        <v>2228</v>
      </c>
      <c r="D396" s="1239">
        <v>300</v>
      </c>
      <c r="E396" s="1239">
        <v>0</v>
      </c>
      <c r="F396" s="1239" t="s">
        <v>1257</v>
      </c>
      <c r="G396" s="1239" t="s">
        <v>2193</v>
      </c>
      <c r="H396" s="1239">
        <v>1</v>
      </c>
      <c r="I396" s="1233"/>
      <c r="J396" s="1379"/>
      <c r="K396" s="1185"/>
      <c r="L396" s="1185"/>
      <c r="M396" s="1185"/>
      <c r="N396" s="1185"/>
      <c r="O396" s="1185"/>
      <c r="P396" s="1185"/>
    </row>
    <row r="397" spans="1:16" ht="18" x14ac:dyDescent="0.25">
      <c r="A397" s="1185"/>
      <c r="B397" s="1191" t="s">
        <v>2229</v>
      </c>
      <c r="C397" s="1233" t="s">
        <v>2230</v>
      </c>
      <c r="D397" s="1239">
        <v>70</v>
      </c>
      <c r="E397" s="1239">
        <v>0</v>
      </c>
      <c r="F397" s="1239" t="s">
        <v>1257</v>
      </c>
      <c r="G397" s="1239" t="s">
        <v>2193</v>
      </c>
      <c r="H397" s="1239">
        <v>1</v>
      </c>
      <c r="I397" s="1233"/>
      <c r="J397" s="1379"/>
      <c r="K397" s="1185"/>
      <c r="L397" s="1185"/>
      <c r="M397" s="1185"/>
      <c r="N397" s="1185"/>
      <c r="O397" s="1185"/>
      <c r="P397" s="1185"/>
    </row>
    <row r="398" spans="1:16" ht="18" x14ac:dyDescent="0.25">
      <c r="A398" s="1185"/>
      <c r="B398" s="1191" t="s">
        <v>2194</v>
      </c>
      <c r="C398" s="1233" t="s">
        <v>2195</v>
      </c>
      <c r="D398" s="1239">
        <v>0.05</v>
      </c>
      <c r="E398" s="1239">
        <v>0</v>
      </c>
      <c r="F398" s="1239" t="s">
        <v>1257</v>
      </c>
      <c r="G398" s="1239" t="s">
        <v>2222</v>
      </c>
      <c r="H398" s="1239">
        <v>1</v>
      </c>
      <c r="I398" s="1233"/>
      <c r="J398" s="1379"/>
      <c r="K398" s="1185"/>
      <c r="L398" s="1185"/>
      <c r="M398" s="1185"/>
      <c r="N398" s="1185"/>
      <c r="O398" s="1185"/>
      <c r="P398" s="1185"/>
    </row>
    <row r="399" spans="1:16" ht="18" x14ac:dyDescent="0.25">
      <c r="A399" s="1185"/>
      <c r="B399" s="1191" t="s">
        <v>2196</v>
      </c>
      <c r="C399" s="1233" t="s">
        <v>2197</v>
      </c>
      <c r="D399" s="1239">
        <v>0.1</v>
      </c>
      <c r="E399" s="1239">
        <v>0</v>
      </c>
      <c r="F399" s="1239" t="s">
        <v>1257</v>
      </c>
      <c r="G399" s="1239" t="s">
        <v>886</v>
      </c>
      <c r="H399" s="1239">
        <v>1</v>
      </c>
      <c r="I399" s="1233"/>
      <c r="J399" s="1379"/>
      <c r="K399" s="1185"/>
      <c r="L399" s="1185"/>
      <c r="M399" s="1185"/>
      <c r="N399" s="1185"/>
      <c r="O399" s="1185"/>
      <c r="P399" s="1185"/>
    </row>
    <row r="400" spans="1:16" ht="18.75" thickBot="1" x14ac:dyDescent="0.3">
      <c r="A400" s="1185"/>
      <c r="B400" s="1193" t="s">
        <v>4306</v>
      </c>
      <c r="C400" s="1503" t="s">
        <v>4305</v>
      </c>
      <c r="D400" s="2441">
        <v>5</v>
      </c>
      <c r="E400" s="1241">
        <v>0</v>
      </c>
      <c r="F400" s="1241" t="s">
        <v>1257</v>
      </c>
      <c r="G400" s="1241" t="s">
        <v>1183</v>
      </c>
      <c r="H400" s="1241">
        <v>1</v>
      </c>
      <c r="I400" s="1216"/>
      <c r="J400" s="1762"/>
      <c r="K400" s="1185"/>
      <c r="L400" s="1185"/>
      <c r="M400" s="1185"/>
      <c r="N400" s="1185"/>
      <c r="O400" s="1185"/>
      <c r="P400" s="1185"/>
    </row>
    <row r="401" spans="1:16" ht="15.75" thickBot="1" x14ac:dyDescent="0.3">
      <c r="A401" s="1185"/>
      <c r="B401" s="1187"/>
      <c r="C401" s="1187"/>
      <c r="D401" s="1185"/>
      <c r="E401" s="1185"/>
      <c r="F401" s="1185"/>
      <c r="G401" s="1185"/>
      <c r="H401" s="1185"/>
      <c r="I401" s="1187"/>
      <c r="J401" s="1187"/>
      <c r="K401" s="1185"/>
      <c r="L401" s="1185"/>
      <c r="M401" s="1185"/>
      <c r="N401" s="1185"/>
      <c r="O401" s="1185"/>
      <c r="P401" s="1185"/>
    </row>
    <row r="402" spans="1:16" ht="15.75" thickBot="1" x14ac:dyDescent="0.3">
      <c r="A402" s="1182"/>
      <c r="B402" s="1187"/>
      <c r="C402" s="597" t="s">
        <v>4567</v>
      </c>
      <c r="D402" s="1185" t="s">
        <v>317</v>
      </c>
      <c r="E402" s="1185"/>
      <c r="F402" s="1185"/>
      <c r="G402" s="1185"/>
      <c r="H402" s="1185"/>
      <c r="I402" s="1187"/>
      <c r="J402" s="1188"/>
      <c r="K402" s="1185"/>
      <c r="L402" s="1185"/>
      <c r="M402" s="1185"/>
      <c r="N402" s="1185"/>
      <c r="O402" s="1185"/>
      <c r="P402" s="1185"/>
    </row>
    <row r="403" spans="1:16" ht="15.75" thickBot="1" x14ac:dyDescent="0.3">
      <c r="A403" s="1182"/>
      <c r="B403" s="707" t="s">
        <v>0</v>
      </c>
      <c r="C403" s="1696" t="s">
        <v>1</v>
      </c>
      <c r="D403" s="763" t="s">
        <v>840</v>
      </c>
      <c r="E403" s="763" t="s">
        <v>470</v>
      </c>
      <c r="F403" s="763" t="s">
        <v>471</v>
      </c>
      <c r="G403" s="763" t="s">
        <v>2</v>
      </c>
      <c r="H403" s="763" t="s">
        <v>298</v>
      </c>
      <c r="I403" s="1696" t="s">
        <v>116</v>
      </c>
      <c r="J403" s="708" t="s">
        <v>117</v>
      </c>
      <c r="K403" s="1185"/>
      <c r="L403" s="1185"/>
      <c r="M403" s="1185"/>
      <c r="N403" s="1185"/>
      <c r="O403" s="1185"/>
      <c r="P403" s="1185"/>
    </row>
    <row r="404" spans="1:16" s="113" customFormat="1" ht="18" x14ac:dyDescent="0.25">
      <c r="A404" s="1187"/>
      <c r="B404" s="1181" t="s">
        <v>1891</v>
      </c>
      <c r="C404" s="711" t="s">
        <v>3676</v>
      </c>
      <c r="D404" s="764">
        <v>0.2</v>
      </c>
      <c r="E404" s="765">
        <v>0</v>
      </c>
      <c r="F404" s="765">
        <v>1</v>
      </c>
      <c r="G404" s="764" t="s">
        <v>380</v>
      </c>
      <c r="H404" s="766">
        <v>3</v>
      </c>
      <c r="I404" s="1838"/>
      <c r="J404" s="712" t="s">
        <v>1892</v>
      </c>
      <c r="K404" s="1187"/>
      <c r="L404" s="1187"/>
      <c r="M404" s="1187"/>
      <c r="N404" s="1187"/>
      <c r="O404" s="1187"/>
      <c r="P404" s="1187"/>
    </row>
    <row r="405" spans="1:16" s="113" customFormat="1" ht="18.75" thickBot="1" x14ac:dyDescent="0.3">
      <c r="A405" s="1187"/>
      <c r="B405" s="758" t="s">
        <v>3427</v>
      </c>
      <c r="C405" s="759" t="s">
        <v>3428</v>
      </c>
      <c r="D405" s="767">
        <v>-1E-3</v>
      </c>
      <c r="E405" s="768" t="s">
        <v>2236</v>
      </c>
      <c r="F405" s="768" t="s">
        <v>1257</v>
      </c>
      <c r="G405" s="767" t="s">
        <v>2018</v>
      </c>
      <c r="H405" s="769">
        <v>3</v>
      </c>
      <c r="I405" s="1474"/>
      <c r="J405" s="762"/>
      <c r="K405" s="1187"/>
      <c r="L405" s="1187"/>
      <c r="M405" s="1187"/>
      <c r="N405" s="1187"/>
      <c r="O405" s="1187"/>
      <c r="P405" s="1187"/>
    </row>
    <row r="406" spans="1:16" s="113" customFormat="1" ht="18" x14ac:dyDescent="0.25">
      <c r="A406" s="1187"/>
      <c r="B406" s="1855" t="s">
        <v>4570</v>
      </c>
      <c r="C406" s="1878" t="s">
        <v>4582</v>
      </c>
      <c r="D406" s="1857">
        <v>0.02</v>
      </c>
      <c r="E406" s="1858">
        <v>0</v>
      </c>
      <c r="F406" s="1858" t="s">
        <v>1257</v>
      </c>
      <c r="G406" s="1857" t="s">
        <v>380</v>
      </c>
      <c r="H406" s="1859">
        <v>1</v>
      </c>
      <c r="I406" s="1856"/>
      <c r="J406" s="1860"/>
      <c r="K406" s="1187"/>
      <c r="L406" s="1187"/>
      <c r="M406" s="1187"/>
      <c r="N406" s="1187"/>
      <c r="O406" s="1187"/>
      <c r="P406" s="1187"/>
    </row>
    <row r="407" spans="1:16" s="113" customFormat="1" ht="18" x14ac:dyDescent="0.25">
      <c r="A407" s="1187"/>
      <c r="B407" s="1868" t="s">
        <v>4571</v>
      </c>
      <c r="C407" s="1869" t="s">
        <v>4579</v>
      </c>
      <c r="D407" s="1870">
        <v>0.1</v>
      </c>
      <c r="E407" s="1871">
        <v>0</v>
      </c>
      <c r="F407" s="1871" t="s">
        <v>1257</v>
      </c>
      <c r="G407" s="1870" t="s">
        <v>380</v>
      </c>
      <c r="H407" s="1872">
        <v>1</v>
      </c>
      <c r="I407" s="1869"/>
      <c r="J407" s="1873"/>
      <c r="K407" s="1187"/>
      <c r="L407" s="1187"/>
      <c r="M407" s="1187"/>
      <c r="N407" s="1187"/>
      <c r="O407" s="1187"/>
      <c r="P407" s="1187"/>
    </row>
    <row r="408" spans="1:16" s="113" customFormat="1" ht="18.75" thickBot="1" x14ac:dyDescent="0.3">
      <c r="A408" s="1187"/>
      <c r="B408" s="1861" t="s">
        <v>4580</v>
      </c>
      <c r="C408" s="1874" t="s">
        <v>4581</v>
      </c>
      <c r="D408" s="1875">
        <v>0.1</v>
      </c>
      <c r="E408" s="1876">
        <v>0</v>
      </c>
      <c r="F408" s="1876" t="s">
        <v>1257</v>
      </c>
      <c r="G408" s="1875" t="s">
        <v>380</v>
      </c>
      <c r="H408" s="1877">
        <v>1</v>
      </c>
      <c r="I408" s="1874"/>
      <c r="J408" s="1862"/>
      <c r="K408" s="1187"/>
      <c r="L408" s="1187"/>
      <c r="M408" s="1187"/>
      <c r="N408" s="1187"/>
      <c r="O408" s="1187"/>
      <c r="P408" s="1187"/>
    </row>
    <row r="409" spans="1:16" ht="15.75" thickBot="1" x14ac:dyDescent="0.3">
      <c r="A409" s="1185"/>
      <c r="B409" s="1298"/>
      <c r="C409" s="1298"/>
      <c r="D409" s="1185"/>
      <c r="E409" s="1185"/>
      <c r="F409" s="1185"/>
      <c r="G409" s="1185"/>
      <c r="H409" s="1185"/>
      <c r="I409" s="1187"/>
      <c r="J409" s="1187"/>
      <c r="K409" s="1185"/>
      <c r="L409" s="1185"/>
      <c r="M409" s="1185"/>
      <c r="N409" s="1185"/>
      <c r="O409" s="1185"/>
      <c r="P409" s="1185"/>
    </row>
    <row r="410" spans="1:16" ht="15.75" thickBot="1" x14ac:dyDescent="0.3">
      <c r="A410" s="1182"/>
      <c r="B410" s="1187"/>
      <c r="C410" s="1026" t="s">
        <v>3852</v>
      </c>
      <c r="D410" s="1185" t="s">
        <v>317</v>
      </c>
      <c r="E410" s="1185"/>
      <c r="F410" s="1185"/>
      <c r="G410" s="1185"/>
      <c r="H410" s="1185"/>
      <c r="I410" s="1187"/>
      <c r="J410" s="1188"/>
      <c r="K410" s="1185"/>
      <c r="L410" s="1185"/>
      <c r="M410" s="1185"/>
      <c r="N410" s="1185"/>
      <c r="O410" s="1185"/>
      <c r="P410" s="1185"/>
    </row>
    <row r="411" spans="1:16" ht="15.75" thickBot="1" x14ac:dyDescent="0.3">
      <c r="A411" s="1182"/>
      <c r="B411" s="826" t="s">
        <v>0</v>
      </c>
      <c r="C411" s="851" t="s">
        <v>1</v>
      </c>
      <c r="D411" s="852" t="s">
        <v>840</v>
      </c>
      <c r="E411" s="852" t="s">
        <v>470</v>
      </c>
      <c r="F411" s="852" t="s">
        <v>471</v>
      </c>
      <c r="G411" s="852" t="s">
        <v>2</v>
      </c>
      <c r="H411" s="852" t="s">
        <v>298</v>
      </c>
      <c r="I411" s="851" t="s">
        <v>116</v>
      </c>
      <c r="J411" s="827" t="s">
        <v>117</v>
      </c>
      <c r="K411" s="1185"/>
      <c r="L411" s="1185"/>
      <c r="M411" s="1185"/>
      <c r="N411" s="1185"/>
      <c r="O411" s="1185"/>
      <c r="P411" s="1185"/>
    </row>
    <row r="412" spans="1:16" s="113" customFormat="1" ht="18" x14ac:dyDescent="0.25">
      <c r="A412" s="1187"/>
      <c r="B412" s="1064" t="s">
        <v>3853</v>
      </c>
      <c r="C412" s="1065" t="s">
        <v>3853</v>
      </c>
      <c r="D412" s="1066">
        <v>0.33444800000000002</v>
      </c>
      <c r="E412" s="1067" t="s">
        <v>2236</v>
      </c>
      <c r="F412" s="1067" t="s">
        <v>1257</v>
      </c>
      <c r="G412" s="1066" t="s">
        <v>3854</v>
      </c>
      <c r="H412" s="1068">
        <v>6</v>
      </c>
      <c r="I412" s="1065"/>
      <c r="J412" s="1069"/>
      <c r="K412" s="1187"/>
      <c r="L412" s="1187"/>
      <c r="M412" s="1187"/>
      <c r="N412" s="1187"/>
      <c r="O412" s="1187"/>
      <c r="P412" s="1187"/>
    </row>
    <row r="413" spans="1:16" s="113" customFormat="1" ht="18.75" thickBot="1" x14ac:dyDescent="0.3">
      <c r="A413" s="1187"/>
      <c r="B413" s="758" t="s">
        <v>3855</v>
      </c>
      <c r="C413" s="759" t="s">
        <v>3855</v>
      </c>
      <c r="D413" s="767">
        <v>2.42475</v>
      </c>
      <c r="E413" s="768" t="s">
        <v>2236</v>
      </c>
      <c r="F413" s="768" t="s">
        <v>1257</v>
      </c>
      <c r="G413" s="767" t="s">
        <v>3856</v>
      </c>
      <c r="H413" s="769">
        <v>6</v>
      </c>
      <c r="I413" s="759"/>
      <c r="J413" s="762"/>
      <c r="K413" s="1187"/>
      <c r="L413" s="1187"/>
      <c r="M413" s="1187"/>
      <c r="N413" s="1187"/>
      <c r="O413" s="1187"/>
      <c r="P413" s="1187"/>
    </row>
    <row r="414" spans="1:16" ht="15.75" thickBot="1" x14ac:dyDescent="0.3">
      <c r="A414" s="1185"/>
      <c r="B414" s="1187"/>
      <c r="C414" s="1187"/>
      <c r="D414" s="1185"/>
      <c r="E414" s="1185"/>
      <c r="F414" s="1185"/>
      <c r="G414" s="1185"/>
      <c r="H414" s="1185"/>
      <c r="I414" s="1187"/>
      <c r="J414" s="1187"/>
      <c r="K414" s="1185"/>
      <c r="L414" s="1185"/>
      <c r="M414" s="1185"/>
      <c r="N414" s="1185"/>
      <c r="O414" s="1185"/>
      <c r="P414" s="1185"/>
    </row>
    <row r="415" spans="1:16" ht="15.75" thickBot="1" x14ac:dyDescent="0.3">
      <c r="A415" s="1185"/>
      <c r="B415" s="1187"/>
      <c r="C415" s="1006" t="s">
        <v>3758</v>
      </c>
      <c r="D415" s="1185" t="s">
        <v>315</v>
      </c>
      <c r="E415" s="1185"/>
      <c r="F415" s="1185"/>
      <c r="G415" s="1185"/>
      <c r="H415" s="1185"/>
      <c r="I415" s="1187"/>
      <c r="J415" s="1188"/>
      <c r="K415" s="1185"/>
      <c r="L415" s="1185"/>
      <c r="M415" s="1185"/>
      <c r="N415" s="1185"/>
      <c r="O415" s="1185"/>
      <c r="P415" s="1185"/>
    </row>
    <row r="416" spans="1:16" ht="15.75" thickBot="1" x14ac:dyDescent="0.3">
      <c r="A416" s="1185"/>
      <c r="B416" s="1007" t="s">
        <v>0</v>
      </c>
      <c r="C416" s="1008" t="s">
        <v>1</v>
      </c>
      <c r="D416" s="1009" t="s">
        <v>840</v>
      </c>
      <c r="E416" s="1009" t="s">
        <v>470</v>
      </c>
      <c r="F416" s="1009" t="s">
        <v>471</v>
      </c>
      <c r="G416" s="1009" t="s">
        <v>2</v>
      </c>
      <c r="H416" s="1009" t="s">
        <v>298</v>
      </c>
      <c r="I416" s="1008" t="s">
        <v>116</v>
      </c>
      <c r="J416" s="1825" t="s">
        <v>117</v>
      </c>
      <c r="K416" s="1185"/>
      <c r="L416" s="1185"/>
      <c r="M416" s="1185"/>
      <c r="N416" s="1185"/>
      <c r="O416" s="1185"/>
      <c r="P416" s="1185"/>
    </row>
    <row r="417" spans="1:16" ht="18.75" thickBot="1" x14ac:dyDescent="0.3">
      <c r="A417" s="1185"/>
      <c r="B417" s="1671" t="s">
        <v>3759</v>
      </c>
      <c r="C417" s="1672" t="s">
        <v>3760</v>
      </c>
      <c r="D417" s="1673">
        <v>2.33</v>
      </c>
      <c r="E417" s="1674">
        <v>0</v>
      </c>
      <c r="F417" s="1674">
        <v>5</v>
      </c>
      <c r="G417" s="1674" t="s">
        <v>3761</v>
      </c>
      <c r="H417" s="1674">
        <v>2</v>
      </c>
      <c r="I417" s="1826"/>
      <c r="J417" s="1827" t="s">
        <v>3762</v>
      </c>
      <c r="K417" s="1185"/>
      <c r="L417" s="1185"/>
      <c r="M417" s="1185"/>
      <c r="N417" s="1185"/>
      <c r="O417" s="1185"/>
      <c r="P417" s="1185"/>
    </row>
    <row r="418" spans="1:16" ht="15.75" thickBot="1" x14ac:dyDescent="0.3">
      <c r="A418" s="1185"/>
      <c r="B418" s="1187"/>
      <c r="C418" s="1187"/>
      <c r="D418" s="1185"/>
      <c r="E418" s="1185"/>
      <c r="F418" s="1185"/>
      <c r="G418" s="1185"/>
      <c r="H418" s="1185"/>
      <c r="I418" s="1187"/>
      <c r="J418" s="1187"/>
      <c r="K418" s="1185"/>
      <c r="L418" s="1185"/>
      <c r="M418" s="1185"/>
      <c r="N418" s="1185"/>
      <c r="O418" s="1185"/>
      <c r="P418" s="1185"/>
    </row>
    <row r="419" spans="1:16" ht="15.75" thickBot="1" x14ac:dyDescent="0.3">
      <c r="A419" s="1185"/>
      <c r="B419" s="1187"/>
      <c r="C419" s="1006" t="s">
        <v>3763</v>
      </c>
      <c r="D419" s="1185" t="s">
        <v>315</v>
      </c>
      <c r="E419" s="1185"/>
      <c r="F419" s="1185"/>
      <c r="G419" s="1185"/>
      <c r="H419" s="1185"/>
      <c r="I419" s="1187"/>
      <c r="J419" s="1188"/>
      <c r="K419" s="1185"/>
      <c r="L419" s="1185"/>
      <c r="M419" s="1185"/>
      <c r="N419" s="1185"/>
      <c r="O419" s="1185"/>
      <c r="P419" s="1185"/>
    </row>
    <row r="420" spans="1:16" ht="15.75" thickBot="1" x14ac:dyDescent="0.3">
      <c r="A420" s="1185"/>
      <c r="B420" s="1007" t="s">
        <v>0</v>
      </c>
      <c r="C420" s="1008" t="s">
        <v>1</v>
      </c>
      <c r="D420" s="1009" t="s">
        <v>840</v>
      </c>
      <c r="E420" s="1009" t="s">
        <v>470</v>
      </c>
      <c r="F420" s="1009" t="s">
        <v>471</v>
      </c>
      <c r="G420" s="1009" t="s">
        <v>2</v>
      </c>
      <c r="H420" s="1009" t="s">
        <v>298</v>
      </c>
      <c r="I420" s="1008" t="s">
        <v>116</v>
      </c>
      <c r="J420" s="1825" t="s">
        <v>117</v>
      </c>
      <c r="K420" s="1185"/>
      <c r="L420" s="1185"/>
      <c r="M420" s="1185"/>
      <c r="N420" s="1185"/>
      <c r="O420" s="1185"/>
      <c r="P420" s="1185"/>
    </row>
    <row r="421" spans="1:16" ht="30" x14ac:dyDescent="0.25">
      <c r="A421" s="1185"/>
      <c r="B421" s="1675" t="s">
        <v>3764</v>
      </c>
      <c r="C421" s="1676" t="s">
        <v>3765</v>
      </c>
      <c r="D421" s="1677">
        <v>5.1999999999999998E-2</v>
      </c>
      <c r="E421" s="1029">
        <v>0</v>
      </c>
      <c r="F421" s="1029">
        <v>5</v>
      </c>
      <c r="G421" s="1029" t="s">
        <v>3761</v>
      </c>
      <c r="H421" s="1029">
        <v>2</v>
      </c>
      <c r="I421" s="1028"/>
      <c r="J421" s="1828" t="s">
        <v>3766</v>
      </c>
      <c r="K421" s="1185"/>
      <c r="L421" s="1185"/>
      <c r="M421" s="1185"/>
      <c r="N421" s="1185"/>
      <c r="O421" s="1185"/>
      <c r="P421" s="1185"/>
    </row>
    <row r="422" spans="1:16" ht="18" x14ac:dyDescent="0.25">
      <c r="A422" s="1185"/>
      <c r="B422" s="1678" t="s">
        <v>3767</v>
      </c>
      <c r="C422" s="1679" t="s">
        <v>3768</v>
      </c>
      <c r="D422" s="1680">
        <v>5.1999999999999998E-2</v>
      </c>
      <c r="E422" s="1681">
        <v>0</v>
      </c>
      <c r="F422" s="1681">
        <v>5</v>
      </c>
      <c r="G422" s="1681" t="s">
        <v>3761</v>
      </c>
      <c r="H422" s="1681">
        <v>2</v>
      </c>
      <c r="I422" s="1829"/>
      <c r="J422" s="1830"/>
      <c r="K422" s="1185"/>
      <c r="L422" s="1185"/>
      <c r="M422" s="1185"/>
      <c r="N422" s="1185"/>
      <c r="O422" s="1185"/>
      <c r="P422" s="1185"/>
    </row>
    <row r="423" spans="1:16" ht="18" x14ac:dyDescent="0.25">
      <c r="A423" s="1185"/>
      <c r="B423" s="1678" t="s">
        <v>3769</v>
      </c>
      <c r="C423" s="1679" t="s">
        <v>3770</v>
      </c>
      <c r="D423" s="1680">
        <v>5.1999999999999998E-2</v>
      </c>
      <c r="E423" s="1681">
        <v>0</v>
      </c>
      <c r="F423" s="1681">
        <v>5</v>
      </c>
      <c r="G423" s="1681" t="s">
        <v>3761</v>
      </c>
      <c r="H423" s="1681">
        <v>2</v>
      </c>
      <c r="I423" s="1829"/>
      <c r="J423" s="1830"/>
      <c r="K423" s="1185"/>
      <c r="L423" s="1185"/>
      <c r="M423" s="1185"/>
      <c r="N423" s="1185"/>
      <c r="O423" s="1185"/>
      <c r="P423" s="1185"/>
    </row>
    <row r="424" spans="1:16" ht="18" x14ac:dyDescent="0.25">
      <c r="A424" s="1185"/>
      <c r="B424" s="1678" t="s">
        <v>3771</v>
      </c>
      <c r="C424" s="1679" t="s">
        <v>3772</v>
      </c>
      <c r="D424" s="1680">
        <v>5.1999999999999998E-2</v>
      </c>
      <c r="E424" s="1681">
        <v>0</v>
      </c>
      <c r="F424" s="1681">
        <v>5</v>
      </c>
      <c r="G424" s="1681" t="s">
        <v>3761</v>
      </c>
      <c r="H424" s="1681">
        <v>2</v>
      </c>
      <c r="I424" s="1829"/>
      <c r="J424" s="1830"/>
      <c r="K424" s="1185"/>
      <c r="L424" s="1185"/>
      <c r="M424" s="1185"/>
      <c r="N424" s="1185"/>
      <c r="O424" s="1185"/>
      <c r="P424" s="1185"/>
    </row>
    <row r="425" spans="1:16" ht="18" x14ac:dyDescent="0.25">
      <c r="A425" s="1185"/>
      <c r="B425" s="1678" t="s">
        <v>3773</v>
      </c>
      <c r="C425" s="1679" t="s">
        <v>3774</v>
      </c>
      <c r="D425" s="1680">
        <v>5.1999999999999998E-2</v>
      </c>
      <c r="E425" s="1681">
        <v>0</v>
      </c>
      <c r="F425" s="1681">
        <v>5</v>
      </c>
      <c r="G425" s="1681" t="s">
        <v>3761</v>
      </c>
      <c r="H425" s="1681">
        <v>2</v>
      </c>
      <c r="I425" s="1829"/>
      <c r="J425" s="1830"/>
      <c r="K425" s="1185"/>
      <c r="L425" s="1185"/>
      <c r="M425" s="1185"/>
      <c r="N425" s="1185"/>
      <c r="O425" s="1185"/>
      <c r="P425" s="1185"/>
    </row>
    <row r="426" spans="1:16" ht="18" x14ac:dyDescent="0.25">
      <c r="A426" s="1185"/>
      <c r="B426" s="1678" t="s">
        <v>3775</v>
      </c>
      <c r="C426" s="1679" t="s">
        <v>3776</v>
      </c>
      <c r="D426" s="1680">
        <v>5.1999999999999998E-2</v>
      </c>
      <c r="E426" s="1681">
        <v>0</v>
      </c>
      <c r="F426" s="1681">
        <v>5</v>
      </c>
      <c r="G426" s="1681" t="s">
        <v>3761</v>
      </c>
      <c r="H426" s="1681">
        <v>2</v>
      </c>
      <c r="I426" s="1829"/>
      <c r="J426" s="1830"/>
      <c r="K426" s="1185"/>
      <c r="L426" s="1185"/>
      <c r="M426" s="1185"/>
      <c r="N426" s="1185"/>
      <c r="O426" s="1185"/>
      <c r="P426" s="1185"/>
    </row>
    <row r="427" spans="1:16" ht="18" x14ac:dyDescent="0.25">
      <c r="A427" s="1185"/>
      <c r="B427" s="1678" t="s">
        <v>3777</v>
      </c>
      <c r="C427" s="1679" t="s">
        <v>3778</v>
      </c>
      <c r="D427" s="1680">
        <v>5.1999999999999998E-2</v>
      </c>
      <c r="E427" s="1681">
        <v>0</v>
      </c>
      <c r="F427" s="1681">
        <v>5</v>
      </c>
      <c r="G427" s="1681" t="s">
        <v>3761</v>
      </c>
      <c r="H427" s="1681">
        <v>2</v>
      </c>
      <c r="I427" s="1829"/>
      <c r="J427" s="1830"/>
      <c r="K427" s="1185"/>
      <c r="L427" s="1185"/>
      <c r="M427" s="1185"/>
      <c r="N427" s="1185"/>
      <c r="O427" s="1185"/>
      <c r="P427" s="1185"/>
    </row>
    <row r="428" spans="1:16" ht="18" x14ac:dyDescent="0.25">
      <c r="A428" s="1185"/>
      <c r="B428" s="1678" t="s">
        <v>3779</v>
      </c>
      <c r="C428" s="1679" t="s">
        <v>3780</v>
      </c>
      <c r="D428" s="1680">
        <v>5.1999999999999998E-2</v>
      </c>
      <c r="E428" s="1681">
        <v>0</v>
      </c>
      <c r="F428" s="1681">
        <v>5</v>
      </c>
      <c r="G428" s="1681" t="s">
        <v>3761</v>
      </c>
      <c r="H428" s="1681">
        <v>2</v>
      </c>
      <c r="I428" s="1829"/>
      <c r="J428" s="1830"/>
      <c r="K428" s="1185"/>
      <c r="L428" s="1185"/>
      <c r="M428" s="1185"/>
      <c r="N428" s="1185"/>
      <c r="O428" s="1185"/>
      <c r="P428" s="1185"/>
    </row>
    <row r="429" spans="1:16" ht="18.75" thickBot="1" x14ac:dyDescent="0.3">
      <c r="A429" s="1185"/>
      <c r="B429" s="1682" t="s">
        <v>3781</v>
      </c>
      <c r="C429" s="1683" t="s">
        <v>3782</v>
      </c>
      <c r="D429" s="1684">
        <v>5.1999999999999998E-2</v>
      </c>
      <c r="E429" s="1685">
        <v>0</v>
      </c>
      <c r="F429" s="1685">
        <v>5</v>
      </c>
      <c r="G429" s="1685" t="s">
        <v>3761</v>
      </c>
      <c r="H429" s="1685">
        <v>2</v>
      </c>
      <c r="I429" s="1831"/>
      <c r="J429" s="1832"/>
      <c r="K429" s="1185"/>
      <c r="L429" s="1185"/>
      <c r="M429" s="1185"/>
      <c r="N429" s="1185"/>
      <c r="O429" s="1185"/>
      <c r="P429" s="1185"/>
    </row>
    <row r="430" spans="1:16" ht="15.75" thickBot="1" x14ac:dyDescent="0.3">
      <c r="A430" s="1185"/>
      <c r="B430" s="1187"/>
      <c r="C430" s="1187"/>
      <c r="D430" s="1185"/>
      <c r="E430" s="1185"/>
      <c r="F430" s="1185"/>
      <c r="G430" s="1185"/>
      <c r="H430" s="1185"/>
      <c r="I430" s="1187"/>
      <c r="J430" s="1187"/>
      <c r="K430" s="1185"/>
      <c r="L430" s="1185"/>
      <c r="M430" s="1185"/>
      <c r="N430" s="1185"/>
      <c r="O430" s="1185"/>
      <c r="P430" s="1185"/>
    </row>
    <row r="431" spans="1:16" ht="15.75" thickBot="1" x14ac:dyDescent="0.3">
      <c r="A431" s="1185"/>
      <c r="B431" s="1187"/>
      <c r="C431" s="1006" t="s">
        <v>3783</v>
      </c>
      <c r="D431" s="1185" t="s">
        <v>315</v>
      </c>
      <c r="E431" s="1185"/>
      <c r="F431" s="1185"/>
      <c r="G431" s="1185"/>
      <c r="H431" s="1185"/>
      <c r="I431" s="1187"/>
      <c r="J431" s="1188"/>
      <c r="K431" s="1185"/>
      <c r="L431" s="1185"/>
      <c r="M431" s="1185"/>
      <c r="N431" s="1185"/>
      <c r="O431" s="1185"/>
      <c r="P431" s="1185"/>
    </row>
    <row r="432" spans="1:16" ht="15.75" thickBot="1" x14ac:dyDescent="0.3">
      <c r="A432" s="1185"/>
      <c r="B432" s="1007" t="s">
        <v>0</v>
      </c>
      <c r="C432" s="1008" t="s">
        <v>1</v>
      </c>
      <c r="D432" s="1009" t="s">
        <v>840</v>
      </c>
      <c r="E432" s="1009" t="s">
        <v>470</v>
      </c>
      <c r="F432" s="1009" t="s">
        <v>471</v>
      </c>
      <c r="G432" s="1009" t="s">
        <v>2</v>
      </c>
      <c r="H432" s="1009" t="s">
        <v>298</v>
      </c>
      <c r="I432" s="1008" t="s">
        <v>116</v>
      </c>
      <c r="J432" s="1825" t="s">
        <v>117</v>
      </c>
      <c r="K432" s="1185"/>
      <c r="L432" s="1185"/>
      <c r="M432" s="1185"/>
      <c r="N432" s="1185"/>
      <c r="O432" s="1185"/>
      <c r="P432" s="1185"/>
    </row>
    <row r="433" spans="1:16" ht="18" x14ac:dyDescent="0.25">
      <c r="A433" s="1185"/>
      <c r="B433" s="1675" t="s">
        <v>3784</v>
      </c>
      <c r="C433" s="1686" t="s">
        <v>3785</v>
      </c>
      <c r="D433" s="1687">
        <v>0.11</v>
      </c>
      <c r="E433" s="1688">
        <v>0</v>
      </c>
      <c r="F433" s="1688">
        <v>5</v>
      </c>
      <c r="G433" s="1688" t="s">
        <v>3761</v>
      </c>
      <c r="H433" s="1688">
        <v>2</v>
      </c>
      <c r="I433" s="1833"/>
      <c r="J433" s="1828" t="s">
        <v>3786</v>
      </c>
      <c r="K433" s="1185"/>
      <c r="L433" s="1185"/>
      <c r="M433" s="1185"/>
      <c r="N433" s="1185"/>
      <c r="O433" s="1185"/>
      <c r="P433" s="1185"/>
    </row>
    <row r="434" spans="1:16" ht="18" x14ac:dyDescent="0.25">
      <c r="A434" s="1185"/>
      <c r="B434" s="1678" t="s">
        <v>3787</v>
      </c>
      <c r="C434" s="1679" t="s">
        <v>3788</v>
      </c>
      <c r="D434" s="1680">
        <v>0.11</v>
      </c>
      <c r="E434" s="1681">
        <v>0</v>
      </c>
      <c r="F434" s="1681">
        <v>5</v>
      </c>
      <c r="G434" s="1681" t="s">
        <v>3761</v>
      </c>
      <c r="H434" s="1681">
        <v>2</v>
      </c>
      <c r="I434" s="1829"/>
      <c r="J434" s="1830"/>
      <c r="K434" s="1185"/>
      <c r="L434" s="1185"/>
      <c r="M434" s="1185"/>
      <c r="N434" s="1185"/>
      <c r="O434" s="1185"/>
      <c r="P434" s="1185"/>
    </row>
    <row r="435" spans="1:16" ht="18" x14ac:dyDescent="0.25">
      <c r="A435" s="1185"/>
      <c r="B435" s="1678" t="s">
        <v>3789</v>
      </c>
      <c r="C435" s="1679" t="s">
        <v>3790</v>
      </c>
      <c r="D435" s="1680">
        <v>0.11</v>
      </c>
      <c r="E435" s="1681">
        <v>0</v>
      </c>
      <c r="F435" s="1681">
        <v>5</v>
      </c>
      <c r="G435" s="1681" t="s">
        <v>3761</v>
      </c>
      <c r="H435" s="1681">
        <v>2</v>
      </c>
      <c r="I435" s="1829"/>
      <c r="J435" s="1830"/>
      <c r="K435" s="1185"/>
      <c r="L435" s="1185"/>
      <c r="M435" s="1185"/>
      <c r="N435" s="1185"/>
      <c r="O435" s="1185"/>
      <c r="P435" s="1185"/>
    </row>
    <row r="436" spans="1:16" ht="18" x14ac:dyDescent="0.25">
      <c r="A436" s="1185"/>
      <c r="B436" s="1678" t="s">
        <v>3791</v>
      </c>
      <c r="C436" s="1679" t="s">
        <v>3792</v>
      </c>
      <c r="D436" s="1680">
        <v>0.11</v>
      </c>
      <c r="E436" s="1681">
        <v>0</v>
      </c>
      <c r="F436" s="1681">
        <v>5</v>
      </c>
      <c r="G436" s="1681" t="s">
        <v>3761</v>
      </c>
      <c r="H436" s="1681">
        <v>2</v>
      </c>
      <c r="I436" s="1829"/>
      <c r="J436" s="1830"/>
      <c r="K436" s="1185"/>
      <c r="L436" s="1185"/>
      <c r="M436" s="1185"/>
      <c r="N436" s="1185"/>
      <c r="O436" s="1185"/>
      <c r="P436" s="1185"/>
    </row>
    <row r="437" spans="1:16" ht="18" x14ac:dyDescent="0.25">
      <c r="A437" s="1185"/>
      <c r="B437" s="1678" t="s">
        <v>3793</v>
      </c>
      <c r="C437" s="1679" t="s">
        <v>3794</v>
      </c>
      <c r="D437" s="1680">
        <v>0.17</v>
      </c>
      <c r="E437" s="1681">
        <v>0</v>
      </c>
      <c r="F437" s="1681">
        <v>5</v>
      </c>
      <c r="G437" s="1681" t="s">
        <v>3761</v>
      </c>
      <c r="H437" s="1681">
        <v>2</v>
      </c>
      <c r="I437" s="1829"/>
      <c r="J437" s="1830" t="s">
        <v>3795</v>
      </c>
      <c r="K437" s="1185"/>
      <c r="L437" s="1185"/>
      <c r="M437" s="1185"/>
      <c r="N437" s="1185"/>
      <c r="O437" s="1185"/>
      <c r="P437" s="1185"/>
    </row>
    <row r="438" spans="1:16" ht="18" x14ac:dyDescent="0.25">
      <c r="A438" s="1185"/>
      <c r="B438" s="1678" t="s">
        <v>3796</v>
      </c>
      <c r="C438" s="1679" t="s">
        <v>3797</v>
      </c>
      <c r="D438" s="1680">
        <v>0.17</v>
      </c>
      <c r="E438" s="1681">
        <v>0</v>
      </c>
      <c r="F438" s="1681">
        <v>5</v>
      </c>
      <c r="G438" s="1681" t="s">
        <v>3761</v>
      </c>
      <c r="H438" s="1681">
        <v>2</v>
      </c>
      <c r="I438" s="1829"/>
      <c r="J438" s="1830"/>
      <c r="K438" s="1185"/>
      <c r="L438" s="1185"/>
      <c r="M438" s="1185"/>
      <c r="N438" s="1185"/>
      <c r="O438" s="1185"/>
      <c r="P438" s="1185"/>
    </row>
    <row r="439" spans="1:16" ht="18.75" thickBot="1" x14ac:dyDescent="0.3">
      <c r="A439" s="1185"/>
      <c r="B439" s="1682" t="s">
        <v>3798</v>
      </c>
      <c r="C439" s="1683" t="s">
        <v>3799</v>
      </c>
      <c r="D439" s="1684">
        <v>0.33</v>
      </c>
      <c r="E439" s="1685">
        <v>0</v>
      </c>
      <c r="F439" s="1685">
        <v>5</v>
      </c>
      <c r="G439" s="1685" t="s">
        <v>3761</v>
      </c>
      <c r="H439" s="1685">
        <v>2</v>
      </c>
      <c r="I439" s="1831"/>
      <c r="J439" s="1832" t="s">
        <v>3800</v>
      </c>
      <c r="K439" s="1185"/>
      <c r="L439" s="1185"/>
      <c r="M439" s="1185"/>
      <c r="N439" s="1185"/>
      <c r="O439" s="1185"/>
      <c r="P439" s="1185"/>
    </row>
  </sheetData>
  <phoneticPr fontId="31"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O9"/>
  <sheetViews>
    <sheetView showGridLines="0" zoomScale="85" zoomScaleNormal="85" workbookViewId="0"/>
  </sheetViews>
  <sheetFormatPr defaultColWidth="9.140625" defaultRowHeight="15" x14ac:dyDescent="0.25"/>
  <cols>
    <col min="1" max="1" width="9.140625" style="169"/>
    <col min="2" max="2" width="7.5703125" style="169" bestFit="1" customWidth="1"/>
    <col min="3" max="3" width="43.5703125" style="169" bestFit="1" customWidth="1"/>
    <col min="4" max="4" width="11.5703125" style="169" bestFit="1" customWidth="1"/>
    <col min="5" max="5" width="13.7109375" style="169" bestFit="1" customWidth="1"/>
    <col min="6" max="6" width="14.28515625" style="169" bestFit="1" customWidth="1"/>
    <col min="7" max="7" width="10.5703125" style="169" bestFit="1" customWidth="1"/>
    <col min="8" max="8" width="10.7109375" style="169" bestFit="1" customWidth="1"/>
    <col min="9" max="9" width="10.85546875" style="169" customWidth="1"/>
    <col min="10" max="10" width="9.140625" style="169"/>
    <col min="11" max="11" width="9.5703125" style="169" bestFit="1" customWidth="1"/>
    <col min="12" max="12" width="5.42578125" style="169" bestFit="1" customWidth="1"/>
    <col min="13" max="13" width="9" style="169" bestFit="1" customWidth="1"/>
    <col min="14" max="14" width="5" style="169" bestFit="1" customWidth="1"/>
    <col min="15" max="15" width="18.42578125" style="169" bestFit="1" customWidth="1"/>
    <col min="16" max="16384" width="9.140625" style="169"/>
  </cols>
  <sheetData>
    <row r="1" spans="2:15" ht="15.75" thickBot="1" x14ac:dyDescent="0.3"/>
    <row r="2" spans="2:15" s="949" customFormat="1" ht="15.75" thickBot="1" x14ac:dyDescent="0.3">
      <c r="B2" s="947"/>
      <c r="C2" s="948" t="s">
        <v>3740</v>
      </c>
      <c r="D2" s="947"/>
      <c r="E2" s="947"/>
      <c r="F2" s="947"/>
      <c r="G2" s="947"/>
      <c r="H2" s="947"/>
      <c r="I2" s="947"/>
      <c r="J2" s="947"/>
    </row>
    <row r="3" spans="2:15" s="947" customFormat="1" ht="30.75" thickBot="1" x14ac:dyDescent="0.3">
      <c r="B3" s="950" t="s">
        <v>0</v>
      </c>
      <c r="C3" s="951" t="s">
        <v>1</v>
      </c>
      <c r="D3" s="952" t="s">
        <v>3741</v>
      </c>
      <c r="E3" s="952" t="s">
        <v>3742</v>
      </c>
      <c r="F3" s="952" t="s">
        <v>3743</v>
      </c>
      <c r="G3" s="952" t="s">
        <v>3744</v>
      </c>
      <c r="H3" s="952" t="s">
        <v>3757</v>
      </c>
      <c r="I3" s="1012" t="s">
        <v>3804</v>
      </c>
      <c r="J3" s="952" t="s">
        <v>470</v>
      </c>
      <c r="K3" s="952" t="s">
        <v>471</v>
      </c>
      <c r="L3" s="952" t="s">
        <v>2</v>
      </c>
      <c r="M3" s="952" t="s">
        <v>298</v>
      </c>
      <c r="N3" s="952" t="s">
        <v>116</v>
      </c>
      <c r="O3" s="953" t="s">
        <v>117</v>
      </c>
    </row>
    <row r="4" spans="2:15" s="949" customFormat="1" ht="33" x14ac:dyDescent="0.35">
      <c r="B4" s="954" t="s">
        <v>3745</v>
      </c>
      <c r="C4" s="955" t="s">
        <v>3746</v>
      </c>
      <c r="D4" s="956">
        <v>0.04</v>
      </c>
      <c r="E4" s="956">
        <v>1.54</v>
      </c>
      <c r="F4" s="957">
        <v>2.2999999999999998</v>
      </c>
      <c r="G4" s="957">
        <v>34.799999999999997</v>
      </c>
      <c r="H4" s="957" t="s">
        <v>1214</v>
      </c>
      <c r="I4" s="1013">
        <v>2.61</v>
      </c>
      <c r="J4" s="956">
        <v>0</v>
      </c>
      <c r="K4" s="956">
        <v>100</v>
      </c>
      <c r="L4" s="956" t="s">
        <v>1887</v>
      </c>
      <c r="M4" s="956"/>
      <c r="N4" s="956"/>
      <c r="O4" s="958"/>
    </row>
    <row r="5" spans="2:15" s="949" customFormat="1" ht="18" x14ac:dyDescent="0.35">
      <c r="B5" s="959" t="s">
        <v>3747</v>
      </c>
      <c r="C5" s="960" t="s">
        <v>3748</v>
      </c>
      <c r="D5" s="961" t="s">
        <v>1214</v>
      </c>
      <c r="E5" s="961" t="s">
        <v>1214</v>
      </c>
      <c r="F5" s="962">
        <v>0.04</v>
      </c>
      <c r="G5" s="962">
        <v>65</v>
      </c>
      <c r="H5" s="962" t="s">
        <v>1214</v>
      </c>
      <c r="I5" s="1010" t="s">
        <v>1214</v>
      </c>
      <c r="J5" s="961">
        <v>0</v>
      </c>
      <c r="K5" s="961">
        <v>100</v>
      </c>
      <c r="L5" s="961" t="s">
        <v>1887</v>
      </c>
      <c r="M5" s="961"/>
      <c r="N5" s="961"/>
      <c r="O5" s="963"/>
    </row>
    <row r="6" spans="2:15" s="949" customFormat="1" ht="18" x14ac:dyDescent="0.35">
      <c r="B6" s="959" t="s">
        <v>3749</v>
      </c>
      <c r="C6" s="960" t="s">
        <v>3750</v>
      </c>
      <c r="D6" s="961" t="s">
        <v>1214</v>
      </c>
      <c r="E6" s="961" t="s">
        <v>1214</v>
      </c>
      <c r="F6" s="962">
        <v>3.16</v>
      </c>
      <c r="G6" s="962">
        <v>0.12</v>
      </c>
      <c r="H6" s="962" t="s">
        <v>1214</v>
      </c>
      <c r="I6" s="1010" t="s">
        <v>1214</v>
      </c>
      <c r="J6" s="961">
        <v>0</v>
      </c>
      <c r="K6" s="961">
        <v>100</v>
      </c>
      <c r="L6" s="961" t="s">
        <v>1887</v>
      </c>
      <c r="M6" s="961"/>
      <c r="N6" s="961"/>
      <c r="O6" s="963"/>
    </row>
    <row r="7" spans="2:15" s="949" customFormat="1" ht="18" x14ac:dyDescent="0.35">
      <c r="B7" s="959" t="s">
        <v>3751</v>
      </c>
      <c r="C7" s="960" t="s">
        <v>3752</v>
      </c>
      <c r="D7" s="961">
        <v>20.95</v>
      </c>
      <c r="E7" s="961">
        <v>18.84</v>
      </c>
      <c r="F7" s="962" t="s">
        <v>1214</v>
      </c>
      <c r="G7" s="962" t="s">
        <v>1214</v>
      </c>
      <c r="H7" s="962">
        <v>97</v>
      </c>
      <c r="I7" s="1010">
        <v>5.22</v>
      </c>
      <c r="J7" s="961">
        <v>0</v>
      </c>
      <c r="K7" s="961">
        <v>100</v>
      </c>
      <c r="L7" s="961" t="s">
        <v>1887</v>
      </c>
      <c r="M7" s="961"/>
      <c r="N7" s="961"/>
      <c r="O7" s="963"/>
    </row>
    <row r="8" spans="2:15" s="949" customFormat="1" ht="18" x14ac:dyDescent="0.35">
      <c r="B8" s="959" t="s">
        <v>3753</v>
      </c>
      <c r="C8" s="960" t="s">
        <v>3754</v>
      </c>
      <c r="D8" s="961" t="s">
        <v>1214</v>
      </c>
      <c r="E8" s="961" t="s">
        <v>1214</v>
      </c>
      <c r="F8" s="962" t="s">
        <v>1214</v>
      </c>
      <c r="G8" s="964">
        <v>0.01</v>
      </c>
      <c r="H8" s="964" t="s">
        <v>1214</v>
      </c>
      <c r="I8" s="1011" t="s">
        <v>1214</v>
      </c>
      <c r="J8" s="961">
        <v>0</v>
      </c>
      <c r="K8" s="961">
        <v>100</v>
      </c>
      <c r="L8" s="961" t="s">
        <v>1887</v>
      </c>
      <c r="M8" s="961"/>
      <c r="N8" s="961"/>
      <c r="O8" s="963"/>
    </row>
    <row r="9" spans="2:15" s="949" customFormat="1" ht="18.75" thickBot="1" x14ac:dyDescent="0.4">
      <c r="B9" s="965" t="s">
        <v>3755</v>
      </c>
      <c r="C9" s="966" t="s">
        <v>3756</v>
      </c>
      <c r="D9" s="967">
        <v>79.010000000000005</v>
      </c>
      <c r="E9" s="967">
        <v>79.62</v>
      </c>
      <c r="F9" s="968">
        <v>94.5</v>
      </c>
      <c r="G9" s="968">
        <v>7.0000000000000007E-2</v>
      </c>
      <c r="H9" s="968">
        <v>3</v>
      </c>
      <c r="I9" s="968">
        <v>92.17</v>
      </c>
      <c r="J9" s="967">
        <v>0</v>
      </c>
      <c r="K9" s="967">
        <v>100</v>
      </c>
      <c r="L9" s="967" t="s">
        <v>1887</v>
      </c>
      <c r="M9" s="967"/>
      <c r="N9" s="967"/>
      <c r="O9" s="9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3"/>
  <dimension ref="A1:CP230"/>
  <sheetViews>
    <sheetView showGridLines="0" zoomScale="85" zoomScaleNormal="85"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3.85546875" bestFit="1" customWidth="1"/>
    <col min="2" max="2" width="5.28515625" style="71" bestFit="1" customWidth="1"/>
    <col min="3" max="3" width="7.5703125" style="71" bestFit="1" customWidth="1"/>
    <col min="4" max="4" width="46.28515625" customWidth="1"/>
    <col min="5" max="5" width="32.7109375" bestFit="1" customWidth="1"/>
    <col min="6" max="6" width="12.7109375" bestFit="1" customWidth="1"/>
    <col min="7" max="7" width="14.42578125" bestFit="1" customWidth="1"/>
    <col min="8" max="12" width="5.85546875" bestFit="1" customWidth="1"/>
    <col min="13" max="13" width="21.7109375" customWidth="1"/>
    <col min="14" max="14" width="29.42578125" bestFit="1" customWidth="1"/>
    <col min="15" max="15" width="5.85546875" bestFit="1" customWidth="1"/>
    <col min="16" max="16" width="8.28515625" bestFit="1" customWidth="1"/>
    <col min="17" max="17" width="17" bestFit="1" customWidth="1"/>
    <col min="18" max="18" width="16.7109375" bestFit="1" customWidth="1"/>
    <col min="19" max="19" width="18.7109375" bestFit="1" customWidth="1"/>
    <col min="20" max="20" width="18.7109375" customWidth="1"/>
    <col min="21" max="21" width="17.140625" bestFit="1" customWidth="1"/>
    <col min="22" max="22" width="17.140625" customWidth="1"/>
    <col min="23" max="24" width="18.7109375" bestFit="1" customWidth="1"/>
    <col min="25" max="25" width="16.5703125" customWidth="1"/>
    <col min="26" max="27" width="49.140625" customWidth="1"/>
    <col min="28" max="28" width="35.7109375" bestFit="1" customWidth="1"/>
    <col min="29" max="29" width="7.140625" customWidth="1"/>
    <col min="30" max="30" width="10.5703125" bestFit="1" customWidth="1"/>
    <col min="31" max="31" width="9.28515625" customWidth="1"/>
    <col min="32" max="32" width="25" bestFit="1" customWidth="1"/>
    <col min="33" max="33" width="26.28515625" bestFit="1" customWidth="1"/>
    <col min="34" max="34" width="9.7109375" customWidth="1"/>
    <col min="35" max="36" width="10.42578125" customWidth="1"/>
    <col min="37" max="37" width="36" customWidth="1"/>
    <col min="38" max="38" width="16.28515625" customWidth="1"/>
    <col min="39" max="39" width="22.85546875" customWidth="1"/>
    <col min="40" max="40" width="62" bestFit="1" customWidth="1"/>
    <col min="41" max="41" width="17.28515625" style="154" customWidth="1"/>
    <col min="42" max="42" width="19.42578125" style="154" customWidth="1"/>
    <col min="43" max="43" width="19.28515625" style="154" customWidth="1"/>
    <col min="44" max="44" width="35.140625" style="154" bestFit="1" customWidth="1"/>
    <col min="45" max="45" width="27.28515625" style="154" bestFit="1" customWidth="1"/>
    <col min="46" max="46" width="25.85546875" bestFit="1" customWidth="1"/>
    <col min="47" max="47" width="14.42578125" bestFit="1" customWidth="1"/>
    <col min="48" max="48" width="24.28515625" bestFit="1" customWidth="1"/>
    <col min="49" max="49" width="23.5703125" bestFit="1" customWidth="1"/>
    <col min="50" max="50" width="22.5703125" bestFit="1" customWidth="1"/>
    <col min="51" max="51" width="25.7109375" bestFit="1" customWidth="1"/>
    <col min="52" max="52" width="25" bestFit="1" customWidth="1"/>
    <col min="53" max="53" width="24.5703125" bestFit="1" customWidth="1"/>
    <col min="54" max="54" width="17.42578125" bestFit="1" customWidth="1"/>
    <col min="55" max="55" width="24.28515625" bestFit="1" customWidth="1"/>
    <col min="56" max="56" width="23.5703125" bestFit="1" customWidth="1"/>
    <col min="57" max="57" width="22.5703125" bestFit="1" customWidth="1"/>
    <col min="58" max="58" width="25.7109375" bestFit="1" customWidth="1"/>
    <col min="59" max="59" width="25" bestFit="1" customWidth="1"/>
    <col min="60" max="60" width="24.5703125" bestFit="1" customWidth="1"/>
    <col min="61" max="61" width="17.42578125" bestFit="1" customWidth="1"/>
    <col min="62" max="62" width="13.7109375" bestFit="1" customWidth="1"/>
    <col min="63" max="63" width="14.140625" bestFit="1" customWidth="1"/>
    <col min="64" max="64" width="14.140625" style="69" customWidth="1"/>
    <col min="65" max="65" width="13.28515625" bestFit="1" customWidth="1"/>
    <col min="66" max="66" width="21" bestFit="1" customWidth="1"/>
    <col min="67" max="69" width="18.7109375" customWidth="1"/>
    <col min="70" max="70" width="45.7109375" bestFit="1" customWidth="1"/>
    <col min="71" max="71" width="45.5703125" bestFit="1" customWidth="1"/>
    <col min="72" max="72" width="39.42578125" bestFit="1" customWidth="1"/>
    <col min="73" max="73" width="40.28515625" bestFit="1" customWidth="1"/>
    <col min="74" max="74" width="39" bestFit="1" customWidth="1"/>
    <col min="75" max="75" width="44.28515625" bestFit="1" customWidth="1"/>
    <col min="76" max="81" width="44.28515625" customWidth="1"/>
    <col min="82" max="82" width="133.28515625" style="69" customWidth="1"/>
    <col min="83" max="83" width="9.28515625" style="4" bestFit="1" customWidth="1"/>
    <col min="84" max="84" width="29.28515625" style="4" bestFit="1" customWidth="1"/>
    <col min="85" max="85" width="15.85546875" style="4" bestFit="1" customWidth="1"/>
    <col min="86" max="86" width="7.85546875" style="80" customWidth="1"/>
    <col min="87" max="87" width="12.5703125" bestFit="1" customWidth="1"/>
    <col min="88" max="91" width="9.42578125" bestFit="1" customWidth="1"/>
  </cols>
  <sheetData>
    <row r="1" spans="1:94" s="47" customFormat="1" ht="54" customHeight="1" thickBot="1" x14ac:dyDescent="0.4">
      <c r="A1" s="48"/>
      <c r="B1" s="100"/>
      <c r="C1" s="100"/>
      <c r="AO1" s="152"/>
      <c r="AP1" s="152"/>
      <c r="AQ1" s="152"/>
      <c r="AR1" s="152"/>
      <c r="AS1" s="152"/>
      <c r="AU1" s="75"/>
      <c r="AV1" s="75"/>
      <c r="AX1" s="75"/>
      <c r="AY1" s="75"/>
      <c r="AZ1" s="75"/>
      <c r="BA1" s="75"/>
      <c r="BB1" s="75"/>
      <c r="BC1" s="75"/>
      <c r="BE1" s="75"/>
      <c r="BF1" s="75"/>
      <c r="BG1" s="75"/>
      <c r="BH1" s="75"/>
      <c r="BI1" s="75"/>
      <c r="BJ1" s="75"/>
      <c r="BK1" s="75"/>
      <c r="BL1" s="431"/>
      <c r="BM1" s="75"/>
      <c r="BN1" s="75"/>
      <c r="BO1" s="75"/>
      <c r="BP1" s="75"/>
      <c r="BQ1" s="75"/>
      <c r="BR1" s="75"/>
      <c r="BS1" s="75"/>
      <c r="BT1" s="75"/>
      <c r="BU1" s="75"/>
      <c r="BV1" s="75"/>
      <c r="BW1" s="75"/>
      <c r="BX1" s="75"/>
      <c r="BY1" s="75"/>
      <c r="BZ1" s="75"/>
      <c r="CA1" s="75"/>
      <c r="CB1" s="75"/>
      <c r="CC1" s="75"/>
      <c r="CD1" s="431"/>
      <c r="CE1" s="119"/>
      <c r="CF1" s="119"/>
      <c r="CG1" s="119"/>
      <c r="CH1" s="79"/>
    </row>
    <row r="2" spans="1:94" ht="18.75" customHeight="1" thickBot="1" x14ac:dyDescent="0.3">
      <c r="B2" s="1280"/>
      <c r="C2" s="1280"/>
      <c r="D2" s="1607" t="s">
        <v>128</v>
      </c>
      <c r="E2" s="1286"/>
      <c r="F2" s="1286"/>
      <c r="G2" s="1286"/>
      <c r="H2" s="1286"/>
      <c r="I2" s="1286"/>
      <c r="J2" s="1286"/>
      <c r="K2" s="1286"/>
      <c r="L2" s="1286"/>
      <c r="M2" s="1286"/>
      <c r="N2" s="1286"/>
      <c r="O2" s="1286"/>
      <c r="P2" s="1286"/>
      <c r="Q2" s="1286"/>
      <c r="R2" s="1286"/>
      <c r="S2" s="1286"/>
      <c r="T2" s="1286"/>
      <c r="U2" s="1286"/>
      <c r="V2" s="1286"/>
      <c r="W2" s="1286"/>
      <c r="X2" s="1286"/>
      <c r="Y2" s="1286"/>
      <c r="Z2" s="1286"/>
      <c r="AA2" s="1286"/>
      <c r="AB2" s="1286"/>
      <c r="AC2" s="1286"/>
      <c r="AD2" s="1286"/>
      <c r="AE2" s="1286"/>
      <c r="AF2" s="1286"/>
      <c r="AG2" s="1286"/>
      <c r="AH2" s="1286"/>
      <c r="AI2" s="1286"/>
      <c r="AJ2" s="1286"/>
      <c r="AK2" s="1286"/>
      <c r="AL2" s="1286"/>
      <c r="AM2" s="1286"/>
      <c r="AN2" s="1286"/>
      <c r="AO2" s="1286"/>
      <c r="AP2" s="1286"/>
      <c r="AQ2" s="1286"/>
      <c r="AR2" s="1286"/>
      <c r="AS2" s="1286"/>
      <c r="AT2" s="1286"/>
      <c r="AU2" s="1286"/>
      <c r="AV2" s="1286"/>
      <c r="AW2" s="1286"/>
      <c r="AX2" s="1286"/>
      <c r="AY2" s="1286"/>
      <c r="AZ2" s="1286"/>
      <c r="BA2" s="1286"/>
      <c r="BB2" s="1286"/>
      <c r="BC2" s="1286"/>
      <c r="BD2" s="1286"/>
      <c r="BE2" s="1286"/>
      <c r="BF2" s="1286"/>
      <c r="BG2" s="1286"/>
      <c r="BH2" s="1286"/>
      <c r="BI2" s="1286"/>
      <c r="BJ2" s="1286"/>
      <c r="BK2" s="1286"/>
      <c r="BL2" s="1287"/>
      <c r="BM2" s="1286"/>
      <c r="BN2" s="1286"/>
      <c r="BO2" s="1286"/>
      <c r="BP2" s="1286"/>
      <c r="BQ2" s="1286"/>
      <c r="BR2" s="1286"/>
      <c r="BS2" s="1286"/>
      <c r="BT2" s="1286"/>
      <c r="BU2" s="1286"/>
      <c r="BV2" s="1286"/>
      <c r="BW2" s="1286"/>
      <c r="BX2" s="1286"/>
      <c r="BY2" s="1286"/>
      <c r="BZ2" s="1286"/>
      <c r="CA2" s="1286"/>
      <c r="CB2" s="1286"/>
      <c r="CC2" s="1286"/>
      <c r="CD2" s="1287"/>
      <c r="CE2" s="1287"/>
      <c r="CF2" s="1287"/>
      <c r="CG2" s="1287"/>
      <c r="CH2" s="1288"/>
      <c r="CI2" s="1281"/>
      <c r="CJ2" s="1281"/>
      <c r="CK2" s="1281"/>
      <c r="CL2" s="1281"/>
      <c r="CM2" s="1281"/>
      <c r="CN2" s="1281"/>
      <c r="CO2" s="1281"/>
      <c r="CP2" s="1281"/>
    </row>
    <row r="3" spans="1:94" s="1" customFormat="1" ht="19.5" thickBot="1" x14ac:dyDescent="0.3">
      <c r="B3" s="608" t="s">
        <v>93</v>
      </c>
      <c r="C3" s="609" t="s">
        <v>0</v>
      </c>
      <c r="D3" s="612" t="s">
        <v>1</v>
      </c>
      <c r="E3" s="610" t="s">
        <v>803</v>
      </c>
      <c r="F3" s="610" t="s">
        <v>804</v>
      </c>
      <c r="G3" s="610" t="s">
        <v>805</v>
      </c>
      <c r="H3" s="610" t="s">
        <v>806</v>
      </c>
      <c r="I3" s="610" t="s">
        <v>807</v>
      </c>
      <c r="J3" s="610" t="s">
        <v>808</v>
      </c>
      <c r="K3" s="610" t="s">
        <v>809</v>
      </c>
      <c r="L3" s="610" t="s">
        <v>810</v>
      </c>
      <c r="M3" s="610" t="s">
        <v>811</v>
      </c>
      <c r="N3" s="610" t="s">
        <v>2138</v>
      </c>
      <c r="O3" s="610" t="s">
        <v>812</v>
      </c>
      <c r="P3" s="610" t="s">
        <v>1743</v>
      </c>
      <c r="Q3" s="610" t="s">
        <v>813</v>
      </c>
      <c r="R3" s="610" t="s">
        <v>4245</v>
      </c>
      <c r="S3" s="610" t="s">
        <v>814</v>
      </c>
      <c r="T3" s="610" t="s">
        <v>2250</v>
      </c>
      <c r="U3" s="610" t="s">
        <v>2249</v>
      </c>
      <c r="V3" s="610" t="s">
        <v>2269</v>
      </c>
      <c r="W3" s="610" t="s">
        <v>815</v>
      </c>
      <c r="X3" s="610" t="s">
        <v>816</v>
      </c>
      <c r="Y3" s="610" t="s">
        <v>817</v>
      </c>
      <c r="Z3" s="610" t="s">
        <v>2247</v>
      </c>
      <c r="AA3" s="610" t="s">
        <v>2248</v>
      </c>
      <c r="AB3" s="610" t="s">
        <v>818</v>
      </c>
      <c r="AC3" s="610" t="s">
        <v>819</v>
      </c>
      <c r="AD3" s="610" t="s">
        <v>821</v>
      </c>
      <c r="AE3" s="610" t="s">
        <v>822</v>
      </c>
      <c r="AF3" s="610" t="s">
        <v>823</v>
      </c>
      <c r="AG3" s="610" t="s">
        <v>2137</v>
      </c>
      <c r="AH3" s="610" t="s">
        <v>824</v>
      </c>
      <c r="AI3" s="610" t="s">
        <v>825</v>
      </c>
      <c r="AJ3" s="610" t="s">
        <v>826</v>
      </c>
      <c r="AK3" s="610" t="s">
        <v>827</v>
      </c>
      <c r="AL3" s="610" t="s">
        <v>829</v>
      </c>
      <c r="AM3" s="610" t="s">
        <v>830</v>
      </c>
      <c r="AN3" s="610" t="s">
        <v>831</v>
      </c>
      <c r="AO3" s="610" t="s">
        <v>832</v>
      </c>
      <c r="AP3" s="610" t="s">
        <v>1161</v>
      </c>
      <c r="AQ3" s="610" t="s">
        <v>1162</v>
      </c>
      <c r="AR3" s="610" t="s">
        <v>999</v>
      </c>
      <c r="AS3" s="610" t="s">
        <v>1641</v>
      </c>
      <c r="AT3" s="610" t="s">
        <v>1045</v>
      </c>
      <c r="AU3" s="610" t="s">
        <v>1601</v>
      </c>
      <c r="AV3" s="610" t="s">
        <v>1642</v>
      </c>
      <c r="AW3" s="610" t="s">
        <v>1643</v>
      </c>
      <c r="AX3" s="610" t="s">
        <v>1644</v>
      </c>
      <c r="AY3" s="610" t="s">
        <v>1645</v>
      </c>
      <c r="AZ3" s="610" t="s">
        <v>1646</v>
      </c>
      <c r="BA3" s="610" t="s">
        <v>1647</v>
      </c>
      <c r="BB3" s="610" t="s">
        <v>1648</v>
      </c>
      <c r="BC3" s="1075" t="s">
        <v>3876</v>
      </c>
      <c r="BD3" s="1075" t="s">
        <v>3877</v>
      </c>
      <c r="BE3" s="1075" t="s">
        <v>3878</v>
      </c>
      <c r="BF3" s="1075" t="s">
        <v>3879</v>
      </c>
      <c r="BG3" s="1075" t="s">
        <v>3880</v>
      </c>
      <c r="BH3" s="1075" t="s">
        <v>3881</v>
      </c>
      <c r="BI3" s="1075" t="s">
        <v>3882</v>
      </c>
      <c r="BJ3" s="611" t="s">
        <v>1001</v>
      </c>
      <c r="BK3" s="611" t="s">
        <v>1133</v>
      </c>
      <c r="BL3" s="1080" t="s">
        <v>3883</v>
      </c>
      <c r="BM3" s="611" t="s">
        <v>354</v>
      </c>
      <c r="BN3" s="610" t="s">
        <v>1115</v>
      </c>
      <c r="BO3" s="610" t="s">
        <v>135</v>
      </c>
      <c r="BP3" s="1435" t="s">
        <v>4240</v>
      </c>
      <c r="BQ3" s="2384" t="s">
        <v>4800</v>
      </c>
      <c r="BR3" s="609" t="s">
        <v>1649</v>
      </c>
      <c r="BS3" s="609" t="s">
        <v>1650</v>
      </c>
      <c r="BT3" s="609" t="s">
        <v>1651</v>
      </c>
      <c r="BU3" s="609" t="s">
        <v>1652</v>
      </c>
      <c r="BV3" s="609" t="s">
        <v>1052</v>
      </c>
      <c r="BW3" s="609" t="s">
        <v>1653</v>
      </c>
      <c r="BX3" s="609" t="s">
        <v>3192</v>
      </c>
      <c r="BY3" s="609" t="s">
        <v>3193</v>
      </c>
      <c r="BZ3" s="609" t="s">
        <v>3194</v>
      </c>
      <c r="CA3" s="609" t="s">
        <v>3195</v>
      </c>
      <c r="CB3" s="609" t="s">
        <v>3196</v>
      </c>
      <c r="CC3" s="609" t="s">
        <v>3197</v>
      </c>
      <c r="CD3" s="612" t="s">
        <v>1223</v>
      </c>
      <c r="CE3" s="613" t="s">
        <v>2</v>
      </c>
      <c r="CF3" s="613" t="s">
        <v>9</v>
      </c>
      <c r="CG3" s="614" t="s">
        <v>116</v>
      </c>
      <c r="CH3" s="1289"/>
      <c r="CI3" s="1290"/>
      <c r="CJ3" s="1290"/>
      <c r="CK3" s="1290"/>
      <c r="CL3" s="1290"/>
      <c r="CM3" s="1290"/>
      <c r="CN3" s="1290"/>
      <c r="CO3" s="1290"/>
      <c r="CP3" s="1290"/>
    </row>
    <row r="4" spans="1:94" ht="18" x14ac:dyDescent="0.25">
      <c r="B4" s="1582">
        <v>1</v>
      </c>
      <c r="C4" s="1522" t="s">
        <v>223</v>
      </c>
      <c r="D4" s="464" t="s">
        <v>1654</v>
      </c>
      <c r="E4" s="463" t="s">
        <v>1745</v>
      </c>
      <c r="F4" s="441"/>
      <c r="G4" s="441"/>
      <c r="H4" s="441"/>
      <c r="I4" s="441"/>
      <c r="J4" s="441"/>
      <c r="K4" s="441"/>
      <c r="L4" s="441"/>
      <c r="M4" s="441"/>
      <c r="N4" s="441"/>
      <c r="O4" s="441"/>
      <c r="P4" s="441"/>
      <c r="Q4" s="441">
        <v>1</v>
      </c>
      <c r="R4" s="441"/>
      <c r="S4" s="441"/>
      <c r="T4" s="441"/>
      <c r="U4" s="441"/>
      <c r="V4" s="441"/>
      <c r="W4" s="441"/>
      <c r="X4" s="441"/>
      <c r="Y4" s="463" t="s">
        <v>1655</v>
      </c>
      <c r="Z4" s="441"/>
      <c r="AA4" s="441"/>
      <c r="AB4" s="441"/>
      <c r="AC4" s="441"/>
      <c r="AD4" s="441"/>
      <c r="AE4" s="441"/>
      <c r="AF4" s="463" t="s">
        <v>1656</v>
      </c>
      <c r="AG4" s="441"/>
      <c r="AH4" s="441"/>
      <c r="AI4" s="441"/>
      <c r="AJ4" s="441"/>
      <c r="AK4" s="463" t="s">
        <v>1751</v>
      </c>
      <c r="AL4" s="463"/>
      <c r="AM4" s="463"/>
      <c r="AN4" s="463" t="s">
        <v>1989</v>
      </c>
      <c r="AO4" s="940" t="s">
        <v>2515</v>
      </c>
      <c r="AP4" s="940" t="s">
        <v>3687</v>
      </c>
      <c r="AQ4" s="940" t="s">
        <v>3688</v>
      </c>
      <c r="AR4" s="940" t="s">
        <v>3689</v>
      </c>
      <c r="AS4" s="940" t="s">
        <v>3690</v>
      </c>
      <c r="AT4" s="463"/>
      <c r="AU4" s="463"/>
      <c r="AV4" s="463"/>
      <c r="AW4" s="463"/>
      <c r="AX4" s="463"/>
      <c r="AY4" s="463"/>
      <c r="AZ4" s="463"/>
      <c r="BA4" s="463"/>
      <c r="BB4" s="463"/>
      <c r="BC4" s="463"/>
      <c r="BD4" s="463"/>
      <c r="BE4" s="463"/>
      <c r="BF4" s="463"/>
      <c r="BG4" s="463"/>
      <c r="BH4" s="463"/>
      <c r="BI4" s="463"/>
      <c r="BJ4" s="463"/>
      <c r="BK4" s="463"/>
      <c r="BL4" s="1541"/>
      <c r="BM4" s="463"/>
      <c r="BN4" s="463"/>
      <c r="BO4" s="463"/>
      <c r="BP4" s="463"/>
      <c r="BQ4" s="2339"/>
      <c r="BR4" s="463"/>
      <c r="BS4" s="463"/>
      <c r="BT4" s="463"/>
      <c r="BU4" s="463"/>
      <c r="BV4" s="463"/>
      <c r="BW4" s="463"/>
      <c r="BX4" s="463"/>
      <c r="BY4" s="463"/>
      <c r="BZ4" s="463"/>
      <c r="CA4" s="463"/>
      <c r="CB4" s="463"/>
      <c r="CC4" s="463"/>
      <c r="CD4" s="615" t="s">
        <v>3715</v>
      </c>
      <c r="CE4" s="441" t="s">
        <v>2036</v>
      </c>
      <c r="CF4" s="464"/>
      <c r="CG4" s="616"/>
      <c r="CH4" s="1288"/>
      <c r="CI4" s="1281"/>
      <c r="CJ4" s="1281"/>
      <c r="CK4" s="1281"/>
      <c r="CL4" s="1281"/>
      <c r="CM4" s="1281"/>
      <c r="CN4" s="1281"/>
      <c r="CO4" s="1281"/>
      <c r="CP4" s="1281"/>
    </row>
    <row r="5" spans="1:94" ht="18" x14ac:dyDescent="0.25">
      <c r="B5" s="1583">
        <v>2</v>
      </c>
      <c r="C5" s="1523" t="s">
        <v>224</v>
      </c>
      <c r="D5" s="619" t="s">
        <v>2270</v>
      </c>
      <c r="E5" s="617" t="s">
        <v>1746</v>
      </c>
      <c r="F5" s="441"/>
      <c r="G5" s="441"/>
      <c r="H5" s="441"/>
      <c r="I5" s="441"/>
      <c r="J5" s="441"/>
      <c r="K5" s="441"/>
      <c r="L5" s="441"/>
      <c r="M5" s="441"/>
      <c r="N5" s="441"/>
      <c r="O5" s="441"/>
      <c r="P5" s="441"/>
      <c r="Q5" s="441">
        <v>1</v>
      </c>
      <c r="R5" s="441"/>
      <c r="S5" s="441"/>
      <c r="T5" s="441"/>
      <c r="U5" s="441"/>
      <c r="V5" s="441"/>
      <c r="W5" s="441"/>
      <c r="X5" s="441"/>
      <c r="Y5" s="463" t="s">
        <v>1655</v>
      </c>
      <c r="Z5" s="617" t="s">
        <v>2274</v>
      </c>
      <c r="AA5" s="617"/>
      <c r="AB5" s="617" t="s">
        <v>2275</v>
      </c>
      <c r="AC5" s="441"/>
      <c r="AD5" s="441"/>
      <c r="AE5" s="441"/>
      <c r="AF5" s="617" t="s">
        <v>1656</v>
      </c>
      <c r="AG5" s="441"/>
      <c r="AH5" s="441"/>
      <c r="AI5" s="441"/>
      <c r="AJ5" s="441"/>
      <c r="AK5" s="463"/>
      <c r="AL5" s="463"/>
      <c r="AM5" s="463"/>
      <c r="AN5" s="617" t="s">
        <v>1990</v>
      </c>
      <c r="AO5" s="941" t="s">
        <v>2515</v>
      </c>
      <c r="AP5" s="941" t="s">
        <v>3687</v>
      </c>
      <c r="AQ5" s="941" t="s">
        <v>3688</v>
      </c>
      <c r="AR5" s="941" t="s">
        <v>3689</v>
      </c>
      <c r="AS5" s="941" t="s">
        <v>3690</v>
      </c>
      <c r="AT5" s="463"/>
      <c r="AU5" s="463"/>
      <c r="AV5" s="463"/>
      <c r="AW5" s="463"/>
      <c r="AX5" s="463"/>
      <c r="AY5" s="463"/>
      <c r="AZ5" s="463"/>
      <c r="BA5" s="463"/>
      <c r="BB5" s="463"/>
      <c r="BC5" s="463"/>
      <c r="BD5" s="463"/>
      <c r="BE5" s="463"/>
      <c r="BF5" s="463"/>
      <c r="BG5" s="463"/>
      <c r="BH5" s="463"/>
      <c r="BI5" s="463"/>
      <c r="BJ5" s="463"/>
      <c r="BK5" s="463"/>
      <c r="BL5" s="1542"/>
      <c r="BM5" s="463"/>
      <c r="BN5" s="463"/>
      <c r="BO5" s="463"/>
      <c r="BP5" s="463"/>
      <c r="BQ5" s="2339"/>
      <c r="BR5" s="463"/>
      <c r="BS5" s="463"/>
      <c r="BT5" s="463"/>
      <c r="BU5" s="463"/>
      <c r="BV5" s="463"/>
      <c r="BW5" s="463"/>
      <c r="BX5" s="463"/>
      <c r="BY5" s="463"/>
      <c r="BZ5" s="463"/>
      <c r="CA5" s="463"/>
      <c r="CB5" s="463"/>
      <c r="CC5" s="463"/>
      <c r="CD5" s="618" t="s">
        <v>3716</v>
      </c>
      <c r="CE5" s="620" t="s">
        <v>2036</v>
      </c>
      <c r="CF5" s="619"/>
      <c r="CG5" s="616"/>
      <c r="CH5" s="1288"/>
      <c r="CI5" s="1281"/>
      <c r="CJ5" s="1281"/>
      <c r="CK5" s="1281"/>
      <c r="CL5" s="1281"/>
      <c r="CM5" s="1281"/>
      <c r="CN5" s="1281"/>
      <c r="CO5" s="1281"/>
      <c r="CP5" s="1281"/>
    </row>
    <row r="6" spans="1:94" ht="18" x14ac:dyDescent="0.25">
      <c r="B6" s="1583">
        <v>3</v>
      </c>
      <c r="C6" s="1523" t="s">
        <v>225</v>
      </c>
      <c r="D6" s="619" t="s">
        <v>1657</v>
      </c>
      <c r="E6" s="617" t="s">
        <v>1746</v>
      </c>
      <c r="F6" s="620"/>
      <c r="G6" s="620"/>
      <c r="H6" s="620"/>
      <c r="I6" s="620"/>
      <c r="J6" s="620"/>
      <c r="K6" s="620"/>
      <c r="L6" s="620"/>
      <c r="M6" s="620"/>
      <c r="N6" s="620"/>
      <c r="O6" s="620"/>
      <c r="P6" s="620"/>
      <c r="Q6" s="620">
        <v>1</v>
      </c>
      <c r="R6" s="620"/>
      <c r="S6" s="620"/>
      <c r="T6" s="620"/>
      <c r="U6" s="620"/>
      <c r="V6" s="620"/>
      <c r="W6" s="620"/>
      <c r="X6" s="620"/>
      <c r="Y6" s="617" t="s">
        <v>1655</v>
      </c>
      <c r="Z6" s="617" t="s">
        <v>2276</v>
      </c>
      <c r="AA6" s="617" t="s">
        <v>2277</v>
      </c>
      <c r="AB6" s="617"/>
      <c r="AC6" s="620"/>
      <c r="AD6" s="620"/>
      <c r="AE6" s="620"/>
      <c r="AF6" s="617" t="s">
        <v>1656</v>
      </c>
      <c r="AG6" s="620"/>
      <c r="AH6" s="620"/>
      <c r="AI6" s="620"/>
      <c r="AJ6" s="620"/>
      <c r="AK6" s="617"/>
      <c r="AL6" s="617"/>
      <c r="AM6" s="617"/>
      <c r="AN6" s="617" t="s">
        <v>1990</v>
      </c>
      <c r="AO6" s="941" t="s">
        <v>2515</v>
      </c>
      <c r="AP6" s="941" t="s">
        <v>3687</v>
      </c>
      <c r="AQ6" s="941" t="s">
        <v>3688</v>
      </c>
      <c r="AR6" s="941" t="s">
        <v>3689</v>
      </c>
      <c r="AS6" s="941" t="s">
        <v>3690</v>
      </c>
      <c r="AT6" s="617"/>
      <c r="AU6" s="617"/>
      <c r="AV6" s="617"/>
      <c r="AW6" s="617"/>
      <c r="AX6" s="617"/>
      <c r="AY6" s="617"/>
      <c r="AZ6" s="617"/>
      <c r="BA6" s="617"/>
      <c r="BB6" s="617"/>
      <c r="BC6" s="617"/>
      <c r="BD6" s="617"/>
      <c r="BE6" s="617"/>
      <c r="BF6" s="617"/>
      <c r="BG6" s="617"/>
      <c r="BH6" s="617"/>
      <c r="BI6" s="617"/>
      <c r="BJ6" s="617"/>
      <c r="BK6" s="617"/>
      <c r="BL6" s="1542"/>
      <c r="BM6" s="617"/>
      <c r="BN6" s="617"/>
      <c r="BO6" s="617"/>
      <c r="BP6" s="1393"/>
      <c r="BQ6" s="2340"/>
      <c r="BR6" s="617"/>
      <c r="BS6" s="617"/>
      <c r="BT6" s="617"/>
      <c r="BU6" s="617"/>
      <c r="BV6" s="617"/>
      <c r="BW6" s="617"/>
      <c r="BX6" s="617"/>
      <c r="BY6" s="617"/>
      <c r="BZ6" s="617"/>
      <c r="CA6" s="617"/>
      <c r="CB6" s="617"/>
      <c r="CC6" s="617"/>
      <c r="CD6" s="618" t="s">
        <v>3717</v>
      </c>
      <c r="CE6" s="620" t="s">
        <v>2036</v>
      </c>
      <c r="CF6" s="619"/>
      <c r="CG6" s="621"/>
      <c r="CH6" s="1288"/>
      <c r="CI6" s="1281"/>
      <c r="CJ6" s="1281"/>
      <c r="CK6" s="1281"/>
      <c r="CL6" s="1281"/>
      <c r="CM6" s="1281"/>
      <c r="CN6" s="1281"/>
      <c r="CO6" s="1281"/>
      <c r="CP6" s="1281"/>
    </row>
    <row r="7" spans="1:94" ht="18" x14ac:dyDescent="0.25">
      <c r="B7" s="1583">
        <v>4</v>
      </c>
      <c r="C7" s="1523" t="s">
        <v>226</v>
      </c>
      <c r="D7" s="619" t="s">
        <v>1658</v>
      </c>
      <c r="E7" s="620"/>
      <c r="F7" s="617" t="s">
        <v>1747</v>
      </c>
      <c r="G7" s="620"/>
      <c r="H7" s="620"/>
      <c r="I7" s="620"/>
      <c r="J7" s="620"/>
      <c r="K7" s="620"/>
      <c r="L7" s="620"/>
      <c r="M7" s="620"/>
      <c r="N7" s="620"/>
      <c r="O7" s="620"/>
      <c r="P7" s="620"/>
      <c r="Q7" s="620">
        <v>1</v>
      </c>
      <c r="R7" s="620"/>
      <c r="S7" s="620"/>
      <c r="T7" s="620"/>
      <c r="U7" s="620"/>
      <c r="V7" s="620"/>
      <c r="W7" s="620"/>
      <c r="X7" s="620"/>
      <c r="Y7" s="617" t="s">
        <v>1655</v>
      </c>
      <c r="Z7" s="617"/>
      <c r="AA7" s="617"/>
      <c r="AB7" s="620"/>
      <c r="AC7" s="620"/>
      <c r="AD7" s="620"/>
      <c r="AE7" s="620"/>
      <c r="AF7" s="617" t="s">
        <v>1656</v>
      </c>
      <c r="AG7" s="620"/>
      <c r="AH7" s="620"/>
      <c r="AI7" s="620"/>
      <c r="AJ7" s="620"/>
      <c r="AK7" s="617" t="s">
        <v>1752</v>
      </c>
      <c r="AL7" s="617"/>
      <c r="AM7" s="617"/>
      <c r="AN7" s="617" t="s">
        <v>1991</v>
      </c>
      <c r="AO7" s="941" t="s">
        <v>2515</v>
      </c>
      <c r="AP7" s="941" t="s">
        <v>3687</v>
      </c>
      <c r="AQ7" s="941" t="s">
        <v>3688</v>
      </c>
      <c r="AR7" s="941" t="s">
        <v>3689</v>
      </c>
      <c r="AS7" s="941" t="s">
        <v>3690</v>
      </c>
      <c r="AT7" s="617"/>
      <c r="AU7" s="617"/>
      <c r="AV7" s="617"/>
      <c r="AW7" s="617"/>
      <c r="AX7" s="617"/>
      <c r="AY7" s="617"/>
      <c r="AZ7" s="617"/>
      <c r="BA7" s="617"/>
      <c r="BB7" s="617"/>
      <c r="BC7" s="617"/>
      <c r="BD7" s="617"/>
      <c r="BE7" s="617"/>
      <c r="BF7" s="617"/>
      <c r="BG7" s="617"/>
      <c r="BH7" s="617"/>
      <c r="BI7" s="617"/>
      <c r="BJ7" s="617"/>
      <c r="BK7" s="617"/>
      <c r="BL7" s="1542"/>
      <c r="BM7" s="617"/>
      <c r="BN7" s="617"/>
      <c r="BO7" s="617"/>
      <c r="BP7" s="1393"/>
      <c r="BQ7" s="2340"/>
      <c r="BR7" s="617"/>
      <c r="BS7" s="617"/>
      <c r="BT7" s="617"/>
      <c r="BU7" s="617"/>
      <c r="BV7" s="617"/>
      <c r="BW7" s="617"/>
      <c r="BX7" s="617"/>
      <c r="BY7" s="617"/>
      <c r="BZ7" s="617"/>
      <c r="CA7" s="617"/>
      <c r="CB7" s="617"/>
      <c r="CC7" s="617"/>
      <c r="CD7" s="618" t="s">
        <v>3718</v>
      </c>
      <c r="CE7" s="620" t="s">
        <v>2036</v>
      </c>
      <c r="CF7" s="619"/>
      <c r="CG7" s="621"/>
      <c r="CH7" s="1288"/>
      <c r="CI7" s="1291"/>
      <c r="CJ7" s="1281"/>
      <c r="CK7" s="1281"/>
      <c r="CL7" s="1281"/>
      <c r="CM7" s="1281"/>
      <c r="CN7" s="1281"/>
      <c r="CO7" s="1281"/>
      <c r="CP7" s="1281"/>
    </row>
    <row r="8" spans="1:94" ht="18" customHeight="1" x14ac:dyDescent="0.25">
      <c r="B8" s="1583">
        <v>5</v>
      </c>
      <c r="C8" s="1523" t="s">
        <v>227</v>
      </c>
      <c r="D8" s="619" t="s">
        <v>2271</v>
      </c>
      <c r="E8" s="620"/>
      <c r="F8" s="617" t="s">
        <v>1748</v>
      </c>
      <c r="G8" s="620"/>
      <c r="H8" s="620"/>
      <c r="I8" s="620"/>
      <c r="J8" s="620"/>
      <c r="K8" s="620"/>
      <c r="L8" s="620"/>
      <c r="M8" s="620"/>
      <c r="N8" s="620"/>
      <c r="O8" s="620"/>
      <c r="P8" s="620"/>
      <c r="Q8" s="620">
        <v>1</v>
      </c>
      <c r="R8" s="620"/>
      <c r="S8" s="620"/>
      <c r="T8" s="620"/>
      <c r="U8" s="620"/>
      <c r="V8" s="620"/>
      <c r="W8" s="620"/>
      <c r="X8" s="620"/>
      <c r="Y8" s="463" t="s">
        <v>1655</v>
      </c>
      <c r="Z8" s="617" t="s">
        <v>2278</v>
      </c>
      <c r="AA8" s="617"/>
      <c r="AB8" s="617" t="s">
        <v>2279</v>
      </c>
      <c r="AC8" s="620"/>
      <c r="AD8" s="620"/>
      <c r="AE8" s="620"/>
      <c r="AF8" s="617" t="s">
        <v>1656</v>
      </c>
      <c r="AG8" s="620"/>
      <c r="AH8" s="620"/>
      <c r="AI8" s="620"/>
      <c r="AJ8" s="620"/>
      <c r="AK8" s="617"/>
      <c r="AL8" s="617"/>
      <c r="AM8" s="617"/>
      <c r="AN8" s="617" t="s">
        <v>1992</v>
      </c>
      <c r="AO8" s="942" t="s">
        <v>2515</v>
      </c>
      <c r="AP8" s="941" t="s">
        <v>3687</v>
      </c>
      <c r="AQ8" s="941" t="s">
        <v>3688</v>
      </c>
      <c r="AR8" s="941" t="s">
        <v>3689</v>
      </c>
      <c r="AS8" s="941" t="s">
        <v>3690</v>
      </c>
      <c r="AT8" s="617"/>
      <c r="AU8" s="617"/>
      <c r="AV8" s="617"/>
      <c r="AW8" s="617"/>
      <c r="AX8" s="617"/>
      <c r="AY8" s="617"/>
      <c r="AZ8" s="617"/>
      <c r="BA8" s="617"/>
      <c r="BB8" s="617"/>
      <c r="BC8" s="617"/>
      <c r="BD8" s="617"/>
      <c r="BE8" s="617"/>
      <c r="BF8" s="617"/>
      <c r="BG8" s="617"/>
      <c r="BH8" s="617"/>
      <c r="BI8" s="617"/>
      <c r="BJ8" s="617"/>
      <c r="BK8" s="617"/>
      <c r="BL8" s="1542"/>
      <c r="BM8" s="617"/>
      <c r="BN8" s="617"/>
      <c r="BO8" s="617"/>
      <c r="BP8" s="1393"/>
      <c r="BQ8" s="2340"/>
      <c r="BR8" s="617"/>
      <c r="BS8" s="617"/>
      <c r="BT8" s="617"/>
      <c r="BU8" s="617"/>
      <c r="BV8" s="617"/>
      <c r="BW8" s="617"/>
      <c r="BX8" s="617"/>
      <c r="BY8" s="617"/>
      <c r="BZ8" s="617"/>
      <c r="CA8" s="617"/>
      <c r="CB8" s="617"/>
      <c r="CC8" s="617"/>
      <c r="CD8" s="618" t="s">
        <v>3719</v>
      </c>
      <c r="CE8" s="620" t="s">
        <v>2036</v>
      </c>
      <c r="CF8" s="619"/>
      <c r="CG8" s="621"/>
      <c r="CH8" s="1288"/>
      <c r="CI8" s="1291"/>
      <c r="CJ8" s="1281"/>
      <c r="CK8" s="1281"/>
      <c r="CL8" s="1281"/>
      <c r="CM8" s="1281"/>
      <c r="CN8" s="1281"/>
      <c r="CO8" s="1281"/>
      <c r="CP8" s="1281"/>
    </row>
    <row r="9" spans="1:94" ht="18" x14ac:dyDescent="0.25">
      <c r="B9" s="1583">
        <v>6</v>
      </c>
      <c r="C9" s="1523" t="s">
        <v>228</v>
      </c>
      <c r="D9" s="619" t="s">
        <v>1659</v>
      </c>
      <c r="E9" s="620"/>
      <c r="F9" s="617" t="s">
        <v>1748</v>
      </c>
      <c r="G9" s="620"/>
      <c r="H9" s="620"/>
      <c r="I9" s="620"/>
      <c r="J9" s="620"/>
      <c r="K9" s="620"/>
      <c r="L9" s="620"/>
      <c r="M9" s="620"/>
      <c r="N9" s="620"/>
      <c r="O9" s="620"/>
      <c r="P9" s="620"/>
      <c r="Q9" s="620">
        <v>1</v>
      </c>
      <c r="R9" s="620"/>
      <c r="S9" s="620"/>
      <c r="T9" s="620"/>
      <c r="U9" s="620"/>
      <c r="V9" s="620"/>
      <c r="W9" s="620"/>
      <c r="X9" s="620"/>
      <c r="Y9" s="617" t="s">
        <v>1655</v>
      </c>
      <c r="Z9" s="617" t="s">
        <v>2280</v>
      </c>
      <c r="AA9" s="617" t="s">
        <v>2281</v>
      </c>
      <c r="AB9" s="617"/>
      <c r="AC9" s="620"/>
      <c r="AD9" s="620"/>
      <c r="AE9" s="620"/>
      <c r="AF9" s="617" t="s">
        <v>1656</v>
      </c>
      <c r="AG9" s="620"/>
      <c r="AH9" s="620"/>
      <c r="AI9" s="620"/>
      <c r="AJ9" s="620"/>
      <c r="AK9" s="620"/>
      <c r="AL9" s="620"/>
      <c r="AM9" s="620"/>
      <c r="AN9" s="617" t="s">
        <v>1992</v>
      </c>
      <c r="AO9" s="941" t="s">
        <v>2515</v>
      </c>
      <c r="AP9" s="941" t="s">
        <v>3687</v>
      </c>
      <c r="AQ9" s="941" t="s">
        <v>3688</v>
      </c>
      <c r="AR9" s="941" t="s">
        <v>3689</v>
      </c>
      <c r="AS9" s="941" t="s">
        <v>3690</v>
      </c>
      <c r="AT9" s="617"/>
      <c r="AU9" s="617"/>
      <c r="AV9" s="617"/>
      <c r="AW9" s="617"/>
      <c r="AX9" s="617"/>
      <c r="AY9" s="617"/>
      <c r="AZ9" s="617"/>
      <c r="BA9" s="617"/>
      <c r="BB9" s="617"/>
      <c r="BC9" s="617"/>
      <c r="BD9" s="617"/>
      <c r="BE9" s="617"/>
      <c r="BF9" s="617"/>
      <c r="BG9" s="617"/>
      <c r="BH9" s="617"/>
      <c r="BI9" s="617"/>
      <c r="BJ9" s="617"/>
      <c r="BK9" s="617"/>
      <c r="BL9" s="1542"/>
      <c r="BM9" s="617"/>
      <c r="BN9" s="617"/>
      <c r="BO9" s="617"/>
      <c r="BP9" s="1393"/>
      <c r="BQ9" s="2340"/>
      <c r="BR9" s="617"/>
      <c r="BS9" s="617"/>
      <c r="BT9" s="617"/>
      <c r="BU9" s="617"/>
      <c r="BV9" s="617"/>
      <c r="BW9" s="617"/>
      <c r="BX9" s="617"/>
      <c r="BY9" s="617"/>
      <c r="BZ9" s="617"/>
      <c r="CA9" s="617"/>
      <c r="CB9" s="617"/>
      <c r="CC9" s="617"/>
      <c r="CD9" s="618" t="s">
        <v>3720</v>
      </c>
      <c r="CE9" s="620" t="s">
        <v>2036</v>
      </c>
      <c r="CF9" s="619"/>
      <c r="CG9" s="621"/>
      <c r="CH9" s="1288"/>
      <c r="CI9" s="1291"/>
      <c r="CJ9" s="1281"/>
      <c r="CK9" s="1281"/>
      <c r="CL9" s="1281"/>
      <c r="CM9" s="1281"/>
      <c r="CN9" s="1281"/>
      <c r="CO9" s="1281"/>
      <c r="CP9" s="1281"/>
    </row>
    <row r="10" spans="1:94" ht="18" customHeight="1" x14ac:dyDescent="0.25">
      <c r="B10" s="1583">
        <v>7</v>
      </c>
      <c r="C10" s="1523" t="s">
        <v>229</v>
      </c>
      <c r="D10" s="619" t="s">
        <v>2207</v>
      </c>
      <c r="E10" s="620" t="s">
        <v>2205</v>
      </c>
      <c r="F10" s="617" t="s">
        <v>1749</v>
      </c>
      <c r="G10" s="620"/>
      <c r="H10" s="620"/>
      <c r="I10" s="620"/>
      <c r="J10" s="620"/>
      <c r="K10" s="620"/>
      <c r="L10" s="620"/>
      <c r="M10" s="620"/>
      <c r="N10" s="620"/>
      <c r="O10" s="620"/>
      <c r="P10" s="620"/>
      <c r="Q10" s="620">
        <v>1</v>
      </c>
      <c r="R10" s="620"/>
      <c r="S10" s="620"/>
      <c r="T10" s="620"/>
      <c r="U10" s="620"/>
      <c r="V10" s="620"/>
      <c r="W10" s="620"/>
      <c r="X10" s="620"/>
      <c r="Y10" s="617" t="s">
        <v>1655</v>
      </c>
      <c r="Z10" s="620"/>
      <c r="AA10" s="620"/>
      <c r="AB10" s="620"/>
      <c r="AC10" s="620"/>
      <c r="AD10" s="620"/>
      <c r="AE10" s="620"/>
      <c r="AF10" s="617" t="s">
        <v>1656</v>
      </c>
      <c r="AG10" s="620"/>
      <c r="AH10" s="620"/>
      <c r="AI10" s="620"/>
      <c r="AJ10" s="620"/>
      <c r="AK10" s="620"/>
      <c r="AL10" s="620"/>
      <c r="AM10" s="620" t="s">
        <v>2209</v>
      </c>
      <c r="AN10" s="620" t="s">
        <v>2211</v>
      </c>
      <c r="AO10" s="941" t="s">
        <v>2515</v>
      </c>
      <c r="AP10" s="941" t="s">
        <v>3687</v>
      </c>
      <c r="AQ10" s="941" t="s">
        <v>3688</v>
      </c>
      <c r="AR10" s="941" t="s">
        <v>3689</v>
      </c>
      <c r="AS10" s="941" t="s">
        <v>3690</v>
      </c>
      <c r="AT10" s="617"/>
      <c r="AU10" s="617"/>
      <c r="AV10" s="617"/>
      <c r="AW10" s="617"/>
      <c r="AX10" s="617"/>
      <c r="AY10" s="617"/>
      <c r="AZ10" s="617"/>
      <c r="BA10" s="617"/>
      <c r="BB10" s="617"/>
      <c r="BC10" s="617"/>
      <c r="BD10" s="617"/>
      <c r="BE10" s="617"/>
      <c r="BF10" s="617"/>
      <c r="BG10" s="617"/>
      <c r="BH10" s="617"/>
      <c r="BI10" s="617"/>
      <c r="BJ10" s="617"/>
      <c r="BK10" s="617"/>
      <c r="BL10" s="1542"/>
      <c r="BM10" s="617"/>
      <c r="BN10" s="617"/>
      <c r="BO10" s="617"/>
      <c r="BP10" s="1393"/>
      <c r="BQ10" s="2340"/>
      <c r="BR10" s="617"/>
      <c r="BS10" s="617"/>
      <c r="BT10" s="617"/>
      <c r="BU10" s="617"/>
      <c r="BV10" s="617"/>
      <c r="BW10" s="617"/>
      <c r="BX10" s="617"/>
      <c r="BY10" s="617"/>
      <c r="BZ10" s="617"/>
      <c r="CA10" s="617"/>
      <c r="CB10" s="617"/>
      <c r="CC10" s="617"/>
      <c r="CD10" s="618" t="s">
        <v>3721</v>
      </c>
      <c r="CE10" s="620" t="s">
        <v>2036</v>
      </c>
      <c r="CF10" s="619"/>
      <c r="CG10" s="622"/>
      <c r="CH10" s="1288"/>
      <c r="CI10" s="1281"/>
      <c r="CJ10" s="1281"/>
      <c r="CK10" s="1281"/>
      <c r="CL10" s="1281"/>
      <c r="CM10" s="1281"/>
      <c r="CN10" s="1281"/>
      <c r="CO10" s="1281"/>
      <c r="CP10" s="1281"/>
    </row>
    <row r="11" spans="1:94" ht="18" customHeight="1" x14ac:dyDescent="0.25">
      <c r="B11" s="1583">
        <v>8</v>
      </c>
      <c r="C11" s="1523" t="s">
        <v>230</v>
      </c>
      <c r="D11" s="619" t="s">
        <v>2961</v>
      </c>
      <c r="E11" s="620" t="s">
        <v>2206</v>
      </c>
      <c r="F11" s="617" t="s">
        <v>1749</v>
      </c>
      <c r="G11" s="620"/>
      <c r="H11" s="620"/>
      <c r="I11" s="620"/>
      <c r="J11" s="620"/>
      <c r="K11" s="620"/>
      <c r="L11" s="620"/>
      <c r="M11" s="620"/>
      <c r="N11" s="620"/>
      <c r="O11" s="620"/>
      <c r="P11" s="620"/>
      <c r="Q11" s="620">
        <v>1</v>
      </c>
      <c r="R11" s="620"/>
      <c r="S11" s="620"/>
      <c r="T11" s="620"/>
      <c r="U11" s="620"/>
      <c r="V11" s="620"/>
      <c r="W11" s="620"/>
      <c r="X11" s="620"/>
      <c r="Y11" s="617" t="s">
        <v>1655</v>
      </c>
      <c r="Z11" s="620"/>
      <c r="AA11" s="620"/>
      <c r="AB11" s="620"/>
      <c r="AC11" s="620"/>
      <c r="AD11" s="620"/>
      <c r="AE11" s="620"/>
      <c r="AF11" s="617" t="s">
        <v>1656</v>
      </c>
      <c r="AG11" s="620"/>
      <c r="AH11" s="620"/>
      <c r="AI11" s="620"/>
      <c r="AJ11" s="620"/>
      <c r="AK11" s="620"/>
      <c r="AL11" s="620"/>
      <c r="AM11" s="620" t="s">
        <v>2210</v>
      </c>
      <c r="AN11" s="620" t="s">
        <v>2212</v>
      </c>
      <c r="AO11" s="941" t="s">
        <v>2515</v>
      </c>
      <c r="AP11" s="941" t="s">
        <v>3687</v>
      </c>
      <c r="AQ11" s="941" t="s">
        <v>3688</v>
      </c>
      <c r="AR11" s="941" t="s">
        <v>3689</v>
      </c>
      <c r="AS11" s="941" t="s">
        <v>3690</v>
      </c>
      <c r="AT11" s="617"/>
      <c r="AU11" s="617"/>
      <c r="AV11" s="617"/>
      <c r="AW11" s="617"/>
      <c r="AX11" s="617"/>
      <c r="AY11" s="617"/>
      <c r="AZ11" s="617"/>
      <c r="BA11" s="617"/>
      <c r="BB11" s="617"/>
      <c r="BC11" s="617"/>
      <c r="BD11" s="617"/>
      <c r="BE11" s="617"/>
      <c r="BF11" s="617"/>
      <c r="BG11" s="617"/>
      <c r="BH11" s="617"/>
      <c r="BI11" s="617"/>
      <c r="BJ11" s="617"/>
      <c r="BK11" s="617"/>
      <c r="BL11" s="1542"/>
      <c r="BM11" s="617"/>
      <c r="BN11" s="617"/>
      <c r="BO11" s="617"/>
      <c r="BP11" s="1393"/>
      <c r="BQ11" s="2340"/>
      <c r="BR11" s="617"/>
      <c r="BS11" s="617"/>
      <c r="BT11" s="617"/>
      <c r="BU11" s="617"/>
      <c r="BV11" s="617"/>
      <c r="BW11" s="617"/>
      <c r="BX11" s="617"/>
      <c r="BY11" s="617"/>
      <c r="BZ11" s="617"/>
      <c r="CA11" s="617"/>
      <c r="CB11" s="617"/>
      <c r="CC11" s="617"/>
      <c r="CD11" s="618" t="s">
        <v>3722</v>
      </c>
      <c r="CE11" s="620" t="s">
        <v>2036</v>
      </c>
      <c r="CF11" s="619"/>
      <c r="CG11" s="622"/>
      <c r="CH11" s="1288"/>
      <c r="CI11" s="1281"/>
      <c r="CJ11" s="1281"/>
      <c r="CK11" s="1281"/>
      <c r="CL11" s="1281"/>
      <c r="CM11" s="1281"/>
      <c r="CN11" s="1281"/>
      <c r="CO11" s="1281"/>
      <c r="CP11" s="1281"/>
    </row>
    <row r="12" spans="1:94" ht="18" x14ac:dyDescent="0.25">
      <c r="B12" s="1583">
        <v>9</v>
      </c>
      <c r="C12" s="1523" t="s">
        <v>231</v>
      </c>
      <c r="D12" s="619" t="s">
        <v>1660</v>
      </c>
      <c r="E12" s="620"/>
      <c r="F12" s="620"/>
      <c r="G12" s="617" t="s">
        <v>1750</v>
      </c>
      <c r="H12" s="620"/>
      <c r="I12" s="620"/>
      <c r="J12" s="620"/>
      <c r="K12" s="620"/>
      <c r="L12" s="620"/>
      <c r="M12" s="620"/>
      <c r="N12" s="620"/>
      <c r="O12" s="620"/>
      <c r="P12" s="620"/>
      <c r="Q12" s="620">
        <v>1</v>
      </c>
      <c r="R12" s="620"/>
      <c r="S12" s="620"/>
      <c r="T12" s="620"/>
      <c r="U12" s="620"/>
      <c r="V12" s="620"/>
      <c r="W12" s="620"/>
      <c r="X12" s="620"/>
      <c r="Y12" s="617" t="s">
        <v>1655</v>
      </c>
      <c r="Z12" s="620"/>
      <c r="AA12" s="620"/>
      <c r="AB12" s="620"/>
      <c r="AC12" s="620"/>
      <c r="AD12" s="620"/>
      <c r="AE12" s="620"/>
      <c r="AF12" s="617" t="s">
        <v>1656</v>
      </c>
      <c r="AG12" s="620"/>
      <c r="AH12" s="620"/>
      <c r="AI12" s="620"/>
      <c r="AJ12" s="620"/>
      <c r="AK12" s="617" t="s">
        <v>1753</v>
      </c>
      <c r="AL12" s="617"/>
      <c r="AM12" s="617"/>
      <c r="AN12" s="617" t="s">
        <v>1994</v>
      </c>
      <c r="AO12" s="941" t="s">
        <v>2515</v>
      </c>
      <c r="AP12" s="941" t="s">
        <v>3687</v>
      </c>
      <c r="AQ12" s="941" t="s">
        <v>3688</v>
      </c>
      <c r="AR12" s="941" t="s">
        <v>3689</v>
      </c>
      <c r="AS12" s="941" t="s">
        <v>3690</v>
      </c>
      <c r="AT12" s="617"/>
      <c r="AU12" s="617"/>
      <c r="AV12" s="617"/>
      <c r="AW12" s="617"/>
      <c r="AX12" s="617"/>
      <c r="AY12" s="617"/>
      <c r="AZ12" s="617"/>
      <c r="BA12" s="617"/>
      <c r="BB12" s="617"/>
      <c r="BC12" s="617"/>
      <c r="BD12" s="617"/>
      <c r="BE12" s="617"/>
      <c r="BF12" s="617"/>
      <c r="BG12" s="617"/>
      <c r="BH12" s="617"/>
      <c r="BI12" s="617"/>
      <c r="BJ12" s="617"/>
      <c r="BK12" s="617"/>
      <c r="BL12" s="1542"/>
      <c r="BM12" s="617"/>
      <c r="BN12" s="617"/>
      <c r="BO12" s="617"/>
      <c r="BP12" s="1393"/>
      <c r="BQ12" s="2340"/>
      <c r="BR12" s="617"/>
      <c r="BS12" s="617"/>
      <c r="BT12" s="617"/>
      <c r="BU12" s="617"/>
      <c r="BV12" s="617"/>
      <c r="BW12" s="617"/>
      <c r="BX12" s="617"/>
      <c r="BY12" s="617"/>
      <c r="BZ12" s="617"/>
      <c r="CA12" s="617"/>
      <c r="CB12" s="617"/>
      <c r="CC12" s="617"/>
      <c r="CD12" s="618" t="s">
        <v>3723</v>
      </c>
      <c r="CE12" s="620" t="s">
        <v>2036</v>
      </c>
      <c r="CF12" s="619"/>
      <c r="CG12" s="621"/>
      <c r="CH12" s="1288"/>
      <c r="CI12" s="1281"/>
      <c r="CJ12" s="1281"/>
      <c r="CK12" s="1281"/>
      <c r="CL12" s="1281"/>
      <c r="CM12" s="1281"/>
      <c r="CN12" s="1281"/>
      <c r="CO12" s="1281"/>
      <c r="CP12" s="1281"/>
    </row>
    <row r="13" spans="1:94" ht="18" x14ac:dyDescent="0.25">
      <c r="B13" s="1583">
        <v>10</v>
      </c>
      <c r="C13" s="1523" t="s">
        <v>232</v>
      </c>
      <c r="D13" s="619" t="s">
        <v>288</v>
      </c>
      <c r="E13" s="620"/>
      <c r="F13" s="620"/>
      <c r="G13" s="620"/>
      <c r="H13" s="620"/>
      <c r="I13" s="620" t="s">
        <v>1661</v>
      </c>
      <c r="J13" s="620"/>
      <c r="K13" s="620"/>
      <c r="L13" s="620"/>
      <c r="M13" s="620"/>
      <c r="N13" s="620"/>
      <c r="O13" s="620" t="s">
        <v>1662</v>
      </c>
      <c r="P13" s="620"/>
      <c r="Q13" s="620">
        <v>-1</v>
      </c>
      <c r="R13" s="620"/>
      <c r="S13" s="620"/>
      <c r="T13" s="620"/>
      <c r="U13" s="620"/>
      <c r="V13" s="620"/>
      <c r="W13" s="620"/>
      <c r="X13" s="620"/>
      <c r="Y13" s="617" t="s">
        <v>2183</v>
      </c>
      <c r="Z13" s="620"/>
      <c r="AA13" s="620"/>
      <c r="AB13" s="620"/>
      <c r="AC13" s="620"/>
      <c r="AD13" s="620" t="s">
        <v>1663</v>
      </c>
      <c r="AE13" s="620"/>
      <c r="AF13" s="620"/>
      <c r="AG13" s="620"/>
      <c r="AH13" s="620"/>
      <c r="AI13" s="620" t="s">
        <v>1664</v>
      </c>
      <c r="AJ13" s="620"/>
      <c r="AK13" s="620"/>
      <c r="AL13" s="620"/>
      <c r="AM13" s="620"/>
      <c r="AN13" s="620" t="s">
        <v>2008</v>
      </c>
      <c r="AO13" s="942" t="s">
        <v>2516</v>
      </c>
      <c r="AP13" s="941" t="s">
        <v>3691</v>
      </c>
      <c r="AQ13" s="941" t="s">
        <v>3692</v>
      </c>
      <c r="AR13" s="941" t="s">
        <v>3693</v>
      </c>
      <c r="AS13" s="941" t="s">
        <v>3694</v>
      </c>
      <c r="AT13" s="617"/>
      <c r="AU13" s="617"/>
      <c r="AV13" s="617"/>
      <c r="AW13" s="617"/>
      <c r="AX13" s="617"/>
      <c r="AY13" s="617"/>
      <c r="AZ13" s="617"/>
      <c r="BA13" s="617"/>
      <c r="BB13" s="617"/>
      <c r="BC13" s="617"/>
      <c r="BD13" s="617"/>
      <c r="BE13" s="617"/>
      <c r="BF13" s="617"/>
      <c r="BG13" s="617"/>
      <c r="BH13" s="617"/>
      <c r="BI13" s="617"/>
      <c r="BJ13" s="617"/>
      <c r="BK13" s="617"/>
      <c r="BL13" s="1542"/>
      <c r="BM13" s="617"/>
      <c r="BN13" s="617"/>
      <c r="BO13" s="617"/>
      <c r="BP13" s="1393"/>
      <c r="BQ13" s="2340"/>
      <c r="BR13" s="617"/>
      <c r="BS13" s="617"/>
      <c r="BT13" s="617"/>
      <c r="BU13" s="617"/>
      <c r="BV13" s="617"/>
      <c r="BW13" s="617"/>
      <c r="BX13" s="617"/>
      <c r="BY13" s="617"/>
      <c r="BZ13" s="617"/>
      <c r="CA13" s="617"/>
      <c r="CB13" s="617"/>
      <c r="CC13" s="617"/>
      <c r="CD13" s="618" t="s">
        <v>3086</v>
      </c>
      <c r="CE13" s="620" t="s">
        <v>2036</v>
      </c>
      <c r="CF13" s="619"/>
      <c r="CG13" s="621"/>
      <c r="CH13" s="1288"/>
      <c r="CI13" s="1281"/>
      <c r="CJ13" s="1281"/>
      <c r="CK13" s="1281"/>
      <c r="CL13" s="1281"/>
      <c r="CM13" s="1281"/>
      <c r="CN13" s="1281"/>
      <c r="CO13" s="1281"/>
      <c r="CP13" s="1281"/>
    </row>
    <row r="14" spans="1:94" ht="18" x14ac:dyDescent="0.25">
      <c r="B14" s="1583">
        <v>11</v>
      </c>
      <c r="C14" s="1523" t="s">
        <v>233</v>
      </c>
      <c r="D14" s="619" t="s">
        <v>3079</v>
      </c>
      <c r="E14" s="620"/>
      <c r="F14" s="620"/>
      <c r="G14" s="620"/>
      <c r="H14" s="620"/>
      <c r="I14" s="620" t="s">
        <v>1661</v>
      </c>
      <c r="J14" s="620"/>
      <c r="K14" s="620"/>
      <c r="L14" s="620"/>
      <c r="M14" s="620"/>
      <c r="N14" s="620"/>
      <c r="O14" s="620"/>
      <c r="P14" s="620" t="s">
        <v>1662</v>
      </c>
      <c r="Q14" s="620">
        <v>-1</v>
      </c>
      <c r="R14" s="620"/>
      <c r="S14" s="620"/>
      <c r="T14" s="620"/>
      <c r="U14" s="620"/>
      <c r="V14" s="620"/>
      <c r="W14" s="620"/>
      <c r="X14" s="620"/>
      <c r="Y14" s="617" t="s">
        <v>2183</v>
      </c>
      <c r="Z14" s="620"/>
      <c r="AA14" s="620"/>
      <c r="AB14" s="620"/>
      <c r="AC14" s="620"/>
      <c r="AD14" s="620" t="s">
        <v>1663</v>
      </c>
      <c r="AE14" s="620"/>
      <c r="AF14" s="620"/>
      <c r="AG14" s="620"/>
      <c r="AH14" s="620"/>
      <c r="AI14" s="620" t="s">
        <v>1664</v>
      </c>
      <c r="AJ14" s="620"/>
      <c r="AK14" s="620"/>
      <c r="AL14" s="620"/>
      <c r="AM14" s="620"/>
      <c r="AN14" s="620" t="s">
        <v>2008</v>
      </c>
      <c r="AO14" s="942" t="s">
        <v>2516</v>
      </c>
      <c r="AP14" s="941" t="s">
        <v>3691</v>
      </c>
      <c r="AQ14" s="941" t="s">
        <v>3692</v>
      </c>
      <c r="AR14" s="941" t="s">
        <v>3693</v>
      </c>
      <c r="AS14" s="941" t="s">
        <v>3694</v>
      </c>
      <c r="AT14" s="617"/>
      <c r="AU14" s="617"/>
      <c r="AV14" s="617"/>
      <c r="AW14" s="617"/>
      <c r="AX14" s="617"/>
      <c r="AY14" s="617"/>
      <c r="AZ14" s="617"/>
      <c r="BA14" s="617"/>
      <c r="BB14" s="617"/>
      <c r="BC14" s="617"/>
      <c r="BD14" s="617"/>
      <c r="BE14" s="617"/>
      <c r="BF14" s="617"/>
      <c r="BG14" s="617"/>
      <c r="BH14" s="617"/>
      <c r="BI14" s="617"/>
      <c r="BJ14" s="617"/>
      <c r="BK14" s="617"/>
      <c r="BL14" s="1542"/>
      <c r="BM14" s="617"/>
      <c r="BN14" s="617"/>
      <c r="BO14" s="617"/>
      <c r="BP14" s="1393"/>
      <c r="BQ14" s="2340"/>
      <c r="BR14" s="617"/>
      <c r="BS14" s="617"/>
      <c r="BT14" s="617"/>
      <c r="BU14" s="617"/>
      <c r="BV14" s="617"/>
      <c r="BW14" s="617"/>
      <c r="BX14" s="617"/>
      <c r="BY14" s="617"/>
      <c r="BZ14" s="617"/>
      <c r="CA14" s="617"/>
      <c r="CB14" s="617"/>
      <c r="CC14" s="617"/>
      <c r="CD14" s="618" t="s">
        <v>3087</v>
      </c>
      <c r="CE14" s="620" t="s">
        <v>2036</v>
      </c>
      <c r="CF14" s="619"/>
      <c r="CG14" s="621"/>
      <c r="CH14" s="1288"/>
      <c r="CI14" s="1281"/>
      <c r="CJ14" s="1281"/>
      <c r="CK14" s="1281"/>
      <c r="CL14" s="1281"/>
      <c r="CM14" s="1281"/>
      <c r="CN14" s="1281"/>
      <c r="CO14" s="1281"/>
      <c r="CP14" s="1281"/>
    </row>
    <row r="15" spans="1:94" ht="18" x14ac:dyDescent="0.25">
      <c r="B15" s="1584">
        <v>12</v>
      </c>
      <c r="C15" s="1524" t="s">
        <v>234</v>
      </c>
      <c r="D15" s="626" t="s">
        <v>2272</v>
      </c>
      <c r="E15" s="623"/>
      <c r="F15" s="623"/>
      <c r="G15" s="624" t="s">
        <v>1666</v>
      </c>
      <c r="H15" s="623"/>
      <c r="I15" s="623"/>
      <c r="J15" s="623"/>
      <c r="K15" s="623"/>
      <c r="L15" s="623"/>
      <c r="M15" s="623"/>
      <c r="N15" s="623"/>
      <c r="O15" s="623"/>
      <c r="P15" s="623"/>
      <c r="Q15" s="623"/>
      <c r="R15" s="623"/>
      <c r="S15" s="623">
        <v>1</v>
      </c>
      <c r="T15" s="623"/>
      <c r="U15" s="623"/>
      <c r="V15" s="623"/>
      <c r="W15" s="623"/>
      <c r="X15" s="623"/>
      <c r="Y15" s="623" t="s">
        <v>1655</v>
      </c>
      <c r="Z15" s="624" t="s">
        <v>2282</v>
      </c>
      <c r="AA15" s="624"/>
      <c r="AB15" s="624" t="s">
        <v>2283</v>
      </c>
      <c r="AC15" s="623"/>
      <c r="AD15" s="623"/>
      <c r="AE15" s="623"/>
      <c r="AF15" s="624" t="s">
        <v>1656</v>
      </c>
      <c r="AG15" s="623"/>
      <c r="AH15" s="623"/>
      <c r="AI15" s="623"/>
      <c r="AJ15" s="623"/>
      <c r="AK15" s="623"/>
      <c r="AL15" s="623"/>
      <c r="AM15" s="623"/>
      <c r="AN15" s="624" t="s">
        <v>1993</v>
      </c>
      <c r="AO15" s="943" t="s">
        <v>2515</v>
      </c>
      <c r="AP15" s="943" t="s">
        <v>3687</v>
      </c>
      <c r="AQ15" s="943" t="s">
        <v>3688</v>
      </c>
      <c r="AR15" s="943" t="s">
        <v>3689</v>
      </c>
      <c r="AS15" s="943" t="s">
        <v>3690</v>
      </c>
      <c r="AT15" s="624"/>
      <c r="AU15" s="624"/>
      <c r="AV15" s="624"/>
      <c r="AW15" s="624"/>
      <c r="AX15" s="624"/>
      <c r="AY15" s="624"/>
      <c r="AZ15" s="624"/>
      <c r="BA15" s="624"/>
      <c r="BB15" s="624"/>
      <c r="BC15" s="624"/>
      <c r="BD15" s="624"/>
      <c r="BE15" s="624"/>
      <c r="BF15" s="624"/>
      <c r="BG15" s="624"/>
      <c r="BH15" s="624"/>
      <c r="BI15" s="624"/>
      <c r="BJ15" s="624"/>
      <c r="BK15" s="624"/>
      <c r="BL15" s="1543"/>
      <c r="BM15" s="624"/>
      <c r="BN15" s="624"/>
      <c r="BO15" s="624"/>
      <c r="BP15" s="1394"/>
      <c r="BQ15" s="2341"/>
      <c r="BR15" s="624"/>
      <c r="BS15" s="624"/>
      <c r="BT15" s="624"/>
      <c r="BU15" s="624"/>
      <c r="BV15" s="624"/>
      <c r="BW15" s="624"/>
      <c r="BX15" s="624"/>
      <c r="BY15" s="624"/>
      <c r="BZ15" s="624"/>
      <c r="CA15" s="624"/>
      <c r="CB15" s="624"/>
      <c r="CC15" s="624"/>
      <c r="CD15" s="625" t="s">
        <v>3724</v>
      </c>
      <c r="CE15" s="623" t="s">
        <v>2036</v>
      </c>
      <c r="CF15" s="626"/>
      <c r="CG15" s="627"/>
      <c r="CH15" s="1288"/>
      <c r="CI15" s="1281"/>
      <c r="CJ15" s="1281"/>
      <c r="CK15" s="1281"/>
      <c r="CL15" s="1281"/>
      <c r="CM15" s="1281"/>
      <c r="CN15" s="1281"/>
      <c r="CO15" s="1281"/>
      <c r="CP15" s="1281"/>
    </row>
    <row r="16" spans="1:94" ht="18" x14ac:dyDescent="0.25">
      <c r="B16" s="1584">
        <v>13</v>
      </c>
      <c r="C16" s="1524" t="s">
        <v>235</v>
      </c>
      <c r="D16" s="626" t="s">
        <v>1665</v>
      </c>
      <c r="E16" s="623"/>
      <c r="F16" s="623"/>
      <c r="G16" s="624" t="s">
        <v>1666</v>
      </c>
      <c r="H16" s="623"/>
      <c r="I16" s="623"/>
      <c r="J16" s="623"/>
      <c r="K16" s="623"/>
      <c r="L16" s="623"/>
      <c r="M16" s="623"/>
      <c r="N16" s="623"/>
      <c r="O16" s="623"/>
      <c r="P16" s="623"/>
      <c r="Q16" s="623"/>
      <c r="R16" s="623"/>
      <c r="S16" s="623">
        <v>1</v>
      </c>
      <c r="T16" s="623"/>
      <c r="U16" s="623"/>
      <c r="V16" s="623"/>
      <c r="W16" s="623"/>
      <c r="X16" s="623"/>
      <c r="Y16" s="623" t="s">
        <v>1655</v>
      </c>
      <c r="Z16" s="624" t="s">
        <v>2284</v>
      </c>
      <c r="AA16" s="624" t="s">
        <v>2285</v>
      </c>
      <c r="AB16" s="624"/>
      <c r="AC16" s="623"/>
      <c r="AD16" s="623"/>
      <c r="AE16" s="623"/>
      <c r="AF16" s="624" t="s">
        <v>1656</v>
      </c>
      <c r="AG16" s="623"/>
      <c r="AH16" s="623"/>
      <c r="AI16" s="623"/>
      <c r="AJ16" s="623"/>
      <c r="AK16" s="623"/>
      <c r="AL16" s="623"/>
      <c r="AM16" s="623"/>
      <c r="AN16" s="624" t="s">
        <v>1993</v>
      </c>
      <c r="AO16" s="943" t="s">
        <v>2515</v>
      </c>
      <c r="AP16" s="943" t="s">
        <v>3687</v>
      </c>
      <c r="AQ16" s="943" t="s">
        <v>3688</v>
      </c>
      <c r="AR16" s="943" t="s">
        <v>3689</v>
      </c>
      <c r="AS16" s="943" t="s">
        <v>3690</v>
      </c>
      <c r="AT16" s="624"/>
      <c r="AU16" s="624"/>
      <c r="AV16" s="624"/>
      <c r="AW16" s="624"/>
      <c r="AX16" s="624"/>
      <c r="AY16" s="624"/>
      <c r="AZ16" s="624"/>
      <c r="BA16" s="624"/>
      <c r="BB16" s="624"/>
      <c r="BC16" s="624"/>
      <c r="BD16" s="624"/>
      <c r="BE16" s="624"/>
      <c r="BF16" s="624"/>
      <c r="BG16" s="624"/>
      <c r="BH16" s="624"/>
      <c r="BI16" s="624"/>
      <c r="BJ16" s="624"/>
      <c r="BK16" s="624"/>
      <c r="BL16" s="1543"/>
      <c r="BM16" s="624"/>
      <c r="BN16" s="624"/>
      <c r="BO16" s="624"/>
      <c r="BP16" s="1394"/>
      <c r="BQ16" s="2341"/>
      <c r="BR16" s="624"/>
      <c r="BS16" s="624"/>
      <c r="BT16" s="624"/>
      <c r="BU16" s="624"/>
      <c r="BV16" s="624"/>
      <c r="BW16" s="624"/>
      <c r="BX16" s="624"/>
      <c r="BY16" s="624"/>
      <c r="BZ16" s="624"/>
      <c r="CA16" s="624"/>
      <c r="CB16" s="624"/>
      <c r="CC16" s="624"/>
      <c r="CD16" s="625" t="s">
        <v>3725</v>
      </c>
      <c r="CE16" s="623" t="s">
        <v>2036</v>
      </c>
      <c r="CF16" s="626"/>
      <c r="CG16" s="627"/>
      <c r="CH16" s="1288"/>
      <c r="CI16" s="1281"/>
      <c r="CJ16" s="1281"/>
      <c r="CK16" s="1281"/>
      <c r="CL16" s="1281"/>
      <c r="CM16" s="1281"/>
      <c r="CN16" s="1281"/>
      <c r="CO16" s="1281"/>
      <c r="CP16" s="1281"/>
    </row>
    <row r="17" spans="2:94" ht="18" x14ac:dyDescent="0.25">
      <c r="B17" s="1584">
        <v>14</v>
      </c>
      <c r="C17" s="1524" t="s">
        <v>236</v>
      </c>
      <c r="D17" s="626" t="s">
        <v>289</v>
      </c>
      <c r="E17" s="623"/>
      <c r="F17" s="623"/>
      <c r="G17" s="623"/>
      <c r="H17" s="623"/>
      <c r="I17" s="623" t="s">
        <v>1661</v>
      </c>
      <c r="J17" s="623"/>
      <c r="K17" s="623"/>
      <c r="L17" s="623"/>
      <c r="M17" s="623"/>
      <c r="N17" s="623"/>
      <c r="O17" s="623" t="s">
        <v>1662</v>
      </c>
      <c r="P17" s="623"/>
      <c r="Q17" s="623"/>
      <c r="R17" s="623"/>
      <c r="S17" s="623">
        <v>-1</v>
      </c>
      <c r="T17" s="623"/>
      <c r="U17" s="623"/>
      <c r="V17" s="623"/>
      <c r="W17" s="623"/>
      <c r="X17" s="623"/>
      <c r="Y17" s="623" t="s">
        <v>2183</v>
      </c>
      <c r="Z17" s="623"/>
      <c r="AA17" s="623"/>
      <c r="AB17" s="623"/>
      <c r="AC17" s="623"/>
      <c r="AD17" s="623" t="s">
        <v>1663</v>
      </c>
      <c r="AE17" s="623"/>
      <c r="AF17" s="623"/>
      <c r="AG17" s="623"/>
      <c r="AH17" s="623"/>
      <c r="AI17" s="623" t="s">
        <v>1664</v>
      </c>
      <c r="AJ17" s="623"/>
      <c r="AK17" s="623"/>
      <c r="AL17" s="623"/>
      <c r="AM17" s="623"/>
      <c r="AN17" s="623" t="s">
        <v>2008</v>
      </c>
      <c r="AO17" s="944" t="s">
        <v>2516</v>
      </c>
      <c r="AP17" s="943" t="s">
        <v>3691</v>
      </c>
      <c r="AQ17" s="943" t="s">
        <v>3692</v>
      </c>
      <c r="AR17" s="943" t="s">
        <v>3693</v>
      </c>
      <c r="AS17" s="943" t="s">
        <v>3694</v>
      </c>
      <c r="AT17" s="624"/>
      <c r="AU17" s="624"/>
      <c r="AV17" s="624"/>
      <c r="AW17" s="624"/>
      <c r="AX17" s="624"/>
      <c r="AY17" s="624"/>
      <c r="AZ17" s="624"/>
      <c r="BA17" s="624"/>
      <c r="BB17" s="624"/>
      <c r="BC17" s="624"/>
      <c r="BD17" s="624"/>
      <c r="BE17" s="624"/>
      <c r="BF17" s="624"/>
      <c r="BG17" s="624"/>
      <c r="BH17" s="624"/>
      <c r="BI17" s="624"/>
      <c r="BJ17" s="624"/>
      <c r="BK17" s="624"/>
      <c r="BL17" s="1543"/>
      <c r="BM17" s="624"/>
      <c r="BN17" s="624"/>
      <c r="BO17" s="624"/>
      <c r="BP17" s="1394"/>
      <c r="BQ17" s="2341"/>
      <c r="BR17" s="624"/>
      <c r="BS17" s="624"/>
      <c r="BT17" s="624"/>
      <c r="BU17" s="624"/>
      <c r="BV17" s="624"/>
      <c r="BW17" s="624"/>
      <c r="BX17" s="624"/>
      <c r="BY17" s="624"/>
      <c r="BZ17" s="624"/>
      <c r="CA17" s="624"/>
      <c r="CB17" s="624"/>
      <c r="CC17" s="624"/>
      <c r="CD17" s="625" t="s">
        <v>3613</v>
      </c>
      <c r="CE17" s="623" t="s">
        <v>2036</v>
      </c>
      <c r="CF17" s="626"/>
      <c r="CG17" s="627"/>
      <c r="CH17" s="1288"/>
      <c r="CI17" s="1281"/>
      <c r="CJ17" s="1281"/>
      <c r="CK17" s="1281"/>
      <c r="CL17" s="1281"/>
      <c r="CM17" s="1281"/>
      <c r="CN17" s="1281"/>
      <c r="CO17" s="1281"/>
      <c r="CP17" s="1281"/>
    </row>
    <row r="18" spans="2:94" ht="18" x14ac:dyDescent="0.25">
      <c r="B18" s="1584">
        <v>15</v>
      </c>
      <c r="C18" s="1524" t="s">
        <v>237</v>
      </c>
      <c r="D18" s="626" t="s">
        <v>3080</v>
      </c>
      <c r="E18" s="623"/>
      <c r="F18" s="623"/>
      <c r="G18" s="623"/>
      <c r="H18" s="623"/>
      <c r="I18" s="623" t="s">
        <v>1661</v>
      </c>
      <c r="J18" s="623"/>
      <c r="K18" s="623"/>
      <c r="L18" s="623"/>
      <c r="M18" s="623"/>
      <c r="N18" s="623"/>
      <c r="O18" s="623"/>
      <c r="P18" s="623" t="s">
        <v>1662</v>
      </c>
      <c r="Q18" s="623"/>
      <c r="R18" s="623"/>
      <c r="S18" s="623">
        <v>-1</v>
      </c>
      <c r="T18" s="623"/>
      <c r="U18" s="623"/>
      <c r="V18" s="623"/>
      <c r="W18" s="623"/>
      <c r="X18" s="623"/>
      <c r="Y18" s="623" t="s">
        <v>2183</v>
      </c>
      <c r="Z18" s="623"/>
      <c r="AA18" s="623"/>
      <c r="AB18" s="623"/>
      <c r="AC18" s="623"/>
      <c r="AD18" s="623" t="s">
        <v>1663</v>
      </c>
      <c r="AE18" s="623"/>
      <c r="AF18" s="623"/>
      <c r="AG18" s="623"/>
      <c r="AH18" s="623"/>
      <c r="AI18" s="623" t="s">
        <v>1664</v>
      </c>
      <c r="AJ18" s="623"/>
      <c r="AK18" s="623"/>
      <c r="AL18" s="623"/>
      <c r="AM18" s="623"/>
      <c r="AN18" s="623" t="s">
        <v>2008</v>
      </c>
      <c r="AO18" s="944" t="s">
        <v>2516</v>
      </c>
      <c r="AP18" s="943" t="s">
        <v>3691</v>
      </c>
      <c r="AQ18" s="943" t="s">
        <v>3692</v>
      </c>
      <c r="AR18" s="943" t="s">
        <v>3693</v>
      </c>
      <c r="AS18" s="943" t="s">
        <v>3694</v>
      </c>
      <c r="AT18" s="624"/>
      <c r="AU18" s="624"/>
      <c r="AV18" s="624"/>
      <c r="AW18" s="624"/>
      <c r="AX18" s="624"/>
      <c r="AY18" s="624"/>
      <c r="AZ18" s="624"/>
      <c r="BA18" s="624"/>
      <c r="BB18" s="624"/>
      <c r="BC18" s="624"/>
      <c r="BD18" s="624"/>
      <c r="BE18" s="624"/>
      <c r="BF18" s="624"/>
      <c r="BG18" s="624"/>
      <c r="BH18" s="624"/>
      <c r="BI18" s="624"/>
      <c r="BJ18" s="624"/>
      <c r="BK18" s="624"/>
      <c r="BL18" s="1543"/>
      <c r="BM18" s="624"/>
      <c r="BN18" s="624"/>
      <c r="BO18" s="624"/>
      <c r="BP18" s="1394"/>
      <c r="BQ18" s="2341"/>
      <c r="BR18" s="624"/>
      <c r="BS18" s="624"/>
      <c r="BT18" s="624"/>
      <c r="BU18" s="624"/>
      <c r="BV18" s="624"/>
      <c r="BW18" s="624"/>
      <c r="BX18" s="624"/>
      <c r="BY18" s="624"/>
      <c r="BZ18" s="624"/>
      <c r="CA18" s="624"/>
      <c r="CB18" s="624"/>
      <c r="CC18" s="624"/>
      <c r="CD18" s="625" t="s">
        <v>3614</v>
      </c>
      <c r="CE18" s="623" t="s">
        <v>2036</v>
      </c>
      <c r="CF18" s="626"/>
      <c r="CG18" s="627"/>
      <c r="CH18" s="1288"/>
      <c r="CI18" s="1281"/>
      <c r="CJ18" s="1281"/>
      <c r="CK18" s="1281"/>
      <c r="CL18" s="1281"/>
      <c r="CM18" s="1281"/>
      <c r="CN18" s="1281"/>
      <c r="CO18" s="1281"/>
      <c r="CP18" s="1281"/>
    </row>
    <row r="19" spans="2:94" ht="18" x14ac:dyDescent="0.25">
      <c r="B19" s="1585">
        <v>16</v>
      </c>
      <c r="C19" s="628" t="s">
        <v>238</v>
      </c>
      <c r="D19" s="629" t="s">
        <v>4422</v>
      </c>
      <c r="E19" s="630"/>
      <c r="F19" s="630"/>
      <c r="G19" s="630"/>
      <c r="H19" s="630"/>
      <c r="I19" s="630"/>
      <c r="J19" s="630"/>
      <c r="K19" s="630"/>
      <c r="L19" s="630"/>
      <c r="M19" s="1395" t="s">
        <v>4436</v>
      </c>
      <c r="N19" s="1395" t="s">
        <v>4437</v>
      </c>
      <c r="O19" s="630"/>
      <c r="P19" s="630"/>
      <c r="Q19" s="630"/>
      <c r="R19" s="630">
        <v>1</v>
      </c>
      <c r="S19" s="630"/>
      <c r="T19" s="630"/>
      <c r="U19" s="630"/>
      <c r="V19" s="630"/>
      <c r="W19" s="630"/>
      <c r="X19" s="630"/>
      <c r="Y19" s="630" t="s">
        <v>1655</v>
      </c>
      <c r="Z19" s="630"/>
      <c r="AA19" s="630"/>
      <c r="AB19" s="630"/>
      <c r="AC19" s="630"/>
      <c r="AD19" s="630"/>
      <c r="AE19" s="630"/>
      <c r="AF19" s="1072" t="s">
        <v>1656</v>
      </c>
      <c r="AG19" s="630"/>
      <c r="AH19" s="630"/>
      <c r="AI19" s="630"/>
      <c r="AJ19" s="630"/>
      <c r="AK19" s="1395" t="s">
        <v>4465</v>
      </c>
      <c r="AL19" s="631"/>
      <c r="AM19" s="631"/>
      <c r="AN19" s="1395" t="s">
        <v>4469</v>
      </c>
      <c r="AO19" s="945" t="s">
        <v>2515</v>
      </c>
      <c r="AP19" s="1395" t="s">
        <v>3687</v>
      </c>
      <c r="AQ19" s="1395" t="s">
        <v>3688</v>
      </c>
      <c r="AR19" s="1395" t="s">
        <v>3689</v>
      </c>
      <c r="AS19" s="1395" t="s">
        <v>3690</v>
      </c>
      <c r="AT19" s="1395"/>
      <c r="AU19" s="631"/>
      <c r="AV19" s="631"/>
      <c r="AW19" s="631"/>
      <c r="AX19" s="631"/>
      <c r="AY19" s="631"/>
      <c r="AZ19" s="631"/>
      <c r="BA19" s="631"/>
      <c r="BB19" s="631"/>
      <c r="BC19" s="631"/>
      <c r="BD19" s="631"/>
      <c r="BE19" s="631"/>
      <c r="BF19" s="631"/>
      <c r="BG19" s="631"/>
      <c r="BH19" s="631"/>
      <c r="BI19" s="631"/>
      <c r="BJ19" s="631"/>
      <c r="BK19" s="631"/>
      <c r="BL19" s="1072"/>
      <c r="BM19" s="631"/>
      <c r="BN19" s="631"/>
      <c r="BO19" s="631"/>
      <c r="BP19" s="1395"/>
      <c r="BQ19" s="2342"/>
      <c r="BR19" s="631"/>
      <c r="BS19" s="631"/>
      <c r="BT19" s="631"/>
      <c r="BU19" s="631"/>
      <c r="BV19" s="631"/>
      <c r="BW19" s="631"/>
      <c r="BX19" s="631"/>
      <c r="BY19" s="631"/>
      <c r="BZ19" s="631"/>
      <c r="CA19" s="631"/>
      <c r="CB19" s="631"/>
      <c r="CC19" s="631"/>
      <c r="CD19" s="1118" t="s">
        <v>4521</v>
      </c>
      <c r="CE19" s="630" t="s">
        <v>2036</v>
      </c>
      <c r="CF19" s="629"/>
      <c r="CG19" s="632"/>
      <c r="CH19" s="1288"/>
      <c r="CI19" s="1281"/>
      <c r="CJ19" s="1281"/>
      <c r="CK19" s="1281"/>
      <c r="CL19" s="1281"/>
      <c r="CM19" s="1281"/>
      <c r="CN19" s="1281"/>
      <c r="CO19" s="1281"/>
      <c r="CP19" s="1281"/>
    </row>
    <row r="20" spans="2:94" ht="18" x14ac:dyDescent="0.25">
      <c r="B20" s="1585">
        <v>17</v>
      </c>
      <c r="C20" s="628" t="s">
        <v>239</v>
      </c>
      <c r="D20" s="629" t="s">
        <v>4421</v>
      </c>
      <c r="E20" s="630"/>
      <c r="F20" s="630"/>
      <c r="G20" s="630"/>
      <c r="H20" s="630"/>
      <c r="I20" s="630"/>
      <c r="J20" s="630"/>
      <c r="K20" s="630"/>
      <c r="L20" s="630"/>
      <c r="M20" s="1395" t="s">
        <v>4438</v>
      </c>
      <c r="N20" s="1395" t="s">
        <v>4439</v>
      </c>
      <c r="O20" s="630"/>
      <c r="P20" s="630"/>
      <c r="Q20" s="630"/>
      <c r="R20" s="630">
        <v>1</v>
      </c>
      <c r="S20" s="630"/>
      <c r="T20" s="630"/>
      <c r="U20" s="630"/>
      <c r="V20" s="630"/>
      <c r="W20" s="630"/>
      <c r="X20" s="630"/>
      <c r="Y20" s="630" t="s">
        <v>1655</v>
      </c>
      <c r="Z20" s="631" t="s">
        <v>4450</v>
      </c>
      <c r="AA20" s="631"/>
      <c r="AB20" s="631" t="s">
        <v>4458</v>
      </c>
      <c r="AC20" s="630"/>
      <c r="AD20" s="630"/>
      <c r="AE20" s="630"/>
      <c r="AF20" s="1072" t="s">
        <v>1656</v>
      </c>
      <c r="AG20" s="630"/>
      <c r="AH20" s="630"/>
      <c r="AI20" s="630"/>
      <c r="AJ20" s="630"/>
      <c r="AK20" s="631"/>
      <c r="AL20" s="631"/>
      <c r="AM20" s="631"/>
      <c r="AN20" s="1395" t="s">
        <v>4470</v>
      </c>
      <c r="AO20" s="945" t="s">
        <v>2515</v>
      </c>
      <c r="AP20" s="1395" t="s">
        <v>3687</v>
      </c>
      <c r="AQ20" s="1395" t="s">
        <v>3688</v>
      </c>
      <c r="AR20" s="1395" t="s">
        <v>3689</v>
      </c>
      <c r="AS20" s="1395" t="s">
        <v>3690</v>
      </c>
      <c r="AT20" s="1395"/>
      <c r="AU20" s="631"/>
      <c r="AV20" s="631"/>
      <c r="AW20" s="631"/>
      <c r="AX20" s="631"/>
      <c r="AY20" s="631"/>
      <c r="AZ20" s="631"/>
      <c r="BA20" s="631"/>
      <c r="BB20" s="631"/>
      <c r="BC20" s="631"/>
      <c r="BD20" s="631"/>
      <c r="BE20" s="631"/>
      <c r="BF20" s="631"/>
      <c r="BG20" s="631"/>
      <c r="BH20" s="631"/>
      <c r="BI20" s="631"/>
      <c r="BJ20" s="631"/>
      <c r="BK20" s="631"/>
      <c r="BL20" s="1072"/>
      <c r="BM20" s="631"/>
      <c r="BN20" s="631"/>
      <c r="BO20" s="631"/>
      <c r="BP20" s="1395"/>
      <c r="BQ20" s="2342"/>
      <c r="BR20" s="631"/>
      <c r="BS20" s="631"/>
      <c r="BT20" s="631"/>
      <c r="BU20" s="631"/>
      <c r="BV20" s="631"/>
      <c r="BW20" s="631"/>
      <c r="BX20" s="631"/>
      <c r="BY20" s="631"/>
      <c r="BZ20" s="631"/>
      <c r="CA20" s="631"/>
      <c r="CB20" s="631"/>
      <c r="CC20" s="631"/>
      <c r="CD20" s="1118" t="s">
        <v>4522</v>
      </c>
      <c r="CE20" s="630" t="s">
        <v>2036</v>
      </c>
      <c r="CF20" s="629"/>
      <c r="CG20" s="632"/>
      <c r="CH20" s="1288"/>
      <c r="CI20" s="1281"/>
      <c r="CJ20" s="1281"/>
      <c r="CK20" s="1281"/>
      <c r="CL20" s="1281"/>
      <c r="CM20" s="1281"/>
      <c r="CN20" s="1281"/>
      <c r="CO20" s="1281"/>
      <c r="CP20" s="1281"/>
    </row>
    <row r="21" spans="2:94" ht="18" x14ac:dyDescent="0.25">
      <c r="B21" s="1585">
        <v>18</v>
      </c>
      <c r="C21" s="628" t="s">
        <v>240</v>
      </c>
      <c r="D21" s="629" t="s">
        <v>4420</v>
      </c>
      <c r="E21" s="630"/>
      <c r="F21" s="630"/>
      <c r="G21" s="630"/>
      <c r="H21" s="630"/>
      <c r="I21" s="630"/>
      <c r="J21" s="630"/>
      <c r="K21" s="630"/>
      <c r="L21" s="630"/>
      <c r="M21" s="1395" t="s">
        <v>4438</v>
      </c>
      <c r="N21" s="1395" t="s">
        <v>4439</v>
      </c>
      <c r="O21" s="630"/>
      <c r="P21" s="630"/>
      <c r="Q21" s="630"/>
      <c r="R21" s="630">
        <v>1</v>
      </c>
      <c r="S21" s="630"/>
      <c r="T21" s="630"/>
      <c r="U21" s="630"/>
      <c r="V21" s="630"/>
      <c r="W21" s="630"/>
      <c r="X21" s="630"/>
      <c r="Y21" s="630" t="s">
        <v>1655</v>
      </c>
      <c r="Z21" s="631" t="s">
        <v>4504</v>
      </c>
      <c r="AA21" s="631" t="s">
        <v>4451</v>
      </c>
      <c r="AB21" s="631"/>
      <c r="AC21" s="630"/>
      <c r="AD21" s="630"/>
      <c r="AE21" s="630"/>
      <c r="AF21" s="1072" t="s">
        <v>1656</v>
      </c>
      <c r="AG21" s="630"/>
      <c r="AH21" s="630"/>
      <c r="AI21" s="630"/>
      <c r="AJ21" s="630"/>
      <c r="AK21" s="630"/>
      <c r="AL21" s="630"/>
      <c r="AM21" s="630"/>
      <c r="AN21" s="1395" t="s">
        <v>4470</v>
      </c>
      <c r="AO21" s="945" t="s">
        <v>2515</v>
      </c>
      <c r="AP21" s="1395" t="s">
        <v>3687</v>
      </c>
      <c r="AQ21" s="1395" t="s">
        <v>3688</v>
      </c>
      <c r="AR21" s="1395" t="s">
        <v>3689</v>
      </c>
      <c r="AS21" s="1395" t="s">
        <v>3690</v>
      </c>
      <c r="AT21" s="1395"/>
      <c r="AU21" s="631"/>
      <c r="AV21" s="631"/>
      <c r="AW21" s="631"/>
      <c r="AX21" s="631"/>
      <c r="AY21" s="631"/>
      <c r="AZ21" s="631"/>
      <c r="BA21" s="631"/>
      <c r="BB21" s="631"/>
      <c r="BC21" s="631"/>
      <c r="BD21" s="631"/>
      <c r="BE21" s="631"/>
      <c r="BF21" s="631"/>
      <c r="BG21" s="631"/>
      <c r="BH21" s="631"/>
      <c r="BI21" s="631"/>
      <c r="BJ21" s="631"/>
      <c r="BK21" s="631"/>
      <c r="BL21" s="1072"/>
      <c r="BM21" s="631"/>
      <c r="BN21" s="631"/>
      <c r="BO21" s="631"/>
      <c r="BP21" s="1395"/>
      <c r="BQ21" s="2342"/>
      <c r="BR21" s="631"/>
      <c r="BS21" s="631"/>
      <c r="BT21" s="631"/>
      <c r="BU21" s="631"/>
      <c r="BV21" s="631"/>
      <c r="BW21" s="631"/>
      <c r="BX21" s="631"/>
      <c r="BY21" s="631"/>
      <c r="BZ21" s="631"/>
      <c r="CA21" s="631"/>
      <c r="CB21" s="631"/>
      <c r="CC21" s="631"/>
      <c r="CD21" s="1118" t="s">
        <v>4523</v>
      </c>
      <c r="CE21" s="630" t="s">
        <v>2036</v>
      </c>
      <c r="CF21" s="629"/>
      <c r="CG21" s="633"/>
      <c r="CH21" s="1288"/>
      <c r="CI21" s="1281"/>
      <c r="CJ21" s="1281"/>
      <c r="CK21" s="1281"/>
      <c r="CL21" s="1281"/>
      <c r="CM21" s="1281"/>
      <c r="CN21" s="1281"/>
      <c r="CO21" s="1281"/>
      <c r="CP21" s="1281"/>
    </row>
    <row r="22" spans="2:94" s="69" customFormat="1" ht="18" x14ac:dyDescent="0.25">
      <c r="B22" s="1585">
        <v>19</v>
      </c>
      <c r="C22" s="1070" t="s">
        <v>241</v>
      </c>
      <c r="D22" s="1071" t="s">
        <v>4423</v>
      </c>
      <c r="E22" s="1478"/>
      <c r="F22" s="1478"/>
      <c r="G22" s="1478"/>
      <c r="H22" s="1478"/>
      <c r="I22" s="1478"/>
      <c r="J22" s="1478"/>
      <c r="K22" s="1478"/>
      <c r="L22" s="1478"/>
      <c r="M22" s="1072"/>
      <c r="N22" s="1072"/>
      <c r="O22" s="1478"/>
      <c r="P22" s="1478"/>
      <c r="Q22" s="1478"/>
      <c r="R22" s="1395" t="s">
        <v>4446</v>
      </c>
      <c r="S22" s="1478"/>
      <c r="T22" s="1478"/>
      <c r="U22" s="1478"/>
      <c r="V22" s="1478"/>
      <c r="W22" s="1478"/>
      <c r="X22" s="1478"/>
      <c r="Y22" s="1396" t="s">
        <v>4448</v>
      </c>
      <c r="Z22" s="1072"/>
      <c r="AA22" s="1072"/>
      <c r="AB22" s="1478"/>
      <c r="AC22" s="1478"/>
      <c r="AD22" s="1478"/>
      <c r="AE22" s="1478"/>
      <c r="AF22" s="1072" t="s">
        <v>4461</v>
      </c>
      <c r="AG22" s="1478">
        <v>1</v>
      </c>
      <c r="AH22" s="1478"/>
      <c r="AI22" s="1478"/>
      <c r="AJ22" s="1478"/>
      <c r="AK22" s="1395" t="s">
        <v>4446</v>
      </c>
      <c r="AL22" s="1478"/>
      <c r="AM22" s="1478"/>
      <c r="AN22" s="1395" t="s">
        <v>4471</v>
      </c>
      <c r="AO22" s="1395" t="s">
        <v>4479</v>
      </c>
      <c r="AP22" s="1072" t="s">
        <v>4481</v>
      </c>
      <c r="AQ22" s="1072" t="s">
        <v>4483</v>
      </c>
      <c r="AR22" s="1072" t="s">
        <v>4485</v>
      </c>
      <c r="AS22" s="1072" t="s">
        <v>4488</v>
      </c>
      <c r="AT22" s="1072" t="s">
        <v>3857</v>
      </c>
      <c r="AU22" s="1072"/>
      <c r="AV22" s="1072"/>
      <c r="AW22" s="1072"/>
      <c r="AX22" s="1072"/>
      <c r="AY22" s="1072"/>
      <c r="AZ22" s="1072"/>
      <c r="BA22" s="1072"/>
      <c r="BB22" s="1072"/>
      <c r="BC22" s="1072"/>
      <c r="BD22" s="1072"/>
      <c r="BE22" s="1072"/>
      <c r="BF22" s="1072"/>
      <c r="BG22" s="1072"/>
      <c r="BH22" s="1072"/>
      <c r="BI22" s="1072"/>
      <c r="BJ22" s="1072"/>
      <c r="BK22" s="1072"/>
      <c r="BL22" s="1072"/>
      <c r="BM22" s="1072"/>
      <c r="BN22" s="1072"/>
      <c r="BO22" s="1072"/>
      <c r="BP22" s="1395"/>
      <c r="BQ22" s="2342"/>
      <c r="BR22" s="1072"/>
      <c r="BS22" s="1072"/>
      <c r="BT22" s="1072"/>
      <c r="BU22" s="1072"/>
      <c r="BV22" s="1072"/>
      <c r="BW22" s="1072"/>
      <c r="BX22" s="1072"/>
      <c r="BY22" s="1072"/>
      <c r="BZ22" s="1072"/>
      <c r="CA22" s="1072"/>
      <c r="CB22" s="1072"/>
      <c r="CC22" s="1072"/>
      <c r="CD22" s="1118" t="s">
        <v>4552</v>
      </c>
      <c r="CE22" s="1478" t="s">
        <v>3858</v>
      </c>
      <c r="CF22" s="1071"/>
      <c r="CG22" s="1073"/>
      <c r="CH22" s="1292"/>
      <c r="CI22" s="1283"/>
      <c r="CJ22" s="1283"/>
      <c r="CK22" s="1283"/>
      <c r="CL22" s="1283"/>
      <c r="CM22" s="1283"/>
      <c r="CN22" s="1283"/>
      <c r="CO22" s="1283"/>
      <c r="CP22" s="1283"/>
    </row>
    <row r="23" spans="2:94" s="69" customFormat="1" ht="18" x14ac:dyDescent="0.25">
      <c r="B23" s="1585">
        <v>20</v>
      </c>
      <c r="C23" s="1070" t="s">
        <v>242</v>
      </c>
      <c r="D23" s="1071" t="s">
        <v>4424</v>
      </c>
      <c r="E23" s="1478"/>
      <c r="F23" s="1478"/>
      <c r="G23" s="1478"/>
      <c r="H23" s="1478"/>
      <c r="I23" s="1478"/>
      <c r="J23" s="1478"/>
      <c r="K23" s="1478"/>
      <c r="L23" s="1478"/>
      <c r="M23" s="1072"/>
      <c r="N23" s="1072"/>
      <c r="O23" s="1478"/>
      <c r="P23" s="1478"/>
      <c r="Q23" s="1478"/>
      <c r="R23" s="1395" t="s">
        <v>4447</v>
      </c>
      <c r="S23" s="1478"/>
      <c r="T23" s="1478"/>
      <c r="U23" s="1478"/>
      <c r="V23" s="1478"/>
      <c r="W23" s="1478"/>
      <c r="X23" s="1478"/>
      <c r="Y23" s="1396" t="s">
        <v>4449</v>
      </c>
      <c r="Z23" s="1072" t="s">
        <v>4452</v>
      </c>
      <c r="AA23" s="1072"/>
      <c r="AB23" s="1072" t="s">
        <v>4459</v>
      </c>
      <c r="AC23" s="1478"/>
      <c r="AD23" s="1478"/>
      <c r="AE23" s="1478"/>
      <c r="AF23" s="1072" t="s">
        <v>4462</v>
      </c>
      <c r="AG23" s="1478">
        <v>1</v>
      </c>
      <c r="AH23" s="1478"/>
      <c r="AI23" s="1478"/>
      <c r="AJ23" s="1478"/>
      <c r="AK23" s="1478"/>
      <c r="AL23" s="1478"/>
      <c r="AM23" s="1478"/>
      <c r="AN23" s="1395" t="s">
        <v>4472</v>
      </c>
      <c r="AO23" s="1395" t="s">
        <v>4480</v>
      </c>
      <c r="AP23" s="1072" t="s">
        <v>4482</v>
      </c>
      <c r="AQ23" s="1072" t="s">
        <v>4484</v>
      </c>
      <c r="AR23" s="1072" t="s">
        <v>4486</v>
      </c>
      <c r="AS23" s="1395" t="s">
        <v>4489</v>
      </c>
      <c r="AT23" s="1072" t="s">
        <v>3857</v>
      </c>
      <c r="AU23" s="1072"/>
      <c r="AV23" s="1072"/>
      <c r="AW23" s="1072"/>
      <c r="AX23" s="1072"/>
      <c r="AY23" s="1072"/>
      <c r="AZ23" s="1072"/>
      <c r="BA23" s="1072"/>
      <c r="BB23" s="1072"/>
      <c r="BC23" s="1072"/>
      <c r="BD23" s="1072"/>
      <c r="BE23" s="1072"/>
      <c r="BF23" s="1072"/>
      <c r="BG23" s="1072"/>
      <c r="BH23" s="1072"/>
      <c r="BI23" s="1072"/>
      <c r="BJ23" s="1072"/>
      <c r="BK23" s="1072"/>
      <c r="BL23" s="1072"/>
      <c r="BM23" s="1072"/>
      <c r="BN23" s="1072"/>
      <c r="BO23" s="1072"/>
      <c r="BP23" s="1395"/>
      <c r="BQ23" s="2342"/>
      <c r="BR23" s="1072"/>
      <c r="BS23" s="1072"/>
      <c r="BT23" s="1072"/>
      <c r="BU23" s="1072"/>
      <c r="BV23" s="1072"/>
      <c r="BW23" s="1072"/>
      <c r="BX23" s="1072"/>
      <c r="BY23" s="1072"/>
      <c r="BZ23" s="1072"/>
      <c r="CA23" s="1072"/>
      <c r="CB23" s="1072"/>
      <c r="CC23" s="1072"/>
      <c r="CD23" s="1118" t="s">
        <v>4553</v>
      </c>
      <c r="CE23" s="1478" t="s">
        <v>3858</v>
      </c>
      <c r="CF23" s="1071"/>
      <c r="CG23" s="1073"/>
      <c r="CH23" s="1292"/>
      <c r="CI23" s="1283"/>
      <c r="CJ23" s="1283"/>
      <c r="CK23" s="1283"/>
      <c r="CL23" s="1283"/>
      <c r="CM23" s="1283"/>
      <c r="CN23" s="1283"/>
      <c r="CO23" s="1283"/>
      <c r="CP23" s="1283"/>
    </row>
    <row r="24" spans="2:94" s="69" customFormat="1" ht="18" x14ac:dyDescent="0.25">
      <c r="B24" s="1585">
        <v>21</v>
      </c>
      <c r="C24" s="1070" t="s">
        <v>243</v>
      </c>
      <c r="D24" s="1071" t="s">
        <v>4425</v>
      </c>
      <c r="E24" s="1478"/>
      <c r="F24" s="1478"/>
      <c r="G24" s="1478"/>
      <c r="H24" s="1478"/>
      <c r="I24" s="1478"/>
      <c r="J24" s="1478"/>
      <c r="K24" s="1478"/>
      <c r="L24" s="1478"/>
      <c r="M24" s="1072"/>
      <c r="N24" s="1072"/>
      <c r="O24" s="1478"/>
      <c r="P24" s="1478"/>
      <c r="Q24" s="1478"/>
      <c r="R24" s="1395" t="s">
        <v>4447</v>
      </c>
      <c r="S24" s="1478"/>
      <c r="T24" s="1478"/>
      <c r="U24" s="1478"/>
      <c r="V24" s="1478"/>
      <c r="W24" s="1478"/>
      <c r="X24" s="1478"/>
      <c r="Y24" s="1396" t="s">
        <v>4449</v>
      </c>
      <c r="Z24" s="1072" t="s">
        <v>4453</v>
      </c>
      <c r="AA24" s="1072" t="s">
        <v>4454</v>
      </c>
      <c r="AB24" s="1478"/>
      <c r="AC24" s="1478"/>
      <c r="AD24" s="1478"/>
      <c r="AE24" s="1478"/>
      <c r="AF24" s="1072" t="s">
        <v>4462</v>
      </c>
      <c r="AG24" s="1478">
        <v>1</v>
      </c>
      <c r="AH24" s="1478"/>
      <c r="AI24" s="1478"/>
      <c r="AJ24" s="1478"/>
      <c r="AK24" s="1478"/>
      <c r="AL24" s="1478"/>
      <c r="AM24" s="1478"/>
      <c r="AN24" s="1395" t="s">
        <v>4472</v>
      </c>
      <c r="AO24" s="1395" t="s">
        <v>4480</v>
      </c>
      <c r="AP24" s="1072" t="s">
        <v>4482</v>
      </c>
      <c r="AQ24" s="1072" t="s">
        <v>4484</v>
      </c>
      <c r="AR24" s="1072" t="s">
        <v>4486</v>
      </c>
      <c r="AS24" s="1395" t="s">
        <v>4489</v>
      </c>
      <c r="AT24" s="1072" t="s">
        <v>3857</v>
      </c>
      <c r="AU24" s="1072"/>
      <c r="AV24" s="1072"/>
      <c r="AW24" s="1072"/>
      <c r="AX24" s="1072"/>
      <c r="AY24" s="1072"/>
      <c r="AZ24" s="1072"/>
      <c r="BA24" s="1072"/>
      <c r="BB24" s="1072"/>
      <c r="BC24" s="1072"/>
      <c r="BD24" s="1072"/>
      <c r="BE24" s="1072"/>
      <c r="BF24" s="1072"/>
      <c r="BG24" s="1072"/>
      <c r="BH24" s="1072"/>
      <c r="BI24" s="1072"/>
      <c r="BJ24" s="1072"/>
      <c r="BK24" s="1072"/>
      <c r="BL24" s="1072"/>
      <c r="BM24" s="1072"/>
      <c r="BN24" s="1072"/>
      <c r="BO24" s="1072"/>
      <c r="BP24" s="1395"/>
      <c r="BQ24" s="2342"/>
      <c r="BR24" s="1072"/>
      <c r="BS24" s="1072"/>
      <c r="BT24" s="1072"/>
      <c r="BU24" s="1072"/>
      <c r="BV24" s="1072"/>
      <c r="BW24" s="1072"/>
      <c r="BX24" s="1072"/>
      <c r="BY24" s="1072"/>
      <c r="BZ24" s="1072"/>
      <c r="CA24" s="1072"/>
      <c r="CB24" s="1072"/>
      <c r="CC24" s="1072"/>
      <c r="CD24" s="1118" t="s">
        <v>4554</v>
      </c>
      <c r="CE24" s="1478" t="s">
        <v>3858</v>
      </c>
      <c r="CF24" s="1071"/>
      <c r="CG24" s="1073"/>
      <c r="CH24" s="1292"/>
      <c r="CI24" s="1283"/>
      <c r="CJ24" s="1283"/>
      <c r="CK24" s="1283"/>
      <c r="CL24" s="1283"/>
      <c r="CM24" s="1283"/>
      <c r="CN24" s="1283"/>
      <c r="CO24" s="1283"/>
      <c r="CP24" s="1283"/>
    </row>
    <row r="25" spans="2:94" ht="18" x14ac:dyDescent="0.25">
      <c r="B25" s="1585">
        <v>22</v>
      </c>
      <c r="C25" s="628" t="s">
        <v>244</v>
      </c>
      <c r="D25" s="629" t="s">
        <v>1667</v>
      </c>
      <c r="E25" s="630"/>
      <c r="F25" s="630"/>
      <c r="G25" s="630"/>
      <c r="H25" s="630"/>
      <c r="I25" s="630"/>
      <c r="J25" s="630"/>
      <c r="K25" s="630"/>
      <c r="L25" s="630"/>
      <c r="M25" s="1395" t="s">
        <v>4440</v>
      </c>
      <c r="N25" s="631"/>
      <c r="O25" s="630"/>
      <c r="P25" s="630"/>
      <c r="Q25" s="630"/>
      <c r="R25" s="630">
        <v>1</v>
      </c>
      <c r="S25" s="630"/>
      <c r="T25" s="630"/>
      <c r="U25" s="630"/>
      <c r="V25" s="630"/>
      <c r="W25" s="630"/>
      <c r="X25" s="630"/>
      <c r="Y25" s="630" t="s">
        <v>1655</v>
      </c>
      <c r="Z25" s="630"/>
      <c r="AA25" s="630"/>
      <c r="AB25" s="630"/>
      <c r="AC25" s="630"/>
      <c r="AD25" s="630"/>
      <c r="AE25" s="630"/>
      <c r="AF25" s="631"/>
      <c r="AG25" s="631" t="s">
        <v>1656</v>
      </c>
      <c r="AH25" s="630"/>
      <c r="AI25" s="630"/>
      <c r="AJ25" s="630"/>
      <c r="AK25" s="1395" t="s">
        <v>4466</v>
      </c>
      <c r="AL25" s="631"/>
      <c r="AM25" s="631"/>
      <c r="AN25" s="1395" t="s">
        <v>4473</v>
      </c>
      <c r="AO25" s="945" t="s">
        <v>2515</v>
      </c>
      <c r="AP25" s="945" t="s">
        <v>3687</v>
      </c>
      <c r="AQ25" s="945" t="s">
        <v>3688</v>
      </c>
      <c r="AR25" s="945" t="s">
        <v>3695</v>
      </c>
      <c r="AS25" s="945" t="s">
        <v>3696</v>
      </c>
      <c r="AT25" s="631" t="s">
        <v>1668</v>
      </c>
      <c r="AU25" s="631"/>
      <c r="AV25" s="631"/>
      <c r="AW25" s="631"/>
      <c r="AX25" s="631"/>
      <c r="AY25" s="631"/>
      <c r="AZ25" s="631"/>
      <c r="BA25" s="631"/>
      <c r="BB25" s="631"/>
      <c r="BC25" s="631"/>
      <c r="BD25" s="631"/>
      <c r="BE25" s="631"/>
      <c r="BF25" s="631"/>
      <c r="BG25" s="631"/>
      <c r="BH25" s="631"/>
      <c r="BI25" s="631"/>
      <c r="BJ25" s="631"/>
      <c r="BK25" s="631"/>
      <c r="BL25" s="1072"/>
      <c r="BM25" s="631"/>
      <c r="BN25" s="631"/>
      <c r="BO25" s="631"/>
      <c r="BP25" s="1395"/>
      <c r="BQ25" s="2342"/>
      <c r="BR25" s="631"/>
      <c r="BS25" s="631"/>
      <c r="BT25" s="631"/>
      <c r="BU25" s="631"/>
      <c r="BV25" s="631"/>
      <c r="BW25" s="631"/>
      <c r="BX25" s="631"/>
      <c r="BY25" s="631"/>
      <c r="BZ25" s="631"/>
      <c r="CA25" s="631"/>
      <c r="CB25" s="631"/>
      <c r="CC25" s="631"/>
      <c r="CD25" s="1519" t="s">
        <v>4492</v>
      </c>
      <c r="CE25" s="630" t="s">
        <v>2036</v>
      </c>
      <c r="CF25" s="629"/>
      <c r="CG25" s="633"/>
      <c r="CH25" s="1288"/>
      <c r="CI25" s="1291"/>
      <c r="CJ25" s="1281"/>
      <c r="CK25" s="1281"/>
      <c r="CL25" s="1281"/>
      <c r="CM25" s="1281"/>
      <c r="CN25" s="1281"/>
      <c r="CO25" s="1281"/>
      <c r="CP25" s="1281"/>
    </row>
    <row r="26" spans="2:94" ht="18" x14ac:dyDescent="0.25">
      <c r="B26" s="1585">
        <v>23</v>
      </c>
      <c r="C26" s="628" t="s">
        <v>245</v>
      </c>
      <c r="D26" s="629" t="s">
        <v>2273</v>
      </c>
      <c r="E26" s="630"/>
      <c r="F26" s="630"/>
      <c r="G26" s="630"/>
      <c r="H26" s="630"/>
      <c r="I26" s="630"/>
      <c r="J26" s="630"/>
      <c r="K26" s="630"/>
      <c r="L26" s="630"/>
      <c r="M26" s="1395" t="s">
        <v>4441</v>
      </c>
      <c r="N26" s="631"/>
      <c r="O26" s="630"/>
      <c r="P26" s="630"/>
      <c r="Q26" s="630"/>
      <c r="R26" s="630">
        <v>1</v>
      </c>
      <c r="S26" s="630"/>
      <c r="T26" s="630"/>
      <c r="U26" s="630"/>
      <c r="V26" s="630"/>
      <c r="W26" s="630"/>
      <c r="X26" s="630"/>
      <c r="Y26" s="630" t="s">
        <v>1655</v>
      </c>
      <c r="Z26" s="631" t="s">
        <v>4455</v>
      </c>
      <c r="AA26" s="631"/>
      <c r="AB26" s="631" t="s">
        <v>4460</v>
      </c>
      <c r="AC26" s="630"/>
      <c r="AD26" s="630"/>
      <c r="AE26" s="630"/>
      <c r="AF26" s="631"/>
      <c r="AG26" s="631" t="s">
        <v>1656</v>
      </c>
      <c r="AH26" s="630"/>
      <c r="AI26" s="630"/>
      <c r="AJ26" s="630"/>
      <c r="AK26" s="631"/>
      <c r="AL26" s="631"/>
      <c r="AM26" s="631"/>
      <c r="AN26" s="1395" t="s">
        <v>4474</v>
      </c>
      <c r="AO26" s="945" t="s">
        <v>2515</v>
      </c>
      <c r="AP26" s="945" t="s">
        <v>3687</v>
      </c>
      <c r="AQ26" s="945" t="s">
        <v>3688</v>
      </c>
      <c r="AR26" s="945" t="s">
        <v>3695</v>
      </c>
      <c r="AS26" s="945" t="s">
        <v>3696</v>
      </c>
      <c r="AT26" s="631" t="s">
        <v>1668</v>
      </c>
      <c r="AU26" s="631"/>
      <c r="AV26" s="631"/>
      <c r="AW26" s="631"/>
      <c r="AX26" s="631"/>
      <c r="AY26" s="631"/>
      <c r="AZ26" s="631"/>
      <c r="BA26" s="631"/>
      <c r="BB26" s="631"/>
      <c r="BC26" s="631"/>
      <c r="BD26" s="631"/>
      <c r="BE26" s="631"/>
      <c r="BF26" s="631"/>
      <c r="BG26" s="631"/>
      <c r="BH26" s="631"/>
      <c r="BI26" s="631"/>
      <c r="BJ26" s="631"/>
      <c r="BK26" s="631"/>
      <c r="BL26" s="1072"/>
      <c r="BM26" s="631"/>
      <c r="BN26" s="631"/>
      <c r="BO26" s="631"/>
      <c r="BP26" s="1395"/>
      <c r="BQ26" s="2342"/>
      <c r="BR26" s="631"/>
      <c r="BS26" s="631"/>
      <c r="BT26" s="631"/>
      <c r="BU26" s="631"/>
      <c r="BV26" s="631"/>
      <c r="BW26" s="631"/>
      <c r="BX26" s="631"/>
      <c r="BY26" s="631"/>
      <c r="BZ26" s="631"/>
      <c r="CA26" s="631"/>
      <c r="CB26" s="631"/>
      <c r="CC26" s="631"/>
      <c r="CD26" s="1519" t="s">
        <v>4493</v>
      </c>
      <c r="CE26" s="630" t="s">
        <v>2036</v>
      </c>
      <c r="CF26" s="629"/>
      <c r="CG26" s="633"/>
      <c r="CH26" s="1288"/>
      <c r="CI26" s="1291"/>
      <c r="CJ26" s="1281"/>
      <c r="CK26" s="1281"/>
      <c r="CL26" s="1281"/>
      <c r="CM26" s="1281"/>
      <c r="CN26" s="1281"/>
      <c r="CO26" s="1281"/>
      <c r="CP26" s="1281"/>
    </row>
    <row r="27" spans="2:94" ht="18" x14ac:dyDescent="0.25">
      <c r="B27" s="1585">
        <v>24</v>
      </c>
      <c r="C27" s="628" t="s">
        <v>246</v>
      </c>
      <c r="D27" s="629" t="s">
        <v>1669</v>
      </c>
      <c r="E27" s="630"/>
      <c r="F27" s="630"/>
      <c r="G27" s="630"/>
      <c r="H27" s="630"/>
      <c r="I27" s="630"/>
      <c r="J27" s="630"/>
      <c r="K27" s="630"/>
      <c r="L27" s="630"/>
      <c r="M27" s="1395" t="s">
        <v>4441</v>
      </c>
      <c r="N27" s="631"/>
      <c r="O27" s="630"/>
      <c r="P27" s="630"/>
      <c r="Q27" s="630"/>
      <c r="R27" s="630">
        <v>1</v>
      </c>
      <c r="S27" s="630"/>
      <c r="T27" s="630"/>
      <c r="U27" s="630"/>
      <c r="V27" s="630"/>
      <c r="W27" s="630"/>
      <c r="X27" s="630"/>
      <c r="Y27" s="630" t="s">
        <v>1655</v>
      </c>
      <c r="Z27" s="631" t="s">
        <v>4456</v>
      </c>
      <c r="AA27" s="631" t="s">
        <v>4457</v>
      </c>
      <c r="AB27" s="631"/>
      <c r="AC27" s="630"/>
      <c r="AD27" s="630"/>
      <c r="AE27" s="630"/>
      <c r="AF27" s="631"/>
      <c r="AG27" s="631" t="s">
        <v>1656</v>
      </c>
      <c r="AH27" s="630"/>
      <c r="AI27" s="630"/>
      <c r="AJ27" s="630"/>
      <c r="AK27" s="630"/>
      <c r="AL27" s="630"/>
      <c r="AM27" s="630"/>
      <c r="AN27" s="1395" t="s">
        <v>4474</v>
      </c>
      <c r="AO27" s="945" t="s">
        <v>2515</v>
      </c>
      <c r="AP27" s="945" t="s">
        <v>3687</v>
      </c>
      <c r="AQ27" s="945" t="s">
        <v>3688</v>
      </c>
      <c r="AR27" s="945" t="s">
        <v>3695</v>
      </c>
      <c r="AS27" s="945" t="s">
        <v>3696</v>
      </c>
      <c r="AT27" s="631" t="s">
        <v>1668</v>
      </c>
      <c r="AU27" s="631"/>
      <c r="AV27" s="631"/>
      <c r="AW27" s="631"/>
      <c r="AX27" s="631"/>
      <c r="AY27" s="631"/>
      <c r="AZ27" s="631"/>
      <c r="BA27" s="631"/>
      <c r="BB27" s="631"/>
      <c r="BC27" s="631"/>
      <c r="BD27" s="631"/>
      <c r="BE27" s="631"/>
      <c r="BF27" s="631"/>
      <c r="BG27" s="631"/>
      <c r="BH27" s="631"/>
      <c r="BI27" s="631"/>
      <c r="BJ27" s="631"/>
      <c r="BK27" s="631"/>
      <c r="BL27" s="1072"/>
      <c r="BM27" s="631"/>
      <c r="BN27" s="631"/>
      <c r="BO27" s="631"/>
      <c r="BP27" s="1395"/>
      <c r="BQ27" s="2342"/>
      <c r="BR27" s="631"/>
      <c r="BS27" s="631"/>
      <c r="BT27" s="631"/>
      <c r="BU27" s="631"/>
      <c r="BV27" s="631"/>
      <c r="BW27" s="631"/>
      <c r="BX27" s="631"/>
      <c r="BY27" s="631"/>
      <c r="BZ27" s="631"/>
      <c r="CA27" s="631"/>
      <c r="CB27" s="631"/>
      <c r="CC27" s="631"/>
      <c r="CD27" s="1519" t="s">
        <v>4494</v>
      </c>
      <c r="CE27" s="630" t="s">
        <v>2036</v>
      </c>
      <c r="CF27" s="629"/>
      <c r="CG27" s="633"/>
      <c r="CH27" s="1288"/>
      <c r="CI27" s="1291"/>
      <c r="CJ27" s="1281"/>
      <c r="CK27" s="1281"/>
      <c r="CL27" s="1281"/>
      <c r="CM27" s="1281"/>
      <c r="CN27" s="1281"/>
      <c r="CO27" s="1281"/>
      <c r="CP27" s="1281"/>
    </row>
    <row r="28" spans="2:94" ht="18" x14ac:dyDescent="0.25">
      <c r="B28" s="1585">
        <v>25</v>
      </c>
      <c r="C28" s="628" t="s">
        <v>247</v>
      </c>
      <c r="D28" s="629" t="s">
        <v>4426</v>
      </c>
      <c r="E28" s="630">
        <v>-1</v>
      </c>
      <c r="F28" s="630"/>
      <c r="G28" s="630"/>
      <c r="H28" s="630"/>
      <c r="I28" s="630"/>
      <c r="J28" s="630"/>
      <c r="K28" s="630"/>
      <c r="L28" s="630"/>
      <c r="M28" s="630">
        <v>1</v>
      </c>
      <c r="N28" s="630"/>
      <c r="O28" s="630"/>
      <c r="P28" s="630"/>
      <c r="Q28" s="630"/>
      <c r="R28" s="630"/>
      <c r="S28" s="630"/>
      <c r="T28" s="630"/>
      <c r="U28" s="630"/>
      <c r="V28" s="630"/>
      <c r="W28" s="630"/>
      <c r="X28" s="630"/>
      <c r="Y28" s="630"/>
      <c r="Z28" s="631"/>
      <c r="AA28" s="631"/>
      <c r="AB28" s="631"/>
      <c r="AC28" s="630"/>
      <c r="AD28" s="630"/>
      <c r="AE28" s="630"/>
      <c r="AF28" s="630" t="s">
        <v>1670</v>
      </c>
      <c r="AG28" s="631" t="s">
        <v>1671</v>
      </c>
      <c r="AH28" s="630"/>
      <c r="AI28" s="630"/>
      <c r="AJ28" s="630"/>
      <c r="AK28" s="630"/>
      <c r="AL28" s="630"/>
      <c r="AM28" s="630"/>
      <c r="AN28" s="1396" t="s">
        <v>1997</v>
      </c>
      <c r="AO28" s="630"/>
      <c r="AP28" s="630"/>
      <c r="AQ28" s="630"/>
      <c r="AR28" s="631" t="s">
        <v>1672</v>
      </c>
      <c r="AS28" s="631" t="s">
        <v>1673</v>
      </c>
      <c r="AT28" s="631" t="s">
        <v>1674</v>
      </c>
      <c r="AU28" s="630"/>
      <c r="AV28" s="630"/>
      <c r="AW28" s="630"/>
      <c r="AX28" s="630"/>
      <c r="AY28" s="630"/>
      <c r="AZ28" s="630"/>
      <c r="BA28" s="630"/>
      <c r="BB28" s="630"/>
      <c r="BC28" s="630"/>
      <c r="BD28" s="630"/>
      <c r="BE28" s="630"/>
      <c r="BF28" s="630"/>
      <c r="BG28" s="630"/>
      <c r="BH28" s="630"/>
      <c r="BI28" s="630"/>
      <c r="BJ28" s="630"/>
      <c r="BK28" s="630"/>
      <c r="BL28" s="1072"/>
      <c r="BM28" s="630"/>
      <c r="BN28" s="630"/>
      <c r="BO28" s="630"/>
      <c r="BP28" s="1396"/>
      <c r="BQ28" s="2343"/>
      <c r="BR28" s="630"/>
      <c r="BS28" s="630"/>
      <c r="BT28" s="630"/>
      <c r="BU28" s="630"/>
      <c r="BV28" s="630"/>
      <c r="BW28" s="630"/>
      <c r="BX28" s="630"/>
      <c r="BY28" s="630"/>
      <c r="BZ28" s="630"/>
      <c r="CA28" s="630"/>
      <c r="CB28" s="630"/>
      <c r="CC28" s="630"/>
      <c r="CD28" s="1519" t="s">
        <v>4495</v>
      </c>
      <c r="CE28" s="630" t="s">
        <v>2036</v>
      </c>
      <c r="CF28" s="629"/>
      <c r="CG28" s="633"/>
      <c r="CH28" s="1288"/>
      <c r="CI28" s="1281"/>
      <c r="CJ28" s="1281"/>
      <c r="CK28" s="1281"/>
      <c r="CL28" s="1281"/>
      <c r="CM28" s="1281"/>
      <c r="CN28" s="1281"/>
      <c r="CO28" s="1281"/>
      <c r="CP28" s="1281"/>
    </row>
    <row r="29" spans="2:94" ht="18" x14ac:dyDescent="0.25">
      <c r="B29" s="1585">
        <v>26</v>
      </c>
      <c r="C29" s="628" t="s">
        <v>248</v>
      </c>
      <c r="D29" s="629" t="s">
        <v>2140</v>
      </c>
      <c r="E29" s="630">
        <v>-1</v>
      </c>
      <c r="F29" s="630"/>
      <c r="G29" s="630"/>
      <c r="H29" s="630"/>
      <c r="I29" s="630"/>
      <c r="J29" s="630"/>
      <c r="K29" s="630"/>
      <c r="L29" s="630"/>
      <c r="M29" s="630"/>
      <c r="N29" s="630">
        <v>1</v>
      </c>
      <c r="O29" s="630"/>
      <c r="P29" s="630"/>
      <c r="Q29" s="630"/>
      <c r="R29" s="630"/>
      <c r="S29" s="630"/>
      <c r="T29" s="630"/>
      <c r="U29" s="630"/>
      <c r="V29" s="630"/>
      <c r="W29" s="630"/>
      <c r="X29" s="630"/>
      <c r="Y29" s="630"/>
      <c r="Z29" s="631"/>
      <c r="AA29" s="631"/>
      <c r="AB29" s="630"/>
      <c r="AC29" s="630"/>
      <c r="AD29" s="630"/>
      <c r="AE29" s="630"/>
      <c r="AF29" s="630"/>
      <c r="AG29" s="631"/>
      <c r="AH29" s="630"/>
      <c r="AI29" s="630"/>
      <c r="AJ29" s="630"/>
      <c r="AK29" s="630"/>
      <c r="AL29" s="630"/>
      <c r="AM29" s="630"/>
      <c r="AN29" s="1396" t="s">
        <v>2141</v>
      </c>
      <c r="AO29" s="631"/>
      <c r="AP29" s="631"/>
      <c r="AQ29" s="631"/>
      <c r="AR29" s="631"/>
      <c r="AS29" s="631"/>
      <c r="AT29" s="631"/>
      <c r="AU29" s="630"/>
      <c r="AV29" s="630"/>
      <c r="AW29" s="630"/>
      <c r="AX29" s="630"/>
      <c r="AY29" s="630"/>
      <c r="AZ29" s="630"/>
      <c r="BA29" s="630"/>
      <c r="BB29" s="630"/>
      <c r="BC29" s="630"/>
      <c r="BD29" s="630"/>
      <c r="BE29" s="630"/>
      <c r="BF29" s="630"/>
      <c r="BG29" s="630"/>
      <c r="BH29" s="630"/>
      <c r="BI29" s="630"/>
      <c r="BJ29" s="630"/>
      <c r="BK29" s="630"/>
      <c r="BL29" s="1478"/>
      <c r="BM29" s="630"/>
      <c r="BN29" s="630"/>
      <c r="BO29" s="630"/>
      <c r="BP29" s="1396"/>
      <c r="BQ29" s="2343"/>
      <c r="BR29" s="630"/>
      <c r="BS29" s="630"/>
      <c r="BT29" s="630"/>
      <c r="BU29" s="630"/>
      <c r="BV29" s="630"/>
      <c r="BW29" s="630"/>
      <c r="BX29" s="630"/>
      <c r="BY29" s="630"/>
      <c r="BZ29" s="630"/>
      <c r="CA29" s="630"/>
      <c r="CB29" s="630"/>
      <c r="CC29" s="630"/>
      <c r="CD29" s="1519" t="s">
        <v>4496</v>
      </c>
      <c r="CE29" s="630" t="s">
        <v>2036</v>
      </c>
      <c r="CF29" s="629"/>
      <c r="CG29" s="633"/>
      <c r="CH29" s="1288"/>
      <c r="CI29" s="1281"/>
      <c r="CJ29" s="1281"/>
      <c r="CK29" s="1281"/>
      <c r="CL29" s="1281"/>
      <c r="CM29" s="1281"/>
      <c r="CN29" s="1281"/>
      <c r="CO29" s="1281"/>
      <c r="CP29" s="1281"/>
    </row>
    <row r="30" spans="2:94" ht="18" x14ac:dyDescent="0.25">
      <c r="B30" s="1585">
        <v>27</v>
      </c>
      <c r="C30" s="628" t="s">
        <v>249</v>
      </c>
      <c r="D30" s="629" t="s">
        <v>4427</v>
      </c>
      <c r="E30" s="630"/>
      <c r="F30" s="630"/>
      <c r="G30" s="630"/>
      <c r="H30" s="630"/>
      <c r="I30" s="630"/>
      <c r="J30" s="630"/>
      <c r="K30" s="630"/>
      <c r="L30" s="630"/>
      <c r="M30" s="1395" t="s">
        <v>4442</v>
      </c>
      <c r="N30" s="1395" t="s">
        <v>4443</v>
      </c>
      <c r="O30" s="630"/>
      <c r="P30" s="630"/>
      <c r="Q30" s="630"/>
      <c r="R30" s="630"/>
      <c r="S30" s="630"/>
      <c r="T30" s="630"/>
      <c r="U30" s="630"/>
      <c r="V30" s="630"/>
      <c r="W30" s="630"/>
      <c r="X30" s="630"/>
      <c r="Y30" s="630"/>
      <c r="Z30" s="630"/>
      <c r="AA30" s="630"/>
      <c r="AB30" s="630"/>
      <c r="AC30" s="630"/>
      <c r="AD30" s="630"/>
      <c r="AE30" s="630"/>
      <c r="AF30" s="630"/>
      <c r="AG30" s="631"/>
      <c r="AH30" s="630"/>
      <c r="AI30" s="630"/>
      <c r="AJ30" s="630"/>
      <c r="AK30" s="630">
        <v>-1</v>
      </c>
      <c r="AL30" s="630"/>
      <c r="AM30" s="630"/>
      <c r="AN30" s="1396" t="s">
        <v>4475</v>
      </c>
      <c r="AO30" s="630"/>
      <c r="AP30" s="630"/>
      <c r="AQ30" s="630"/>
      <c r="AR30" s="631"/>
      <c r="AS30" s="631"/>
      <c r="AT30" s="631"/>
      <c r="AU30" s="630"/>
      <c r="AV30" s="630"/>
      <c r="AW30" s="630"/>
      <c r="AX30" s="630"/>
      <c r="AY30" s="630"/>
      <c r="AZ30" s="630"/>
      <c r="BA30" s="630"/>
      <c r="BB30" s="630"/>
      <c r="BC30" s="630"/>
      <c r="BD30" s="630"/>
      <c r="BE30" s="630"/>
      <c r="BF30" s="630"/>
      <c r="BG30" s="630"/>
      <c r="BH30" s="630"/>
      <c r="BI30" s="630"/>
      <c r="BJ30" s="630"/>
      <c r="BK30" s="630"/>
      <c r="BL30" s="1478"/>
      <c r="BM30" s="630"/>
      <c r="BN30" s="630"/>
      <c r="BO30" s="630"/>
      <c r="BP30" s="1396"/>
      <c r="BQ30" s="2343"/>
      <c r="BR30" s="630"/>
      <c r="BS30" s="630"/>
      <c r="BT30" s="630"/>
      <c r="BU30" s="630"/>
      <c r="BV30" s="630"/>
      <c r="BW30" s="630"/>
      <c r="BX30" s="630"/>
      <c r="BY30" s="630"/>
      <c r="BZ30" s="630"/>
      <c r="CA30" s="630"/>
      <c r="CB30" s="630"/>
      <c r="CC30" s="630"/>
      <c r="CD30" s="1519" t="s">
        <v>4497</v>
      </c>
      <c r="CE30" s="630" t="s">
        <v>2036</v>
      </c>
      <c r="CF30" s="629"/>
      <c r="CG30" s="633"/>
      <c r="CH30" s="1288"/>
      <c r="CI30" s="1281"/>
      <c r="CJ30" s="1281"/>
      <c r="CK30" s="1281"/>
      <c r="CL30" s="1281"/>
      <c r="CM30" s="1281"/>
      <c r="CN30" s="1281"/>
      <c r="CO30" s="1281"/>
      <c r="CP30" s="1281"/>
    </row>
    <row r="31" spans="2:94" ht="18" x14ac:dyDescent="0.25">
      <c r="B31" s="1585">
        <v>28</v>
      </c>
      <c r="C31" s="628" t="s">
        <v>250</v>
      </c>
      <c r="D31" s="629" t="s">
        <v>4428</v>
      </c>
      <c r="E31" s="630"/>
      <c r="F31" s="630"/>
      <c r="G31" s="630"/>
      <c r="H31" s="630"/>
      <c r="I31" s="630"/>
      <c r="J31" s="630"/>
      <c r="K31" s="630"/>
      <c r="L31" s="630"/>
      <c r="M31" s="1395" t="s">
        <v>4442</v>
      </c>
      <c r="N31" s="1395" t="s">
        <v>4443</v>
      </c>
      <c r="O31" s="630"/>
      <c r="P31" s="630"/>
      <c r="Q31" s="630"/>
      <c r="R31" s="630"/>
      <c r="S31" s="630"/>
      <c r="T31" s="630"/>
      <c r="U31" s="630"/>
      <c r="V31" s="630"/>
      <c r="W31" s="630"/>
      <c r="X31" s="630"/>
      <c r="Y31" s="630"/>
      <c r="Z31" s="631" t="s">
        <v>2488</v>
      </c>
      <c r="AA31" s="631"/>
      <c r="AB31" s="631" t="s">
        <v>2489</v>
      </c>
      <c r="AC31" s="630"/>
      <c r="AD31" s="630"/>
      <c r="AE31" s="630"/>
      <c r="AF31" s="630"/>
      <c r="AG31" s="631"/>
      <c r="AH31" s="630"/>
      <c r="AI31" s="630"/>
      <c r="AJ31" s="630"/>
      <c r="AK31" s="630"/>
      <c r="AL31" s="630"/>
      <c r="AM31" s="630"/>
      <c r="AN31" s="1396" t="s">
        <v>4475</v>
      </c>
      <c r="AO31" s="630"/>
      <c r="AP31" s="630"/>
      <c r="AQ31" s="630"/>
      <c r="AR31" s="631"/>
      <c r="AS31" s="631"/>
      <c r="AT31" s="631"/>
      <c r="AU31" s="630"/>
      <c r="AV31" s="630"/>
      <c r="AW31" s="630"/>
      <c r="AX31" s="630"/>
      <c r="AY31" s="630"/>
      <c r="AZ31" s="630"/>
      <c r="BA31" s="630"/>
      <c r="BB31" s="630"/>
      <c r="BC31" s="630"/>
      <c r="BD31" s="630"/>
      <c r="BE31" s="630"/>
      <c r="BF31" s="630"/>
      <c r="BG31" s="630"/>
      <c r="BH31" s="630"/>
      <c r="BI31" s="630"/>
      <c r="BJ31" s="630"/>
      <c r="BK31" s="630"/>
      <c r="BL31" s="1478"/>
      <c r="BM31" s="630"/>
      <c r="BN31" s="630"/>
      <c r="BO31" s="630"/>
      <c r="BP31" s="1396"/>
      <c r="BQ31" s="2343"/>
      <c r="BR31" s="630"/>
      <c r="BS31" s="630"/>
      <c r="BT31" s="630"/>
      <c r="BU31" s="630"/>
      <c r="BV31" s="630"/>
      <c r="BW31" s="630"/>
      <c r="BX31" s="630"/>
      <c r="BY31" s="630"/>
      <c r="BZ31" s="630"/>
      <c r="CA31" s="630"/>
      <c r="CB31" s="630"/>
      <c r="CC31" s="630"/>
      <c r="CD31" s="1519" t="s">
        <v>4498</v>
      </c>
      <c r="CE31" s="630" t="s">
        <v>2036</v>
      </c>
      <c r="CF31" s="629"/>
      <c r="CG31" s="633"/>
      <c r="CH31" s="1288"/>
      <c r="CI31" s="1281"/>
      <c r="CJ31" s="1281"/>
      <c r="CK31" s="1281"/>
      <c r="CL31" s="1281"/>
      <c r="CM31" s="1281"/>
      <c r="CN31" s="1281"/>
      <c r="CO31" s="1281"/>
      <c r="CP31" s="1281"/>
    </row>
    <row r="32" spans="2:94" ht="18" x14ac:dyDescent="0.25">
      <c r="B32" s="1585">
        <v>29</v>
      </c>
      <c r="C32" s="628" t="s">
        <v>251</v>
      </c>
      <c r="D32" s="629" t="s">
        <v>4429</v>
      </c>
      <c r="E32" s="630"/>
      <c r="F32" s="630"/>
      <c r="G32" s="630"/>
      <c r="H32" s="630"/>
      <c r="I32" s="630"/>
      <c r="J32" s="630"/>
      <c r="K32" s="630"/>
      <c r="L32" s="630"/>
      <c r="M32" s="1395" t="s">
        <v>4442</v>
      </c>
      <c r="N32" s="1395" t="s">
        <v>4443</v>
      </c>
      <c r="O32" s="630"/>
      <c r="P32" s="630"/>
      <c r="Q32" s="630"/>
      <c r="R32" s="630"/>
      <c r="S32" s="630"/>
      <c r="T32" s="630"/>
      <c r="U32" s="630"/>
      <c r="V32" s="630"/>
      <c r="W32" s="630"/>
      <c r="X32" s="630"/>
      <c r="Y32" s="630"/>
      <c r="Z32" s="631" t="s">
        <v>2491</v>
      </c>
      <c r="AA32" s="631" t="s">
        <v>2490</v>
      </c>
      <c r="AB32" s="631"/>
      <c r="AC32" s="630"/>
      <c r="AD32" s="630"/>
      <c r="AE32" s="630"/>
      <c r="AF32" s="630"/>
      <c r="AG32" s="631"/>
      <c r="AH32" s="630"/>
      <c r="AI32" s="630"/>
      <c r="AJ32" s="630"/>
      <c r="AK32" s="630"/>
      <c r="AL32" s="630"/>
      <c r="AM32" s="630"/>
      <c r="AN32" s="1396" t="s">
        <v>4475</v>
      </c>
      <c r="AO32" s="630"/>
      <c r="AP32" s="630"/>
      <c r="AQ32" s="630"/>
      <c r="AR32" s="631"/>
      <c r="AS32" s="631"/>
      <c r="AT32" s="631"/>
      <c r="AU32" s="630"/>
      <c r="AV32" s="630"/>
      <c r="AW32" s="630"/>
      <c r="AX32" s="630"/>
      <c r="AY32" s="630"/>
      <c r="AZ32" s="630"/>
      <c r="BA32" s="630"/>
      <c r="BB32" s="630"/>
      <c r="BC32" s="630"/>
      <c r="BD32" s="630"/>
      <c r="BE32" s="630"/>
      <c r="BF32" s="630"/>
      <c r="BG32" s="630"/>
      <c r="BH32" s="630"/>
      <c r="BI32" s="630"/>
      <c r="BJ32" s="630"/>
      <c r="BK32" s="630"/>
      <c r="BL32" s="1478"/>
      <c r="BM32" s="630"/>
      <c r="BN32" s="630"/>
      <c r="BO32" s="630"/>
      <c r="BP32" s="1396"/>
      <c r="BQ32" s="2343"/>
      <c r="BR32" s="630"/>
      <c r="BS32" s="630"/>
      <c r="BT32" s="630"/>
      <c r="BU32" s="630"/>
      <c r="BV32" s="630"/>
      <c r="BW32" s="630"/>
      <c r="BX32" s="630"/>
      <c r="BY32" s="630"/>
      <c r="BZ32" s="630"/>
      <c r="CA32" s="630"/>
      <c r="CB32" s="630"/>
      <c r="CC32" s="630"/>
      <c r="CD32" s="1519" t="s">
        <v>4505</v>
      </c>
      <c r="CE32" s="630" t="s">
        <v>2036</v>
      </c>
      <c r="CF32" s="629"/>
      <c r="CG32" s="633"/>
      <c r="CH32" s="1288"/>
      <c r="CI32" s="1281"/>
      <c r="CJ32" s="1281"/>
      <c r="CK32" s="1281"/>
      <c r="CL32" s="1281"/>
      <c r="CM32" s="1281"/>
      <c r="CN32" s="1281"/>
      <c r="CO32" s="1281"/>
      <c r="CP32" s="1281"/>
    </row>
    <row r="33" spans="1:94" ht="18" x14ac:dyDescent="0.25">
      <c r="B33" s="1585">
        <v>30</v>
      </c>
      <c r="C33" s="628" t="s">
        <v>1364</v>
      </c>
      <c r="D33" s="629" t="s">
        <v>2232</v>
      </c>
      <c r="E33" s="630">
        <v>1</v>
      </c>
      <c r="F33" s="630"/>
      <c r="G33" s="630"/>
      <c r="H33" s="630"/>
      <c r="I33" s="630"/>
      <c r="J33" s="630"/>
      <c r="K33" s="630"/>
      <c r="L33" s="630"/>
      <c r="M33" s="630"/>
      <c r="N33" s="630">
        <v>-1</v>
      </c>
      <c r="O33" s="630"/>
      <c r="P33" s="630"/>
      <c r="Q33" s="630"/>
      <c r="R33" s="630"/>
      <c r="S33" s="630"/>
      <c r="T33" s="630"/>
      <c r="U33" s="630"/>
      <c r="V33" s="630"/>
      <c r="W33" s="630"/>
      <c r="X33" s="630"/>
      <c r="Y33" s="630"/>
      <c r="Z33" s="631"/>
      <c r="AA33" s="631"/>
      <c r="AB33" s="631"/>
      <c r="AC33" s="630"/>
      <c r="AD33" s="630"/>
      <c r="AE33" s="630"/>
      <c r="AF33" s="630"/>
      <c r="AG33" s="631"/>
      <c r="AH33" s="630"/>
      <c r="AI33" s="630"/>
      <c r="AJ33" s="630"/>
      <c r="AK33" s="630"/>
      <c r="AL33" s="630"/>
      <c r="AM33" s="630"/>
      <c r="AN33" s="630" t="s">
        <v>2233</v>
      </c>
      <c r="AO33" s="631"/>
      <c r="AP33" s="631"/>
      <c r="AQ33" s="631"/>
      <c r="AR33" s="631"/>
      <c r="AS33" s="631"/>
      <c r="AT33" s="631"/>
      <c r="AU33" s="630"/>
      <c r="AV33" s="630"/>
      <c r="AW33" s="630"/>
      <c r="AX33" s="630"/>
      <c r="AY33" s="630"/>
      <c r="AZ33" s="630"/>
      <c r="BA33" s="630"/>
      <c r="BB33" s="630"/>
      <c r="BC33" s="630"/>
      <c r="BD33" s="630"/>
      <c r="BE33" s="630"/>
      <c r="BF33" s="630"/>
      <c r="BG33" s="630"/>
      <c r="BH33" s="630"/>
      <c r="BI33" s="630"/>
      <c r="BJ33" s="630"/>
      <c r="BK33" s="630"/>
      <c r="BL33" s="1478"/>
      <c r="BM33" s="630"/>
      <c r="BN33" s="630"/>
      <c r="BO33" s="630"/>
      <c r="BP33" s="1396"/>
      <c r="BQ33" s="2343"/>
      <c r="BR33" s="630"/>
      <c r="BS33" s="630"/>
      <c r="BT33" s="630"/>
      <c r="BU33" s="630"/>
      <c r="BV33" s="630"/>
      <c r="BW33" s="630"/>
      <c r="BX33" s="630"/>
      <c r="BY33" s="630"/>
      <c r="BZ33" s="630"/>
      <c r="CA33" s="630"/>
      <c r="CB33" s="630"/>
      <c r="CC33" s="630"/>
      <c r="CD33" s="1519" t="s">
        <v>4499</v>
      </c>
      <c r="CE33" s="630" t="s">
        <v>2036</v>
      </c>
      <c r="CF33" s="629"/>
      <c r="CG33" s="633"/>
      <c r="CH33" s="1288"/>
      <c r="CI33" s="1281"/>
      <c r="CJ33" s="1281"/>
      <c r="CK33" s="1281"/>
      <c r="CL33" s="1281"/>
      <c r="CM33" s="1281"/>
      <c r="CN33" s="1281"/>
      <c r="CO33" s="1281"/>
      <c r="CP33" s="1281"/>
    </row>
    <row r="34" spans="1:94" ht="18" x14ac:dyDescent="0.25">
      <c r="B34" s="1585">
        <v>31</v>
      </c>
      <c r="C34" s="628" t="s">
        <v>1365</v>
      </c>
      <c r="D34" s="629" t="s">
        <v>2237</v>
      </c>
      <c r="E34" s="630"/>
      <c r="F34" s="630"/>
      <c r="G34" s="630"/>
      <c r="H34" s="630"/>
      <c r="I34" s="630"/>
      <c r="J34" s="630"/>
      <c r="K34" s="630"/>
      <c r="L34" s="630"/>
      <c r="M34" s="630"/>
      <c r="N34" s="630"/>
      <c r="O34" s="630"/>
      <c r="P34" s="630"/>
      <c r="Q34" s="630"/>
      <c r="R34" s="630"/>
      <c r="S34" s="630"/>
      <c r="T34" s="630"/>
      <c r="U34" s="630"/>
      <c r="V34" s="630"/>
      <c r="W34" s="630"/>
      <c r="X34" s="630"/>
      <c r="Y34" s="630"/>
      <c r="Z34" s="630"/>
      <c r="AA34" s="630"/>
      <c r="AB34" s="630"/>
      <c r="AC34" s="630"/>
      <c r="AD34" s="630"/>
      <c r="AE34" s="630"/>
      <c r="AF34" s="630">
        <v>1</v>
      </c>
      <c r="AG34" s="630">
        <v>-1</v>
      </c>
      <c r="AH34" s="630"/>
      <c r="AI34" s="630"/>
      <c r="AJ34" s="630"/>
      <c r="AK34" s="630"/>
      <c r="AL34" s="630"/>
      <c r="AM34" s="630"/>
      <c r="AN34" s="630"/>
      <c r="AO34" s="630"/>
      <c r="AP34" s="630"/>
      <c r="AQ34" s="630"/>
      <c r="AR34" s="631" t="s">
        <v>1675</v>
      </c>
      <c r="AS34" s="631" t="s">
        <v>1676</v>
      </c>
      <c r="AT34" s="631" t="s">
        <v>1677</v>
      </c>
      <c r="AU34" s="630"/>
      <c r="AV34" s="630"/>
      <c r="AW34" s="630"/>
      <c r="AX34" s="630"/>
      <c r="AY34" s="630"/>
      <c r="AZ34" s="630"/>
      <c r="BA34" s="630"/>
      <c r="BB34" s="630"/>
      <c r="BC34" s="630"/>
      <c r="BD34" s="630"/>
      <c r="BE34" s="630"/>
      <c r="BF34" s="630"/>
      <c r="BG34" s="630"/>
      <c r="BH34" s="630"/>
      <c r="BI34" s="630"/>
      <c r="BJ34" s="630"/>
      <c r="BK34" s="630"/>
      <c r="BL34" s="1478"/>
      <c r="BM34" s="630"/>
      <c r="BN34" s="630"/>
      <c r="BO34" s="630"/>
      <c r="BP34" s="1396"/>
      <c r="BQ34" s="2343"/>
      <c r="BR34" s="630"/>
      <c r="BS34" s="630"/>
      <c r="BT34" s="630"/>
      <c r="BU34" s="630"/>
      <c r="BV34" s="630"/>
      <c r="BW34" s="630"/>
      <c r="BX34" s="630"/>
      <c r="BY34" s="630"/>
      <c r="BZ34" s="630"/>
      <c r="CA34" s="630"/>
      <c r="CB34" s="630"/>
      <c r="CC34" s="630"/>
      <c r="CD34" s="1519" t="s">
        <v>4549</v>
      </c>
      <c r="CE34" s="630" t="s">
        <v>2036</v>
      </c>
      <c r="CF34" s="629"/>
      <c r="CG34" s="633"/>
      <c r="CH34" s="1288"/>
      <c r="CI34" s="1281"/>
      <c r="CJ34" s="1281"/>
      <c r="CK34" s="1281"/>
      <c r="CL34" s="1281"/>
      <c r="CM34" s="1281"/>
      <c r="CN34" s="1281"/>
      <c r="CO34" s="1281"/>
      <c r="CP34" s="1281"/>
    </row>
    <row r="35" spans="1:94" ht="18" x14ac:dyDescent="0.25">
      <c r="B35" s="1585">
        <v>32</v>
      </c>
      <c r="C35" s="628" t="s">
        <v>252</v>
      </c>
      <c r="D35" s="629" t="s">
        <v>3172</v>
      </c>
      <c r="E35" s="1396" t="s">
        <v>4432</v>
      </c>
      <c r="F35" s="1395" t="s">
        <v>4435</v>
      </c>
      <c r="G35" s="630"/>
      <c r="H35" s="630"/>
      <c r="I35" s="630"/>
      <c r="J35" s="630"/>
      <c r="K35" s="630"/>
      <c r="L35" s="630"/>
      <c r="M35" s="631"/>
      <c r="N35" s="631"/>
      <c r="O35" s="630"/>
      <c r="P35" s="630"/>
      <c r="Q35" s="630"/>
      <c r="R35" s="630">
        <v>1</v>
      </c>
      <c r="S35" s="630"/>
      <c r="T35" s="630"/>
      <c r="U35" s="630"/>
      <c r="V35" s="630"/>
      <c r="W35" s="630"/>
      <c r="X35" s="630"/>
      <c r="Y35" s="630" t="s">
        <v>1655</v>
      </c>
      <c r="Z35" s="631"/>
      <c r="AA35" s="631"/>
      <c r="AB35" s="631"/>
      <c r="AC35" s="630"/>
      <c r="AD35" s="630"/>
      <c r="AE35" s="630"/>
      <c r="AF35" s="630" t="s">
        <v>1656</v>
      </c>
      <c r="AG35" s="631"/>
      <c r="AH35" s="630"/>
      <c r="AI35" s="630"/>
      <c r="AJ35" s="630"/>
      <c r="AK35" s="630"/>
      <c r="AL35" s="630"/>
      <c r="AM35" s="1396" t="s">
        <v>4467</v>
      </c>
      <c r="AN35" s="1396" t="s">
        <v>4476</v>
      </c>
      <c r="AO35" s="945" t="s">
        <v>2515</v>
      </c>
      <c r="AP35" s="945" t="s">
        <v>3687</v>
      </c>
      <c r="AQ35" s="945" t="s">
        <v>3688</v>
      </c>
      <c r="AR35" s="945" t="s">
        <v>3689</v>
      </c>
      <c r="AS35" s="945" t="s">
        <v>3690</v>
      </c>
      <c r="AT35" s="631"/>
      <c r="AU35" s="631"/>
      <c r="AV35" s="631"/>
      <c r="AW35" s="631"/>
      <c r="AX35" s="631"/>
      <c r="AY35" s="631"/>
      <c r="AZ35" s="631"/>
      <c r="BA35" s="631"/>
      <c r="BB35" s="631"/>
      <c r="BC35" s="631"/>
      <c r="BD35" s="631"/>
      <c r="BE35" s="631"/>
      <c r="BF35" s="631"/>
      <c r="BG35" s="631"/>
      <c r="BH35" s="631"/>
      <c r="BI35" s="631"/>
      <c r="BJ35" s="631"/>
      <c r="BK35" s="631"/>
      <c r="BL35" s="1478"/>
      <c r="BM35" s="631"/>
      <c r="BN35" s="631"/>
      <c r="BO35" s="631"/>
      <c r="BP35" s="1395"/>
      <c r="BQ35" s="2342"/>
      <c r="BR35" s="631"/>
      <c r="BS35" s="631"/>
      <c r="BT35" s="631"/>
      <c r="BU35" s="631"/>
      <c r="BV35" s="631"/>
      <c r="BW35" s="631"/>
      <c r="BX35" s="631"/>
      <c r="BY35" s="631"/>
      <c r="BZ35" s="631"/>
      <c r="CA35" s="631"/>
      <c r="CB35" s="631"/>
      <c r="CC35" s="631"/>
      <c r="CD35" s="1519" t="s">
        <v>4500</v>
      </c>
      <c r="CE35" s="630" t="s">
        <v>2036</v>
      </c>
      <c r="CF35" s="629"/>
      <c r="CG35" s="633"/>
      <c r="CH35" s="1288"/>
      <c r="CI35" s="1291"/>
      <c r="CJ35" s="1281"/>
      <c r="CK35" s="1281"/>
      <c r="CL35" s="1281"/>
      <c r="CM35" s="1281"/>
      <c r="CN35" s="1281"/>
      <c r="CO35" s="1281"/>
      <c r="CP35" s="1281"/>
    </row>
    <row r="36" spans="1:94" ht="18" x14ac:dyDescent="0.25">
      <c r="B36" s="1585">
        <v>33</v>
      </c>
      <c r="C36" s="628" t="s">
        <v>253</v>
      </c>
      <c r="D36" s="629" t="s">
        <v>3173</v>
      </c>
      <c r="E36" s="1396" t="s">
        <v>4433</v>
      </c>
      <c r="F36" s="1395" t="s">
        <v>4435</v>
      </c>
      <c r="G36" s="630"/>
      <c r="H36" s="630"/>
      <c r="I36" s="630"/>
      <c r="J36" s="630"/>
      <c r="K36" s="630"/>
      <c r="L36" s="630"/>
      <c r="M36" s="631"/>
      <c r="N36" s="631"/>
      <c r="O36" s="630"/>
      <c r="P36" s="630"/>
      <c r="Q36" s="630"/>
      <c r="R36" s="630">
        <v>1</v>
      </c>
      <c r="S36" s="630"/>
      <c r="T36" s="630"/>
      <c r="U36" s="630"/>
      <c r="V36" s="630"/>
      <c r="W36" s="630"/>
      <c r="X36" s="630"/>
      <c r="Y36" s="630" t="s">
        <v>1655</v>
      </c>
      <c r="Z36" s="631"/>
      <c r="AA36" s="631"/>
      <c r="AB36" s="631"/>
      <c r="AC36" s="630"/>
      <c r="AD36" s="630"/>
      <c r="AE36" s="630"/>
      <c r="AF36" s="630" t="s">
        <v>1656</v>
      </c>
      <c r="AG36" s="631"/>
      <c r="AH36" s="630"/>
      <c r="AI36" s="630"/>
      <c r="AJ36" s="630"/>
      <c r="AK36" s="630"/>
      <c r="AL36" s="630"/>
      <c r="AM36" s="1396" t="s">
        <v>4468</v>
      </c>
      <c r="AN36" s="1396" t="s">
        <v>4477</v>
      </c>
      <c r="AO36" s="945" t="s">
        <v>2515</v>
      </c>
      <c r="AP36" s="945" t="s">
        <v>3687</v>
      </c>
      <c r="AQ36" s="945" t="s">
        <v>3688</v>
      </c>
      <c r="AR36" s="945" t="s">
        <v>3689</v>
      </c>
      <c r="AS36" s="945" t="s">
        <v>3690</v>
      </c>
      <c r="AT36" s="631"/>
      <c r="AU36" s="631"/>
      <c r="AV36" s="631"/>
      <c r="AW36" s="631"/>
      <c r="AX36" s="631"/>
      <c r="AY36" s="631"/>
      <c r="AZ36" s="631"/>
      <c r="BA36" s="631"/>
      <c r="BB36" s="631"/>
      <c r="BC36" s="631"/>
      <c r="BD36" s="631"/>
      <c r="BE36" s="631"/>
      <c r="BF36" s="631"/>
      <c r="BG36" s="631"/>
      <c r="BH36" s="631"/>
      <c r="BI36" s="631"/>
      <c r="BJ36" s="631"/>
      <c r="BK36" s="631"/>
      <c r="BL36" s="1478"/>
      <c r="BM36" s="631"/>
      <c r="BN36" s="631"/>
      <c r="BO36" s="631"/>
      <c r="BP36" s="1395"/>
      <c r="BQ36" s="2342"/>
      <c r="BR36" s="631"/>
      <c r="BS36" s="631"/>
      <c r="BT36" s="631"/>
      <c r="BU36" s="631"/>
      <c r="BV36" s="631"/>
      <c r="BW36" s="631"/>
      <c r="BX36" s="631"/>
      <c r="BY36" s="631"/>
      <c r="BZ36" s="631"/>
      <c r="CA36" s="631"/>
      <c r="CB36" s="631"/>
      <c r="CC36" s="631"/>
      <c r="CD36" s="1519" t="s">
        <v>4501</v>
      </c>
      <c r="CE36" s="630" t="s">
        <v>2036</v>
      </c>
      <c r="CF36" s="629"/>
      <c r="CG36" s="633"/>
      <c r="CH36" s="1288"/>
      <c r="CI36" s="1291"/>
      <c r="CJ36" s="1281"/>
      <c r="CK36" s="1281"/>
      <c r="CL36" s="1281"/>
      <c r="CM36" s="1281"/>
      <c r="CN36" s="1281"/>
      <c r="CO36" s="1281"/>
      <c r="CP36" s="1281"/>
    </row>
    <row r="37" spans="1:94" ht="18" x14ac:dyDescent="0.25">
      <c r="B37" s="1585">
        <v>34</v>
      </c>
      <c r="C37" s="628" t="s">
        <v>4508</v>
      </c>
      <c r="D37" s="629" t="s">
        <v>4430</v>
      </c>
      <c r="E37" s="1395" t="s">
        <v>4434</v>
      </c>
      <c r="F37" s="630"/>
      <c r="G37" s="630"/>
      <c r="H37" s="630"/>
      <c r="I37" s="630" t="s">
        <v>1661</v>
      </c>
      <c r="J37" s="630"/>
      <c r="K37" s="630"/>
      <c r="L37" s="630"/>
      <c r="M37" s="1395" t="s">
        <v>4444</v>
      </c>
      <c r="N37" s="1395" t="s">
        <v>4445</v>
      </c>
      <c r="O37" s="630" t="s">
        <v>1662</v>
      </c>
      <c r="P37" s="630"/>
      <c r="Q37" s="630"/>
      <c r="R37" s="630">
        <v>-1</v>
      </c>
      <c r="S37" s="630"/>
      <c r="T37" s="630"/>
      <c r="U37" s="630"/>
      <c r="V37" s="630"/>
      <c r="W37" s="630"/>
      <c r="X37" s="630"/>
      <c r="Y37" s="630" t="s">
        <v>2183</v>
      </c>
      <c r="Z37" s="630"/>
      <c r="AA37" s="630"/>
      <c r="AB37" s="630"/>
      <c r="AC37" s="630"/>
      <c r="AD37" s="630" t="s">
        <v>1663</v>
      </c>
      <c r="AE37" s="630"/>
      <c r="AF37" s="1395" t="s">
        <v>4463</v>
      </c>
      <c r="AG37" s="1395" t="s">
        <v>4464</v>
      </c>
      <c r="AH37" s="630"/>
      <c r="AI37" s="630" t="s">
        <v>1664</v>
      </c>
      <c r="AJ37" s="630"/>
      <c r="AK37" s="630"/>
      <c r="AL37" s="630"/>
      <c r="AM37" s="630"/>
      <c r="AN37" s="1396" t="s">
        <v>4478</v>
      </c>
      <c r="AO37" s="946" t="s">
        <v>2516</v>
      </c>
      <c r="AP37" s="945" t="s">
        <v>3691</v>
      </c>
      <c r="AQ37" s="945" t="s">
        <v>3692</v>
      </c>
      <c r="AR37" s="1395" t="s">
        <v>4487</v>
      </c>
      <c r="AS37" s="1395" t="s">
        <v>4490</v>
      </c>
      <c r="AT37" s="1395" t="s">
        <v>4491</v>
      </c>
      <c r="AU37" s="630"/>
      <c r="AV37" s="630"/>
      <c r="AW37" s="630"/>
      <c r="AX37" s="630"/>
      <c r="AY37" s="630"/>
      <c r="AZ37" s="630"/>
      <c r="BA37" s="630"/>
      <c r="BB37" s="630"/>
      <c r="BC37" s="630"/>
      <c r="BD37" s="630"/>
      <c r="BE37" s="630"/>
      <c r="BF37" s="630"/>
      <c r="BG37" s="630"/>
      <c r="BH37" s="630"/>
      <c r="BI37" s="630"/>
      <c r="BJ37" s="630"/>
      <c r="BK37" s="630"/>
      <c r="BL37" s="1478"/>
      <c r="BM37" s="630"/>
      <c r="BN37" s="630"/>
      <c r="BO37" s="630"/>
      <c r="BP37" s="1396"/>
      <c r="BQ37" s="2343"/>
      <c r="BR37" s="630"/>
      <c r="BS37" s="630"/>
      <c r="BT37" s="630"/>
      <c r="BU37" s="630"/>
      <c r="BV37" s="630"/>
      <c r="BW37" s="630"/>
      <c r="BX37" s="630"/>
      <c r="BY37" s="630"/>
      <c r="BZ37" s="630"/>
      <c r="CA37" s="630"/>
      <c r="CB37" s="630"/>
      <c r="CC37" s="630"/>
      <c r="CD37" s="1519" t="s">
        <v>4503</v>
      </c>
      <c r="CE37" s="630" t="s">
        <v>2036</v>
      </c>
      <c r="CF37" s="629"/>
      <c r="CG37" s="633"/>
      <c r="CH37" s="1288"/>
      <c r="CI37" s="1281"/>
      <c r="CJ37" s="1281"/>
      <c r="CK37" s="1281"/>
      <c r="CL37" s="1281"/>
      <c r="CM37" s="1281"/>
      <c r="CN37" s="1281"/>
      <c r="CO37" s="1281"/>
      <c r="CP37" s="1281"/>
    </row>
    <row r="38" spans="1:94" ht="18" x14ac:dyDescent="0.25">
      <c r="B38" s="1585">
        <v>35</v>
      </c>
      <c r="C38" s="628" t="s">
        <v>4509</v>
      </c>
      <c r="D38" s="629" t="s">
        <v>4431</v>
      </c>
      <c r="E38" s="1395" t="s">
        <v>4434</v>
      </c>
      <c r="F38" s="630"/>
      <c r="G38" s="630"/>
      <c r="H38" s="630"/>
      <c r="I38" s="630" t="s">
        <v>1661</v>
      </c>
      <c r="J38" s="630"/>
      <c r="K38" s="630"/>
      <c r="L38" s="630"/>
      <c r="M38" s="1395" t="s">
        <v>4444</v>
      </c>
      <c r="N38" s="1395" t="s">
        <v>4445</v>
      </c>
      <c r="O38" s="630"/>
      <c r="P38" s="630" t="s">
        <v>1662</v>
      </c>
      <c r="Q38" s="630"/>
      <c r="R38" s="630">
        <v>-1</v>
      </c>
      <c r="S38" s="630"/>
      <c r="T38" s="630"/>
      <c r="U38" s="630"/>
      <c r="V38" s="630"/>
      <c r="W38" s="630"/>
      <c r="X38" s="630"/>
      <c r="Y38" s="630" t="s">
        <v>2183</v>
      </c>
      <c r="Z38" s="630"/>
      <c r="AA38" s="630"/>
      <c r="AB38" s="630"/>
      <c r="AC38" s="630"/>
      <c r="AD38" s="630" t="s">
        <v>1663</v>
      </c>
      <c r="AE38" s="630"/>
      <c r="AF38" s="1395" t="s">
        <v>4463</v>
      </c>
      <c r="AG38" s="1395" t="s">
        <v>4464</v>
      </c>
      <c r="AH38" s="630"/>
      <c r="AI38" s="630" t="s">
        <v>1664</v>
      </c>
      <c r="AJ38" s="630"/>
      <c r="AK38" s="630"/>
      <c r="AL38" s="630"/>
      <c r="AM38" s="630"/>
      <c r="AN38" s="1396" t="s">
        <v>4478</v>
      </c>
      <c r="AO38" s="946" t="s">
        <v>2516</v>
      </c>
      <c r="AP38" s="945" t="s">
        <v>3691</v>
      </c>
      <c r="AQ38" s="945" t="s">
        <v>3692</v>
      </c>
      <c r="AR38" s="1395" t="s">
        <v>4487</v>
      </c>
      <c r="AS38" s="1395" t="s">
        <v>4490</v>
      </c>
      <c r="AT38" s="1395" t="s">
        <v>4491</v>
      </c>
      <c r="AU38" s="630"/>
      <c r="AV38" s="630"/>
      <c r="AW38" s="630"/>
      <c r="AX38" s="630"/>
      <c r="AY38" s="630"/>
      <c r="AZ38" s="630"/>
      <c r="BA38" s="630"/>
      <c r="BB38" s="630"/>
      <c r="BC38" s="630"/>
      <c r="BD38" s="630"/>
      <c r="BE38" s="630"/>
      <c r="BF38" s="630"/>
      <c r="BG38" s="630"/>
      <c r="BH38" s="630"/>
      <c r="BI38" s="630"/>
      <c r="BJ38" s="630"/>
      <c r="BK38" s="630"/>
      <c r="BL38" s="1478"/>
      <c r="BM38" s="630"/>
      <c r="BN38" s="630"/>
      <c r="BO38" s="630"/>
      <c r="BP38" s="1396"/>
      <c r="BQ38" s="2343"/>
      <c r="BR38" s="630"/>
      <c r="BS38" s="630"/>
      <c r="BT38" s="630"/>
      <c r="BU38" s="630"/>
      <c r="BV38" s="630"/>
      <c r="BW38" s="630"/>
      <c r="BX38" s="630"/>
      <c r="BY38" s="630"/>
      <c r="BZ38" s="630"/>
      <c r="CA38" s="630"/>
      <c r="CB38" s="630"/>
      <c r="CC38" s="630"/>
      <c r="CD38" s="1519" t="s">
        <v>4502</v>
      </c>
      <c r="CE38" s="630" t="s">
        <v>2036</v>
      </c>
      <c r="CF38" s="629"/>
      <c r="CG38" s="633"/>
      <c r="CH38" s="1288"/>
      <c r="CI38" s="1281"/>
      <c r="CJ38" s="1281"/>
      <c r="CK38" s="1281"/>
      <c r="CL38" s="1281"/>
      <c r="CM38" s="1281"/>
      <c r="CN38" s="1281"/>
      <c r="CO38" s="1281"/>
      <c r="CP38" s="1281"/>
    </row>
    <row r="39" spans="1:94" s="69" customFormat="1" ht="18" x14ac:dyDescent="0.25">
      <c r="A39"/>
      <c r="B39" s="2402">
        <v>36</v>
      </c>
      <c r="C39" s="2403" t="s">
        <v>4510</v>
      </c>
      <c r="D39" s="2404" t="s">
        <v>4801</v>
      </c>
      <c r="E39" s="2343"/>
      <c r="F39" s="2343"/>
      <c r="G39" s="2343"/>
      <c r="H39" s="2343"/>
      <c r="I39" s="2343"/>
      <c r="J39" s="2343"/>
      <c r="K39" s="2343"/>
      <c r="L39" s="2343"/>
      <c r="M39" s="2343"/>
      <c r="N39" s="2343"/>
      <c r="O39" s="2343"/>
      <c r="P39" s="2343"/>
      <c r="Q39" s="2342"/>
      <c r="R39" s="2343"/>
      <c r="S39" s="2343"/>
      <c r="T39" s="2343"/>
      <c r="U39" s="2343"/>
      <c r="V39" s="2343"/>
      <c r="W39" s="2342"/>
      <c r="X39" s="2343"/>
      <c r="Y39" s="2343"/>
      <c r="Z39" s="2343"/>
      <c r="AA39" s="2343"/>
      <c r="AB39" s="2343"/>
      <c r="AC39" s="2342"/>
      <c r="AD39" s="2343"/>
      <c r="AE39" s="2343"/>
      <c r="AF39" s="2343"/>
      <c r="AG39" s="2343"/>
      <c r="AH39" s="2343"/>
      <c r="AI39" s="2343"/>
      <c r="AJ39" s="2343"/>
      <c r="AK39" s="2343"/>
      <c r="AL39" s="2343"/>
      <c r="AM39" s="2343"/>
      <c r="AN39" s="2343"/>
      <c r="AO39" s="2343"/>
      <c r="AP39" s="2342"/>
      <c r="AQ39" s="2343"/>
      <c r="AR39" s="2342"/>
      <c r="AS39" s="2343"/>
      <c r="AT39" s="2343"/>
      <c r="AU39" s="2342"/>
      <c r="AV39" s="2342"/>
      <c r="AW39" s="2343"/>
      <c r="AX39" s="2342"/>
      <c r="AY39" s="2342"/>
      <c r="AZ39" s="2343"/>
      <c r="BA39" s="2343"/>
      <c r="BB39" s="2342"/>
      <c r="BC39" s="2342"/>
      <c r="BD39" s="2343"/>
      <c r="BE39" s="2342"/>
      <c r="BF39" s="2342"/>
      <c r="BG39" s="2342"/>
      <c r="BH39" s="2342"/>
      <c r="BI39" s="2342"/>
      <c r="BJ39" s="2342"/>
      <c r="BK39" s="2342"/>
      <c r="BL39" s="2342"/>
      <c r="BM39" s="2342"/>
      <c r="BN39" s="2342"/>
      <c r="BO39" s="2342"/>
      <c r="BP39" s="2342"/>
      <c r="BQ39" s="2342">
        <v>1</v>
      </c>
      <c r="BR39" s="2342"/>
      <c r="BS39" s="2342"/>
      <c r="BT39" s="2342"/>
      <c r="BU39" s="2342"/>
      <c r="BV39" s="2342"/>
      <c r="BW39" s="2342"/>
      <c r="BX39" s="2342"/>
      <c r="BY39" s="2342"/>
      <c r="BZ39" s="2342"/>
      <c r="CA39" s="2342"/>
      <c r="CB39" s="2342"/>
      <c r="CC39" s="2388"/>
      <c r="CD39" s="2388" t="s">
        <v>4802</v>
      </c>
      <c r="CE39" s="2405" t="s">
        <v>4803</v>
      </c>
      <c r="CF39" s="2388"/>
      <c r="CG39" s="2389"/>
      <c r="CH39" s="1283"/>
      <c r="CI39" s="1283"/>
      <c r="CJ39" s="1283"/>
      <c r="CK39" s="1283"/>
      <c r="CL39" s="1283"/>
      <c r="CM39" s="1283"/>
      <c r="CN39" s="1283"/>
      <c r="CO39" s="1283"/>
      <c r="CP39" s="1283"/>
    </row>
    <row r="40" spans="1:94" ht="18" x14ac:dyDescent="0.25">
      <c r="B40" s="2396">
        <v>37</v>
      </c>
      <c r="C40" s="2397" t="s">
        <v>296</v>
      </c>
      <c r="D40" s="2398" t="s">
        <v>2263</v>
      </c>
      <c r="E40" s="2399"/>
      <c r="F40" s="2344"/>
      <c r="G40" s="2344"/>
      <c r="H40" s="2344"/>
      <c r="I40" s="2344"/>
      <c r="J40" s="2344"/>
      <c r="K40" s="2344"/>
      <c r="L40" s="2344"/>
      <c r="M40" s="2399"/>
      <c r="N40" s="2399"/>
      <c r="O40" s="2344"/>
      <c r="P40" s="2344"/>
      <c r="Q40" s="2344"/>
      <c r="R40" s="2344"/>
      <c r="S40" s="2344"/>
      <c r="T40" s="2344">
        <v>1</v>
      </c>
      <c r="U40" s="2344"/>
      <c r="V40" s="2344"/>
      <c r="W40" s="2344"/>
      <c r="X40" s="2344"/>
      <c r="Y40" s="2344" t="s">
        <v>2258</v>
      </c>
      <c r="Z40" s="2399" t="s">
        <v>2259</v>
      </c>
      <c r="AA40" s="2399"/>
      <c r="AB40" s="2344"/>
      <c r="AC40" s="2344"/>
      <c r="AD40" s="2344"/>
      <c r="AE40" s="2344"/>
      <c r="AF40" s="2399" t="s">
        <v>1656</v>
      </c>
      <c r="AG40" s="2399"/>
      <c r="AH40" s="2344"/>
      <c r="AI40" s="2344"/>
      <c r="AJ40" s="2344"/>
      <c r="AK40" s="2399" t="s">
        <v>2256</v>
      </c>
      <c r="AL40" s="2344"/>
      <c r="AM40" s="2344"/>
      <c r="AN40" s="2399" t="s">
        <v>1678</v>
      </c>
      <c r="AO40" s="2399" t="s">
        <v>2515</v>
      </c>
      <c r="AP40" s="2399" t="s">
        <v>3687</v>
      </c>
      <c r="AQ40" s="2399" t="s">
        <v>3688</v>
      </c>
      <c r="AR40" s="2399" t="s">
        <v>3689</v>
      </c>
      <c r="AS40" s="2399" t="s">
        <v>3690</v>
      </c>
      <c r="AT40" s="2399"/>
      <c r="AU40" s="2344"/>
      <c r="AV40" s="2344"/>
      <c r="AW40" s="2344"/>
      <c r="AX40" s="2344"/>
      <c r="AY40" s="2344"/>
      <c r="AZ40" s="2344"/>
      <c r="BA40" s="2344"/>
      <c r="BB40" s="2344"/>
      <c r="BC40" s="2344"/>
      <c r="BD40" s="2344"/>
      <c r="BE40" s="2344"/>
      <c r="BF40" s="2344"/>
      <c r="BG40" s="2344"/>
      <c r="BH40" s="2344"/>
      <c r="BI40" s="2344"/>
      <c r="BJ40" s="2344"/>
      <c r="BK40" s="2344"/>
      <c r="BL40" s="2399"/>
      <c r="BM40" s="2344"/>
      <c r="BN40" s="2344"/>
      <c r="BO40" s="2344"/>
      <c r="BP40" s="2344"/>
      <c r="BQ40" s="2344"/>
      <c r="BR40" s="2344"/>
      <c r="BS40" s="2344"/>
      <c r="BT40" s="2344"/>
      <c r="BU40" s="2344"/>
      <c r="BV40" s="2344"/>
      <c r="BW40" s="2344"/>
      <c r="BX40" s="2344"/>
      <c r="BY40" s="2344"/>
      <c r="BZ40" s="2344"/>
      <c r="CA40" s="2344"/>
      <c r="CB40" s="2344"/>
      <c r="CC40" s="2344"/>
      <c r="CD40" s="2400" t="s">
        <v>3726</v>
      </c>
      <c r="CE40" s="2399" t="s">
        <v>2036</v>
      </c>
      <c r="CF40" s="2400"/>
      <c r="CG40" s="2401"/>
      <c r="CH40" s="1288"/>
      <c r="CI40" s="1281"/>
      <c r="CJ40" s="1281"/>
      <c r="CK40" s="1281"/>
      <c r="CL40" s="1281"/>
      <c r="CM40" s="1281"/>
      <c r="CN40" s="1281"/>
      <c r="CO40" s="1281"/>
      <c r="CP40" s="1281"/>
    </row>
    <row r="41" spans="1:94" ht="18" x14ac:dyDescent="0.25">
      <c r="B41" s="1586">
        <v>38</v>
      </c>
      <c r="C41" s="1525" t="s">
        <v>4511</v>
      </c>
      <c r="D41" s="636" t="s">
        <v>2264</v>
      </c>
      <c r="E41" s="634"/>
      <c r="F41" s="635"/>
      <c r="G41" s="635"/>
      <c r="H41" s="635"/>
      <c r="I41" s="635" t="s">
        <v>1661</v>
      </c>
      <c r="J41" s="635"/>
      <c r="K41" s="635"/>
      <c r="L41" s="635"/>
      <c r="M41" s="634"/>
      <c r="N41" s="634"/>
      <c r="O41" s="635" t="s">
        <v>1662</v>
      </c>
      <c r="P41" s="635"/>
      <c r="Q41" s="635"/>
      <c r="R41" s="635"/>
      <c r="S41" s="635"/>
      <c r="T41" s="635">
        <v>-1</v>
      </c>
      <c r="U41" s="635"/>
      <c r="V41" s="635"/>
      <c r="W41" s="635"/>
      <c r="X41" s="635"/>
      <c r="Y41" s="635" t="s">
        <v>2183</v>
      </c>
      <c r="Z41" s="635"/>
      <c r="AA41" s="635"/>
      <c r="AB41" s="635"/>
      <c r="AC41" s="635"/>
      <c r="AD41" s="635" t="s">
        <v>1663</v>
      </c>
      <c r="AE41" s="635"/>
      <c r="AF41" s="635"/>
      <c r="AG41" s="634"/>
      <c r="AH41" s="635"/>
      <c r="AI41" s="635" t="s">
        <v>1664</v>
      </c>
      <c r="AJ41" s="635"/>
      <c r="AK41" s="635"/>
      <c r="AL41" s="635"/>
      <c r="AM41" s="635"/>
      <c r="AN41" s="635" t="s">
        <v>2008</v>
      </c>
      <c r="AO41" s="634" t="s">
        <v>2516</v>
      </c>
      <c r="AP41" s="634" t="s">
        <v>3691</v>
      </c>
      <c r="AQ41" s="634" t="s">
        <v>3692</v>
      </c>
      <c r="AR41" s="634" t="s">
        <v>3693</v>
      </c>
      <c r="AS41" s="634" t="s">
        <v>3694</v>
      </c>
      <c r="AT41" s="634"/>
      <c r="AU41" s="635"/>
      <c r="AV41" s="635"/>
      <c r="AW41" s="635"/>
      <c r="AX41" s="635"/>
      <c r="AY41" s="635"/>
      <c r="AZ41" s="635"/>
      <c r="BA41" s="635"/>
      <c r="BB41" s="635"/>
      <c r="BC41" s="635"/>
      <c r="BD41" s="635"/>
      <c r="BE41" s="635"/>
      <c r="BF41" s="635"/>
      <c r="BG41" s="635"/>
      <c r="BH41" s="635"/>
      <c r="BI41" s="635"/>
      <c r="BJ41" s="635"/>
      <c r="BK41" s="635"/>
      <c r="BL41" s="1544"/>
      <c r="BM41" s="635"/>
      <c r="BN41" s="635"/>
      <c r="BO41" s="635"/>
      <c r="BP41" s="1397"/>
      <c r="BQ41" s="2344"/>
      <c r="BR41" s="635"/>
      <c r="BS41" s="635"/>
      <c r="BT41" s="635"/>
      <c r="BU41" s="635"/>
      <c r="BV41" s="635"/>
      <c r="BW41" s="635"/>
      <c r="BX41" s="635"/>
      <c r="BY41" s="635"/>
      <c r="BZ41" s="635"/>
      <c r="CA41" s="635"/>
      <c r="CB41" s="635"/>
      <c r="CC41" s="635"/>
      <c r="CD41" s="636" t="s">
        <v>3960</v>
      </c>
      <c r="CE41" s="635" t="s">
        <v>2036</v>
      </c>
      <c r="CF41" s="636"/>
      <c r="CG41" s="637"/>
      <c r="CH41" s="1288"/>
      <c r="CI41" s="1281"/>
      <c r="CJ41" s="1281"/>
      <c r="CK41" s="1281"/>
      <c r="CL41" s="1281"/>
      <c r="CM41" s="1281"/>
      <c r="CN41" s="1281"/>
      <c r="CO41" s="1281"/>
      <c r="CP41" s="1281"/>
    </row>
    <row r="42" spans="1:94" ht="18" x14ac:dyDescent="0.25">
      <c r="B42" s="1586">
        <v>39</v>
      </c>
      <c r="C42" s="1525" t="s">
        <v>4512</v>
      </c>
      <c r="D42" s="636" t="s">
        <v>3081</v>
      </c>
      <c r="E42" s="634"/>
      <c r="F42" s="635"/>
      <c r="G42" s="635"/>
      <c r="H42" s="635"/>
      <c r="I42" s="635" t="s">
        <v>1661</v>
      </c>
      <c r="J42" s="635"/>
      <c r="K42" s="635"/>
      <c r="L42" s="635"/>
      <c r="M42" s="634"/>
      <c r="N42" s="634"/>
      <c r="O42" s="635"/>
      <c r="P42" s="635" t="s">
        <v>1662</v>
      </c>
      <c r="Q42" s="635"/>
      <c r="R42" s="635"/>
      <c r="S42" s="635"/>
      <c r="T42" s="635">
        <v>-1</v>
      </c>
      <c r="U42" s="635"/>
      <c r="V42" s="635"/>
      <c r="W42" s="635"/>
      <c r="X42" s="635"/>
      <c r="Y42" s="635" t="s">
        <v>2183</v>
      </c>
      <c r="Z42" s="635"/>
      <c r="AA42" s="635"/>
      <c r="AB42" s="635"/>
      <c r="AC42" s="635"/>
      <c r="AD42" s="635" t="s">
        <v>1663</v>
      </c>
      <c r="AE42" s="635"/>
      <c r="AF42" s="635"/>
      <c r="AG42" s="634"/>
      <c r="AH42" s="635"/>
      <c r="AI42" s="635" t="s">
        <v>1664</v>
      </c>
      <c r="AJ42" s="635"/>
      <c r="AK42" s="635"/>
      <c r="AL42" s="635"/>
      <c r="AM42" s="635"/>
      <c r="AN42" s="635" t="s">
        <v>2008</v>
      </c>
      <c r="AO42" s="634" t="s">
        <v>2516</v>
      </c>
      <c r="AP42" s="634" t="s">
        <v>3691</v>
      </c>
      <c r="AQ42" s="634" t="s">
        <v>3692</v>
      </c>
      <c r="AR42" s="634" t="s">
        <v>3693</v>
      </c>
      <c r="AS42" s="634" t="s">
        <v>3694</v>
      </c>
      <c r="AT42" s="634"/>
      <c r="AU42" s="635"/>
      <c r="AV42" s="635"/>
      <c r="AW42" s="635"/>
      <c r="AX42" s="635"/>
      <c r="AY42" s="635"/>
      <c r="AZ42" s="635"/>
      <c r="BA42" s="635"/>
      <c r="BB42" s="635"/>
      <c r="BC42" s="635"/>
      <c r="BD42" s="635"/>
      <c r="BE42" s="635"/>
      <c r="BF42" s="635"/>
      <c r="BG42" s="635"/>
      <c r="BH42" s="635"/>
      <c r="BI42" s="635"/>
      <c r="BJ42" s="635"/>
      <c r="BK42" s="635"/>
      <c r="BL42" s="1544"/>
      <c r="BM42" s="635"/>
      <c r="BN42" s="635"/>
      <c r="BO42" s="635"/>
      <c r="BP42" s="1397"/>
      <c r="BQ42" s="2344"/>
      <c r="BR42" s="635"/>
      <c r="BS42" s="635"/>
      <c r="BT42" s="635"/>
      <c r="BU42" s="635"/>
      <c r="BV42" s="635"/>
      <c r="BW42" s="635"/>
      <c r="BX42" s="635"/>
      <c r="BY42" s="635"/>
      <c r="BZ42" s="635"/>
      <c r="CA42" s="635"/>
      <c r="CB42" s="635"/>
      <c r="CC42" s="635"/>
      <c r="CD42" s="636" t="s">
        <v>3961</v>
      </c>
      <c r="CE42" s="635" t="s">
        <v>2036</v>
      </c>
      <c r="CF42" s="636"/>
      <c r="CG42" s="637"/>
      <c r="CH42" s="1288"/>
      <c r="CI42" s="1281"/>
      <c r="CJ42" s="1281"/>
      <c r="CK42" s="1281"/>
      <c r="CL42" s="1281"/>
      <c r="CM42" s="1281"/>
      <c r="CN42" s="1281"/>
      <c r="CO42" s="1281"/>
      <c r="CP42" s="1281"/>
    </row>
    <row r="43" spans="1:94" ht="18" x14ac:dyDescent="0.25">
      <c r="B43" s="1587">
        <v>40</v>
      </c>
      <c r="C43" s="1526" t="s">
        <v>4513</v>
      </c>
      <c r="D43" s="639" t="s">
        <v>2265</v>
      </c>
      <c r="E43" s="638"/>
      <c r="F43" s="638"/>
      <c r="G43" s="638"/>
      <c r="H43" s="638"/>
      <c r="I43" s="638"/>
      <c r="J43" s="638"/>
      <c r="K43" s="638"/>
      <c r="L43" s="638"/>
      <c r="M43" s="638"/>
      <c r="N43" s="638"/>
      <c r="O43" s="638"/>
      <c r="P43" s="638"/>
      <c r="Q43" s="638"/>
      <c r="R43" s="638"/>
      <c r="S43" s="638"/>
      <c r="T43" s="638"/>
      <c r="U43" s="638">
        <v>1</v>
      </c>
      <c r="V43" s="638"/>
      <c r="W43" s="638"/>
      <c r="X43" s="638"/>
      <c r="Y43" s="638" t="s">
        <v>2260</v>
      </c>
      <c r="Z43" s="638" t="s">
        <v>2261</v>
      </c>
      <c r="AA43" s="638" t="s">
        <v>2262</v>
      </c>
      <c r="AB43" s="638"/>
      <c r="AC43" s="638"/>
      <c r="AD43" s="638"/>
      <c r="AE43" s="638"/>
      <c r="AF43" s="638" t="s">
        <v>1656</v>
      </c>
      <c r="AG43" s="638"/>
      <c r="AH43" s="638"/>
      <c r="AI43" s="638"/>
      <c r="AJ43" s="638"/>
      <c r="AK43" s="638" t="s">
        <v>2257</v>
      </c>
      <c r="AL43" s="638"/>
      <c r="AM43" s="638"/>
      <c r="AN43" s="638" t="s">
        <v>1678</v>
      </c>
      <c r="AO43" s="638" t="s">
        <v>2515</v>
      </c>
      <c r="AP43" s="638" t="s">
        <v>3687</v>
      </c>
      <c r="AQ43" s="638" t="s">
        <v>3688</v>
      </c>
      <c r="AR43" s="638" t="s">
        <v>3689</v>
      </c>
      <c r="AS43" s="638" t="s">
        <v>3690</v>
      </c>
      <c r="AT43" s="638"/>
      <c r="AU43" s="638"/>
      <c r="AV43" s="638"/>
      <c r="AW43" s="638"/>
      <c r="AX43" s="638"/>
      <c r="AY43" s="638"/>
      <c r="AZ43" s="638"/>
      <c r="BA43" s="638"/>
      <c r="BB43" s="638"/>
      <c r="BC43" s="638"/>
      <c r="BD43" s="638"/>
      <c r="BE43" s="638"/>
      <c r="BF43" s="638"/>
      <c r="BG43" s="638"/>
      <c r="BH43" s="638"/>
      <c r="BI43" s="638"/>
      <c r="BJ43" s="638"/>
      <c r="BK43" s="638"/>
      <c r="BL43" s="638"/>
      <c r="BM43" s="638"/>
      <c r="BN43" s="638"/>
      <c r="BO43" s="638"/>
      <c r="BP43" s="1398"/>
      <c r="BQ43" s="2345"/>
      <c r="BR43" s="638"/>
      <c r="BS43" s="638"/>
      <c r="BT43" s="638"/>
      <c r="BU43" s="638"/>
      <c r="BV43" s="638"/>
      <c r="BW43" s="638"/>
      <c r="BX43" s="638"/>
      <c r="BY43" s="638"/>
      <c r="BZ43" s="638"/>
      <c r="CA43" s="638"/>
      <c r="CB43" s="638"/>
      <c r="CC43" s="638"/>
      <c r="CD43" s="639" t="s">
        <v>3727</v>
      </c>
      <c r="CE43" s="638" t="s">
        <v>2036</v>
      </c>
      <c r="CF43" s="639"/>
      <c r="CG43" s="640"/>
      <c r="CH43" s="1288"/>
      <c r="CI43" s="1281"/>
      <c r="CJ43" s="1281"/>
      <c r="CK43" s="1281"/>
      <c r="CL43" s="1281"/>
      <c r="CM43" s="1281"/>
      <c r="CN43" s="1281"/>
      <c r="CO43" s="1281"/>
      <c r="CP43" s="1281"/>
    </row>
    <row r="44" spans="1:94" ht="18" x14ac:dyDescent="0.25">
      <c r="B44" s="1587">
        <v>41</v>
      </c>
      <c r="C44" s="1526" t="s">
        <v>352</v>
      </c>
      <c r="D44" s="639" t="s">
        <v>2266</v>
      </c>
      <c r="E44" s="638"/>
      <c r="F44" s="638"/>
      <c r="G44" s="638"/>
      <c r="H44" s="638"/>
      <c r="I44" s="638" t="s">
        <v>1661</v>
      </c>
      <c r="J44" s="638"/>
      <c r="K44" s="638"/>
      <c r="L44" s="638"/>
      <c r="M44" s="638"/>
      <c r="N44" s="638"/>
      <c r="O44" s="638" t="s">
        <v>1662</v>
      </c>
      <c r="P44" s="638"/>
      <c r="Q44" s="638"/>
      <c r="R44" s="638"/>
      <c r="S44" s="638"/>
      <c r="T44" s="638"/>
      <c r="U44" s="638">
        <v>-1</v>
      </c>
      <c r="V44" s="638"/>
      <c r="W44" s="638"/>
      <c r="X44" s="638"/>
      <c r="Y44" s="638" t="s">
        <v>2183</v>
      </c>
      <c r="Z44" s="638"/>
      <c r="AA44" s="638"/>
      <c r="AB44" s="638"/>
      <c r="AC44" s="638"/>
      <c r="AD44" s="638" t="s">
        <v>1663</v>
      </c>
      <c r="AE44" s="638"/>
      <c r="AF44" s="638"/>
      <c r="AG44" s="638"/>
      <c r="AH44" s="638"/>
      <c r="AI44" s="638" t="s">
        <v>1664</v>
      </c>
      <c r="AJ44" s="638"/>
      <c r="AK44" s="638"/>
      <c r="AL44" s="638"/>
      <c r="AM44" s="638"/>
      <c r="AN44" s="638" t="s">
        <v>2008</v>
      </c>
      <c r="AO44" s="638" t="s">
        <v>2516</v>
      </c>
      <c r="AP44" s="638" t="s">
        <v>3691</v>
      </c>
      <c r="AQ44" s="638" t="s">
        <v>3692</v>
      </c>
      <c r="AR44" s="638" t="s">
        <v>3693</v>
      </c>
      <c r="AS44" s="638" t="s">
        <v>3694</v>
      </c>
      <c r="AT44" s="638"/>
      <c r="AU44" s="638"/>
      <c r="AV44" s="638"/>
      <c r="AW44" s="638"/>
      <c r="AX44" s="638"/>
      <c r="AY44" s="638"/>
      <c r="AZ44" s="638"/>
      <c r="BA44" s="638"/>
      <c r="BB44" s="638"/>
      <c r="BC44" s="638"/>
      <c r="BD44" s="638"/>
      <c r="BE44" s="638"/>
      <c r="BF44" s="638"/>
      <c r="BG44" s="638"/>
      <c r="BH44" s="638"/>
      <c r="BI44" s="638"/>
      <c r="BJ44" s="638"/>
      <c r="BK44" s="638"/>
      <c r="BL44" s="638"/>
      <c r="BM44" s="638"/>
      <c r="BN44" s="638"/>
      <c r="BO44" s="638"/>
      <c r="BP44" s="1398"/>
      <c r="BQ44" s="2345"/>
      <c r="BR44" s="638"/>
      <c r="BS44" s="638"/>
      <c r="BT44" s="638"/>
      <c r="BU44" s="638"/>
      <c r="BV44" s="638"/>
      <c r="BW44" s="638"/>
      <c r="BX44" s="638"/>
      <c r="BY44" s="638"/>
      <c r="BZ44" s="638"/>
      <c r="CA44" s="638"/>
      <c r="CB44" s="638"/>
      <c r="CC44" s="638"/>
      <c r="CD44" s="639" t="s">
        <v>3962</v>
      </c>
      <c r="CE44" s="638" t="s">
        <v>2036</v>
      </c>
      <c r="CF44" s="639"/>
      <c r="CG44" s="640"/>
      <c r="CH44" s="1288"/>
      <c r="CI44" s="1281"/>
      <c r="CJ44" s="1281"/>
      <c r="CK44" s="1281"/>
      <c r="CL44" s="1281"/>
      <c r="CM44" s="1281"/>
      <c r="CN44" s="1281"/>
      <c r="CO44" s="1281"/>
      <c r="CP44" s="1281"/>
    </row>
    <row r="45" spans="1:94" ht="18" x14ac:dyDescent="0.25">
      <c r="B45" s="1587">
        <v>42</v>
      </c>
      <c r="C45" s="1526" t="s">
        <v>4514</v>
      </c>
      <c r="D45" s="639" t="s">
        <v>3082</v>
      </c>
      <c r="E45" s="638"/>
      <c r="F45" s="638"/>
      <c r="G45" s="638"/>
      <c r="H45" s="638"/>
      <c r="I45" s="638" t="s">
        <v>1661</v>
      </c>
      <c r="J45" s="638"/>
      <c r="K45" s="638"/>
      <c r="L45" s="638"/>
      <c r="M45" s="638"/>
      <c r="N45" s="638"/>
      <c r="O45" s="638"/>
      <c r="P45" s="638" t="s">
        <v>1662</v>
      </c>
      <c r="Q45" s="638"/>
      <c r="R45" s="638"/>
      <c r="S45" s="638"/>
      <c r="T45" s="638"/>
      <c r="U45" s="638">
        <v>-1</v>
      </c>
      <c r="V45" s="638"/>
      <c r="W45" s="638"/>
      <c r="X45" s="638"/>
      <c r="Y45" s="638" t="s">
        <v>2183</v>
      </c>
      <c r="Z45" s="638"/>
      <c r="AA45" s="638"/>
      <c r="AB45" s="638"/>
      <c r="AC45" s="638"/>
      <c r="AD45" s="638" t="s">
        <v>1663</v>
      </c>
      <c r="AE45" s="638"/>
      <c r="AF45" s="638"/>
      <c r="AG45" s="638"/>
      <c r="AH45" s="638"/>
      <c r="AI45" s="638" t="s">
        <v>1664</v>
      </c>
      <c r="AJ45" s="638"/>
      <c r="AK45" s="638"/>
      <c r="AL45" s="638"/>
      <c r="AM45" s="638"/>
      <c r="AN45" s="638" t="s">
        <v>2008</v>
      </c>
      <c r="AO45" s="638" t="s">
        <v>2516</v>
      </c>
      <c r="AP45" s="638" t="s">
        <v>3691</v>
      </c>
      <c r="AQ45" s="638" t="s">
        <v>3692</v>
      </c>
      <c r="AR45" s="638" t="s">
        <v>3693</v>
      </c>
      <c r="AS45" s="638" t="s">
        <v>3694</v>
      </c>
      <c r="AT45" s="638"/>
      <c r="AU45" s="638"/>
      <c r="AV45" s="638"/>
      <c r="AW45" s="638"/>
      <c r="AX45" s="638"/>
      <c r="AY45" s="638"/>
      <c r="AZ45" s="638"/>
      <c r="BA45" s="638"/>
      <c r="BB45" s="638"/>
      <c r="BC45" s="638"/>
      <c r="BD45" s="638"/>
      <c r="BE45" s="638"/>
      <c r="BF45" s="638"/>
      <c r="BG45" s="638"/>
      <c r="BH45" s="638"/>
      <c r="BI45" s="638"/>
      <c r="BJ45" s="638"/>
      <c r="BK45" s="638"/>
      <c r="BL45" s="638"/>
      <c r="BM45" s="638"/>
      <c r="BN45" s="638"/>
      <c r="BO45" s="638"/>
      <c r="BP45" s="1398"/>
      <c r="BQ45" s="2345"/>
      <c r="BR45" s="638"/>
      <c r="BS45" s="638"/>
      <c r="BT45" s="638"/>
      <c r="BU45" s="638"/>
      <c r="BV45" s="638"/>
      <c r="BW45" s="638"/>
      <c r="BX45" s="638"/>
      <c r="BY45" s="638"/>
      <c r="BZ45" s="638"/>
      <c r="CA45" s="638"/>
      <c r="CB45" s="638"/>
      <c r="CC45" s="638"/>
      <c r="CD45" s="639" t="s">
        <v>3963</v>
      </c>
      <c r="CE45" s="638" t="s">
        <v>2036</v>
      </c>
      <c r="CF45" s="639"/>
      <c r="CG45" s="640"/>
      <c r="CH45" s="1288"/>
      <c r="CI45" s="1281"/>
      <c r="CJ45" s="1281"/>
      <c r="CK45" s="1281"/>
      <c r="CL45" s="1281"/>
      <c r="CM45" s="1281"/>
      <c r="CN45" s="1281"/>
      <c r="CO45" s="1281"/>
      <c r="CP45" s="1281"/>
    </row>
    <row r="46" spans="1:94" ht="18" x14ac:dyDescent="0.25">
      <c r="B46" s="1588">
        <v>43</v>
      </c>
      <c r="C46" s="1527" t="s">
        <v>4515</v>
      </c>
      <c r="D46" s="645" t="s">
        <v>2267</v>
      </c>
      <c r="E46" s="641"/>
      <c r="F46" s="641"/>
      <c r="G46" s="641"/>
      <c r="H46" s="641"/>
      <c r="I46" s="641"/>
      <c r="J46" s="641"/>
      <c r="K46" s="641"/>
      <c r="L46" s="641"/>
      <c r="M46" s="641"/>
      <c r="N46" s="641"/>
      <c r="O46" s="641"/>
      <c r="P46" s="641"/>
      <c r="Q46" s="641"/>
      <c r="R46" s="641"/>
      <c r="S46" s="641"/>
      <c r="T46" s="641"/>
      <c r="U46" s="641"/>
      <c r="V46" s="641">
        <v>1</v>
      </c>
      <c r="W46" s="641"/>
      <c r="X46" s="641"/>
      <c r="Y46" s="2346" t="s">
        <v>4844</v>
      </c>
      <c r="Z46" s="2346" t="s">
        <v>4845</v>
      </c>
      <c r="AA46" s="2346" t="s">
        <v>4846</v>
      </c>
      <c r="AB46" s="2346" t="s">
        <v>4847</v>
      </c>
      <c r="AC46" s="2346"/>
      <c r="AD46" s="2346"/>
      <c r="AE46" s="641"/>
      <c r="AF46" s="641" t="s">
        <v>1656</v>
      </c>
      <c r="AG46" s="641"/>
      <c r="AH46" s="641"/>
      <c r="AI46" s="641"/>
      <c r="AJ46" s="641"/>
      <c r="AK46" s="641"/>
      <c r="AL46" s="641"/>
      <c r="AM46" s="641"/>
      <c r="AN46" s="641" t="s">
        <v>1678</v>
      </c>
      <c r="AO46" s="641" t="s">
        <v>2515</v>
      </c>
      <c r="AP46" s="641" t="s">
        <v>3687</v>
      </c>
      <c r="AQ46" s="641" t="s">
        <v>3688</v>
      </c>
      <c r="AR46" s="641" t="s">
        <v>3689</v>
      </c>
      <c r="AS46" s="641" t="s">
        <v>3690</v>
      </c>
      <c r="AT46" s="641"/>
      <c r="AU46" s="641"/>
      <c r="AV46" s="641"/>
      <c r="AW46" s="641"/>
      <c r="AX46" s="641"/>
      <c r="AY46" s="641"/>
      <c r="AZ46" s="641"/>
      <c r="BA46" s="641"/>
      <c r="BB46" s="641"/>
      <c r="BC46" s="641"/>
      <c r="BD46" s="641"/>
      <c r="BE46" s="641"/>
      <c r="BF46" s="641"/>
      <c r="BG46" s="641"/>
      <c r="BH46" s="641"/>
      <c r="BI46" s="641"/>
      <c r="BJ46" s="641"/>
      <c r="BK46" s="641"/>
      <c r="BL46" s="641"/>
      <c r="BM46" s="641"/>
      <c r="BN46" s="641"/>
      <c r="BO46" s="641"/>
      <c r="BP46" s="1399"/>
      <c r="BQ46" s="2346"/>
      <c r="BR46" s="641"/>
      <c r="BS46" s="641"/>
      <c r="BT46" s="641"/>
      <c r="BU46" s="641"/>
      <c r="BV46" s="641"/>
      <c r="BW46" s="641"/>
      <c r="BX46" s="641"/>
      <c r="BY46" s="641"/>
      <c r="BZ46" s="641"/>
      <c r="CA46" s="641"/>
      <c r="CB46" s="641"/>
      <c r="CC46" s="641"/>
      <c r="CD46" s="642" t="s">
        <v>3728</v>
      </c>
      <c r="CE46" s="641" t="s">
        <v>2036</v>
      </c>
      <c r="CF46" s="642"/>
      <c r="CG46" s="643"/>
      <c r="CH46" s="1288"/>
      <c r="CI46" s="1281"/>
      <c r="CJ46" s="1281"/>
      <c r="CK46" s="1281"/>
      <c r="CL46" s="1281"/>
      <c r="CM46" s="1281"/>
      <c r="CN46" s="1281"/>
      <c r="CO46" s="1281"/>
      <c r="CP46" s="1281"/>
    </row>
    <row r="47" spans="1:94" ht="18" x14ac:dyDescent="0.25">
      <c r="B47" s="1588">
        <v>44</v>
      </c>
      <c r="C47" s="1527" t="s">
        <v>847</v>
      </c>
      <c r="D47" s="645" t="s">
        <v>2268</v>
      </c>
      <c r="E47" s="644"/>
      <c r="F47" s="644"/>
      <c r="G47" s="644"/>
      <c r="H47" s="644"/>
      <c r="I47" s="644" t="s">
        <v>1661</v>
      </c>
      <c r="J47" s="644"/>
      <c r="K47" s="644"/>
      <c r="L47" s="644"/>
      <c r="M47" s="644"/>
      <c r="N47" s="644"/>
      <c r="O47" s="644" t="s">
        <v>1662</v>
      </c>
      <c r="P47" s="644"/>
      <c r="Q47" s="644"/>
      <c r="R47" s="644"/>
      <c r="S47" s="644"/>
      <c r="T47" s="644"/>
      <c r="U47" s="644"/>
      <c r="V47" s="644">
        <v>-1</v>
      </c>
      <c r="W47" s="644"/>
      <c r="X47" s="644"/>
      <c r="Y47" s="644" t="s">
        <v>2183</v>
      </c>
      <c r="Z47" s="644"/>
      <c r="AA47" s="644"/>
      <c r="AB47" s="644"/>
      <c r="AC47" s="644"/>
      <c r="AD47" s="644" t="s">
        <v>1663</v>
      </c>
      <c r="AE47" s="644"/>
      <c r="AF47" s="644"/>
      <c r="AG47" s="644"/>
      <c r="AH47" s="644"/>
      <c r="AI47" s="644" t="s">
        <v>1664</v>
      </c>
      <c r="AJ47" s="644"/>
      <c r="AK47" s="644"/>
      <c r="AL47" s="644"/>
      <c r="AM47" s="644"/>
      <c r="AN47" s="644" t="s">
        <v>2008</v>
      </c>
      <c r="AO47" s="644" t="s">
        <v>2516</v>
      </c>
      <c r="AP47" s="644" t="s">
        <v>3691</v>
      </c>
      <c r="AQ47" s="644" t="s">
        <v>3692</v>
      </c>
      <c r="AR47" s="644" t="s">
        <v>3693</v>
      </c>
      <c r="AS47" s="644" t="s">
        <v>3694</v>
      </c>
      <c r="AT47" s="644"/>
      <c r="AU47" s="644"/>
      <c r="AV47" s="644"/>
      <c r="AW47" s="644"/>
      <c r="AX47" s="644"/>
      <c r="AY47" s="644"/>
      <c r="AZ47" s="644"/>
      <c r="BA47" s="644"/>
      <c r="BB47" s="644"/>
      <c r="BC47" s="644"/>
      <c r="BD47" s="644"/>
      <c r="BE47" s="644"/>
      <c r="BF47" s="644"/>
      <c r="BG47" s="644"/>
      <c r="BH47" s="644"/>
      <c r="BI47" s="644"/>
      <c r="BJ47" s="644"/>
      <c r="BK47" s="644"/>
      <c r="BL47" s="644"/>
      <c r="BM47" s="644"/>
      <c r="BN47" s="644"/>
      <c r="BO47" s="644"/>
      <c r="BP47" s="1400"/>
      <c r="BQ47" s="2347"/>
      <c r="BR47" s="644"/>
      <c r="BS47" s="644"/>
      <c r="BT47" s="644"/>
      <c r="BU47" s="644"/>
      <c r="BV47" s="644"/>
      <c r="BW47" s="644"/>
      <c r="BX47" s="644"/>
      <c r="BY47" s="644"/>
      <c r="BZ47" s="644"/>
      <c r="CA47" s="644"/>
      <c r="CB47" s="644"/>
      <c r="CC47" s="644"/>
      <c r="CD47" s="645" t="s">
        <v>3964</v>
      </c>
      <c r="CE47" s="644" t="s">
        <v>2036</v>
      </c>
      <c r="CF47" s="645"/>
      <c r="CG47" s="646"/>
      <c r="CH47" s="1288"/>
      <c r="CI47" s="1281"/>
      <c r="CJ47" s="1281"/>
      <c r="CK47" s="1281"/>
      <c r="CL47" s="1281"/>
      <c r="CM47" s="1281"/>
      <c r="CN47" s="1281"/>
      <c r="CO47" s="1281"/>
      <c r="CP47" s="1281"/>
    </row>
    <row r="48" spans="1:94" ht="18" x14ac:dyDescent="0.25">
      <c r="B48" s="1588">
        <v>45</v>
      </c>
      <c r="C48" s="1527" t="s">
        <v>440</v>
      </c>
      <c r="D48" s="645" t="s">
        <v>3083</v>
      </c>
      <c r="E48" s="644"/>
      <c r="F48" s="644"/>
      <c r="G48" s="644"/>
      <c r="H48" s="644"/>
      <c r="I48" s="644" t="s">
        <v>1661</v>
      </c>
      <c r="J48" s="644"/>
      <c r="K48" s="644"/>
      <c r="L48" s="644"/>
      <c r="M48" s="644"/>
      <c r="N48" s="644"/>
      <c r="O48" s="644"/>
      <c r="P48" s="644" t="s">
        <v>1662</v>
      </c>
      <c r="Q48" s="644"/>
      <c r="R48" s="644"/>
      <c r="S48" s="644"/>
      <c r="T48" s="644"/>
      <c r="U48" s="644"/>
      <c r="V48" s="644">
        <v>-1</v>
      </c>
      <c r="W48" s="644"/>
      <c r="X48" s="644"/>
      <c r="Y48" s="644" t="s">
        <v>2183</v>
      </c>
      <c r="Z48" s="644"/>
      <c r="AA48" s="644"/>
      <c r="AB48" s="644"/>
      <c r="AC48" s="644"/>
      <c r="AD48" s="644" t="s">
        <v>1663</v>
      </c>
      <c r="AE48" s="644"/>
      <c r="AF48" s="644"/>
      <c r="AG48" s="644"/>
      <c r="AH48" s="644"/>
      <c r="AI48" s="644" t="s">
        <v>1664</v>
      </c>
      <c r="AJ48" s="644"/>
      <c r="AK48" s="644"/>
      <c r="AL48" s="644"/>
      <c r="AM48" s="644"/>
      <c r="AN48" s="644" t="s">
        <v>2008</v>
      </c>
      <c r="AO48" s="644" t="s">
        <v>2516</v>
      </c>
      <c r="AP48" s="644" t="s">
        <v>3691</v>
      </c>
      <c r="AQ48" s="644" t="s">
        <v>3692</v>
      </c>
      <c r="AR48" s="644" t="s">
        <v>3693</v>
      </c>
      <c r="AS48" s="644" t="s">
        <v>3694</v>
      </c>
      <c r="AT48" s="644"/>
      <c r="AU48" s="644"/>
      <c r="AV48" s="644"/>
      <c r="AW48" s="644"/>
      <c r="AX48" s="644"/>
      <c r="AY48" s="644"/>
      <c r="AZ48" s="644"/>
      <c r="BA48" s="644"/>
      <c r="BB48" s="644"/>
      <c r="BC48" s="644"/>
      <c r="BD48" s="644"/>
      <c r="BE48" s="644"/>
      <c r="BF48" s="644"/>
      <c r="BG48" s="644"/>
      <c r="BH48" s="644"/>
      <c r="BI48" s="644"/>
      <c r="BJ48" s="644"/>
      <c r="BK48" s="644"/>
      <c r="BL48" s="644"/>
      <c r="BM48" s="644"/>
      <c r="BN48" s="644"/>
      <c r="BO48" s="644"/>
      <c r="BP48" s="1400"/>
      <c r="BQ48" s="2347"/>
      <c r="BR48" s="644"/>
      <c r="BS48" s="644"/>
      <c r="BT48" s="644"/>
      <c r="BU48" s="644"/>
      <c r="BV48" s="644"/>
      <c r="BW48" s="644"/>
      <c r="BX48" s="644"/>
      <c r="BY48" s="644"/>
      <c r="BZ48" s="644"/>
      <c r="CA48" s="644"/>
      <c r="CB48" s="644"/>
      <c r="CC48" s="644"/>
      <c r="CD48" s="645" t="s">
        <v>3965</v>
      </c>
      <c r="CE48" s="644" t="s">
        <v>2036</v>
      </c>
      <c r="CF48" s="645"/>
      <c r="CG48" s="646"/>
      <c r="CH48" s="1288"/>
      <c r="CI48" s="1281"/>
      <c r="CJ48" s="1281"/>
      <c r="CK48" s="1281"/>
      <c r="CL48" s="1281"/>
      <c r="CM48" s="1281"/>
      <c r="CN48" s="1281"/>
      <c r="CO48" s="1281"/>
      <c r="CP48" s="1281"/>
    </row>
    <row r="49" spans="2:94" ht="18" x14ac:dyDescent="0.25">
      <c r="B49" s="1589">
        <v>46</v>
      </c>
      <c r="C49" s="1528" t="s">
        <v>441</v>
      </c>
      <c r="D49" s="650" t="s">
        <v>302</v>
      </c>
      <c r="E49" s="647" t="s">
        <v>1679</v>
      </c>
      <c r="F49" s="648"/>
      <c r="G49" s="648"/>
      <c r="H49" s="648"/>
      <c r="I49" s="648"/>
      <c r="J49" s="648"/>
      <c r="K49" s="648"/>
      <c r="L49" s="648"/>
      <c r="M49" s="648"/>
      <c r="N49" s="648"/>
      <c r="O49" s="648"/>
      <c r="P49" s="648"/>
      <c r="Q49" s="648"/>
      <c r="R49" s="648"/>
      <c r="S49" s="648"/>
      <c r="T49" s="648"/>
      <c r="U49" s="648"/>
      <c r="V49" s="648"/>
      <c r="W49" s="648">
        <v>1</v>
      </c>
      <c r="X49" s="648"/>
      <c r="Y49" s="648" t="s">
        <v>1655</v>
      </c>
      <c r="Z49" s="648"/>
      <c r="AA49" s="648"/>
      <c r="AB49" s="648"/>
      <c r="AC49" s="648"/>
      <c r="AD49" s="648"/>
      <c r="AE49" s="648"/>
      <c r="AF49" s="647" t="s">
        <v>1656</v>
      </c>
      <c r="AG49" s="648"/>
      <c r="AH49" s="648"/>
      <c r="AI49" s="648"/>
      <c r="AJ49" s="648"/>
      <c r="AK49" s="648"/>
      <c r="AL49" s="648" t="s">
        <v>1680</v>
      </c>
      <c r="AM49" s="648"/>
      <c r="AN49" s="648" t="s">
        <v>2221</v>
      </c>
      <c r="AO49" s="647" t="s">
        <v>2515</v>
      </c>
      <c r="AP49" s="647" t="s">
        <v>3687</v>
      </c>
      <c r="AQ49" s="647" t="s">
        <v>3688</v>
      </c>
      <c r="AR49" s="647" t="s">
        <v>3689</v>
      </c>
      <c r="AS49" s="647" t="s">
        <v>3690</v>
      </c>
      <c r="AT49" s="647"/>
      <c r="AU49" s="647"/>
      <c r="AV49" s="647"/>
      <c r="AW49" s="647"/>
      <c r="AX49" s="647"/>
      <c r="AY49" s="647"/>
      <c r="AZ49" s="647"/>
      <c r="BA49" s="647"/>
      <c r="BB49" s="647"/>
      <c r="BC49" s="647"/>
      <c r="BD49" s="647"/>
      <c r="BE49" s="647"/>
      <c r="BF49" s="647"/>
      <c r="BG49" s="647"/>
      <c r="BH49" s="647"/>
      <c r="BI49" s="647"/>
      <c r="BJ49" s="647"/>
      <c r="BK49" s="647"/>
      <c r="BL49" s="1545"/>
      <c r="BM49" s="647"/>
      <c r="BN49" s="647"/>
      <c r="BO49" s="647"/>
      <c r="BP49" s="1401"/>
      <c r="BQ49" s="2348"/>
      <c r="BR49" s="647"/>
      <c r="BS49" s="647"/>
      <c r="BT49" s="647"/>
      <c r="BU49" s="647"/>
      <c r="BV49" s="647"/>
      <c r="BW49" s="647"/>
      <c r="BX49" s="647"/>
      <c r="BY49" s="647"/>
      <c r="BZ49" s="647"/>
      <c r="CA49" s="647"/>
      <c r="CB49" s="647"/>
      <c r="CC49" s="647"/>
      <c r="CD49" s="649" t="s">
        <v>4737</v>
      </c>
      <c r="CE49" s="648" t="s">
        <v>2036</v>
      </c>
      <c r="CF49" s="650" t="s">
        <v>905</v>
      </c>
      <c r="CG49" s="651"/>
      <c r="CH49" s="1288"/>
      <c r="CI49" s="1281"/>
      <c r="CJ49" s="1281"/>
      <c r="CK49" s="1281"/>
      <c r="CL49" s="1281"/>
      <c r="CM49" s="1281"/>
      <c r="CN49" s="1281"/>
      <c r="CO49" s="1281"/>
      <c r="CP49" s="1281"/>
    </row>
    <row r="50" spans="2:94" ht="18" x14ac:dyDescent="0.25">
      <c r="B50" s="1589">
        <v>47</v>
      </c>
      <c r="C50" s="1528" t="s">
        <v>464</v>
      </c>
      <c r="D50" s="650" t="s">
        <v>294</v>
      </c>
      <c r="E50" s="648"/>
      <c r="F50" s="648"/>
      <c r="G50" s="648"/>
      <c r="H50" s="648"/>
      <c r="I50" s="648" t="s">
        <v>1661</v>
      </c>
      <c r="J50" s="648"/>
      <c r="K50" s="648"/>
      <c r="L50" s="648"/>
      <c r="M50" s="648"/>
      <c r="N50" s="648"/>
      <c r="O50" s="648" t="s">
        <v>1662</v>
      </c>
      <c r="P50" s="648"/>
      <c r="Q50" s="648"/>
      <c r="R50" s="648"/>
      <c r="S50" s="648"/>
      <c r="T50" s="648"/>
      <c r="U50" s="648"/>
      <c r="V50" s="648"/>
      <c r="W50" s="648">
        <v>-1</v>
      </c>
      <c r="X50" s="648"/>
      <c r="Y50" s="648" t="s">
        <v>2183</v>
      </c>
      <c r="Z50" s="648"/>
      <c r="AA50" s="648"/>
      <c r="AB50" s="648"/>
      <c r="AC50" s="648"/>
      <c r="AD50" s="648" t="s">
        <v>1663</v>
      </c>
      <c r="AE50" s="648"/>
      <c r="AF50" s="647"/>
      <c r="AG50" s="648"/>
      <c r="AH50" s="648"/>
      <c r="AI50" s="648" t="s">
        <v>1664</v>
      </c>
      <c r="AJ50" s="648"/>
      <c r="AK50" s="648"/>
      <c r="AL50" s="648"/>
      <c r="AM50" s="648"/>
      <c r="AN50" s="648" t="s">
        <v>2008</v>
      </c>
      <c r="AO50" s="648" t="s">
        <v>2516</v>
      </c>
      <c r="AP50" s="648" t="s">
        <v>3691</v>
      </c>
      <c r="AQ50" s="648" t="s">
        <v>3692</v>
      </c>
      <c r="AR50" s="648" t="s">
        <v>3693</v>
      </c>
      <c r="AS50" s="648" t="s">
        <v>3694</v>
      </c>
      <c r="AT50" s="648"/>
      <c r="AU50" s="648"/>
      <c r="AV50" s="648"/>
      <c r="AW50" s="648"/>
      <c r="AX50" s="648"/>
      <c r="AY50" s="648"/>
      <c r="AZ50" s="648"/>
      <c r="BA50" s="648"/>
      <c r="BB50" s="648"/>
      <c r="BC50" s="648"/>
      <c r="BD50" s="648"/>
      <c r="BE50" s="648"/>
      <c r="BF50" s="648"/>
      <c r="BG50" s="648"/>
      <c r="BH50" s="648"/>
      <c r="BI50" s="648"/>
      <c r="BJ50" s="648"/>
      <c r="BK50" s="648"/>
      <c r="BL50" s="1546"/>
      <c r="BM50" s="648"/>
      <c r="BN50" s="648"/>
      <c r="BO50" s="648"/>
      <c r="BP50" s="1402"/>
      <c r="BQ50" s="2349"/>
      <c r="BR50" s="648"/>
      <c r="BS50" s="648"/>
      <c r="BT50" s="648"/>
      <c r="BU50" s="648"/>
      <c r="BV50" s="648"/>
      <c r="BW50" s="648"/>
      <c r="BX50" s="648"/>
      <c r="BY50" s="648"/>
      <c r="BZ50" s="648"/>
      <c r="CA50" s="648"/>
      <c r="CB50" s="648"/>
      <c r="CC50" s="648"/>
      <c r="CD50" s="650" t="s">
        <v>3615</v>
      </c>
      <c r="CE50" s="648" t="s">
        <v>2036</v>
      </c>
      <c r="CF50" s="650"/>
      <c r="CG50" s="651"/>
      <c r="CH50" s="1288"/>
      <c r="CI50" s="1281"/>
      <c r="CJ50" s="1281"/>
      <c r="CK50" s="1281"/>
      <c r="CL50" s="1281"/>
      <c r="CM50" s="1281"/>
      <c r="CN50" s="1281"/>
      <c r="CO50" s="1281"/>
      <c r="CP50" s="1281"/>
    </row>
    <row r="51" spans="2:94" ht="18" x14ac:dyDescent="0.25">
      <c r="B51" s="1589">
        <v>48</v>
      </c>
      <c r="C51" s="1528" t="s">
        <v>465</v>
      </c>
      <c r="D51" s="650" t="s">
        <v>3084</v>
      </c>
      <c r="E51" s="648"/>
      <c r="F51" s="648"/>
      <c r="G51" s="648"/>
      <c r="H51" s="648"/>
      <c r="I51" s="648" t="s">
        <v>1661</v>
      </c>
      <c r="J51" s="648"/>
      <c r="K51" s="648"/>
      <c r="L51" s="648"/>
      <c r="M51" s="648"/>
      <c r="N51" s="648"/>
      <c r="O51" s="648"/>
      <c r="P51" s="648" t="s">
        <v>1662</v>
      </c>
      <c r="Q51" s="648"/>
      <c r="R51" s="648"/>
      <c r="S51" s="648"/>
      <c r="T51" s="648"/>
      <c r="U51" s="648"/>
      <c r="V51" s="648"/>
      <c r="W51" s="648">
        <v>-1</v>
      </c>
      <c r="X51" s="648"/>
      <c r="Y51" s="648" t="s">
        <v>2183</v>
      </c>
      <c r="Z51" s="648"/>
      <c r="AA51" s="648"/>
      <c r="AB51" s="648"/>
      <c r="AC51" s="648"/>
      <c r="AD51" s="648" t="s">
        <v>1663</v>
      </c>
      <c r="AE51" s="648"/>
      <c r="AF51" s="647"/>
      <c r="AG51" s="648"/>
      <c r="AH51" s="648"/>
      <c r="AI51" s="648" t="s">
        <v>1664</v>
      </c>
      <c r="AJ51" s="648"/>
      <c r="AK51" s="648"/>
      <c r="AL51" s="648"/>
      <c r="AM51" s="648"/>
      <c r="AN51" s="648" t="s">
        <v>2008</v>
      </c>
      <c r="AO51" s="648" t="s">
        <v>2516</v>
      </c>
      <c r="AP51" s="648" t="s">
        <v>3691</v>
      </c>
      <c r="AQ51" s="648" t="s">
        <v>3692</v>
      </c>
      <c r="AR51" s="648" t="s">
        <v>3693</v>
      </c>
      <c r="AS51" s="648" t="s">
        <v>3694</v>
      </c>
      <c r="AT51" s="648"/>
      <c r="AU51" s="648"/>
      <c r="AV51" s="648"/>
      <c r="AW51" s="648"/>
      <c r="AX51" s="648"/>
      <c r="AY51" s="648"/>
      <c r="AZ51" s="648"/>
      <c r="BA51" s="648"/>
      <c r="BB51" s="648"/>
      <c r="BC51" s="648"/>
      <c r="BD51" s="648"/>
      <c r="BE51" s="648"/>
      <c r="BF51" s="648"/>
      <c r="BG51" s="648"/>
      <c r="BH51" s="648"/>
      <c r="BI51" s="648"/>
      <c r="BJ51" s="648"/>
      <c r="BK51" s="648"/>
      <c r="BL51" s="1546"/>
      <c r="BM51" s="648"/>
      <c r="BN51" s="648"/>
      <c r="BO51" s="648"/>
      <c r="BP51" s="1402"/>
      <c r="BQ51" s="2349"/>
      <c r="BR51" s="648"/>
      <c r="BS51" s="648"/>
      <c r="BT51" s="648"/>
      <c r="BU51" s="648"/>
      <c r="BV51" s="648"/>
      <c r="BW51" s="648"/>
      <c r="BX51" s="648"/>
      <c r="BY51" s="648"/>
      <c r="BZ51" s="648"/>
      <c r="CA51" s="648"/>
      <c r="CB51" s="648"/>
      <c r="CC51" s="648"/>
      <c r="CD51" s="650" t="s">
        <v>3616</v>
      </c>
      <c r="CE51" s="648" t="s">
        <v>2036</v>
      </c>
      <c r="CF51" s="650"/>
      <c r="CG51" s="651"/>
      <c r="CH51" s="1288"/>
      <c r="CI51" s="1281"/>
      <c r="CJ51" s="1281"/>
      <c r="CK51" s="1281"/>
      <c r="CL51" s="1281"/>
      <c r="CM51" s="1281"/>
      <c r="CN51" s="1281"/>
      <c r="CO51" s="1281"/>
      <c r="CP51" s="1281"/>
    </row>
    <row r="52" spans="2:94" ht="18" x14ac:dyDescent="0.25">
      <c r="B52" s="1590">
        <v>49</v>
      </c>
      <c r="C52" s="1529" t="s">
        <v>466</v>
      </c>
      <c r="D52" s="655" t="s">
        <v>303</v>
      </c>
      <c r="E52" s="652"/>
      <c r="F52" s="652"/>
      <c r="G52" s="652"/>
      <c r="H52" s="652"/>
      <c r="I52" s="652"/>
      <c r="J52" s="652"/>
      <c r="K52" s="652"/>
      <c r="L52" s="652"/>
      <c r="M52" s="652"/>
      <c r="N52" s="652"/>
      <c r="O52" s="652"/>
      <c r="P52" s="652"/>
      <c r="Q52" s="652"/>
      <c r="R52" s="652"/>
      <c r="S52" s="652"/>
      <c r="T52" s="652"/>
      <c r="U52" s="652"/>
      <c r="V52" s="652"/>
      <c r="W52" s="652"/>
      <c r="X52" s="652">
        <v>1</v>
      </c>
      <c r="Y52" s="652" t="s">
        <v>1655</v>
      </c>
      <c r="Z52" s="652"/>
      <c r="AA52" s="652"/>
      <c r="AB52" s="652"/>
      <c r="AC52" s="652"/>
      <c r="AD52" s="652"/>
      <c r="AE52" s="652"/>
      <c r="AF52" s="653" t="s">
        <v>1656</v>
      </c>
      <c r="AG52" s="652"/>
      <c r="AH52" s="652"/>
      <c r="AI52" s="652"/>
      <c r="AJ52" s="652"/>
      <c r="AK52" s="652"/>
      <c r="AL52" s="652" t="s">
        <v>1681</v>
      </c>
      <c r="AM52" s="653" t="s">
        <v>1682</v>
      </c>
      <c r="AN52" s="653" t="s">
        <v>1995</v>
      </c>
      <c r="AO52" s="653" t="s">
        <v>2515</v>
      </c>
      <c r="AP52" s="653" t="s">
        <v>3687</v>
      </c>
      <c r="AQ52" s="653" t="s">
        <v>3688</v>
      </c>
      <c r="AR52" s="653" t="s">
        <v>3689</v>
      </c>
      <c r="AS52" s="653" t="s">
        <v>3690</v>
      </c>
      <c r="AT52" s="653"/>
      <c r="AU52" s="653"/>
      <c r="AV52" s="653"/>
      <c r="AW52" s="653"/>
      <c r="AX52" s="653"/>
      <c r="AY52" s="653"/>
      <c r="AZ52" s="653"/>
      <c r="BA52" s="653"/>
      <c r="BB52" s="653"/>
      <c r="BC52" s="653"/>
      <c r="BD52" s="653"/>
      <c r="BE52" s="653"/>
      <c r="BF52" s="653"/>
      <c r="BG52" s="653"/>
      <c r="BH52" s="653"/>
      <c r="BI52" s="653"/>
      <c r="BJ52" s="653"/>
      <c r="BK52" s="653"/>
      <c r="BL52" s="1547"/>
      <c r="BM52" s="653"/>
      <c r="BN52" s="653"/>
      <c r="BO52" s="653"/>
      <c r="BP52" s="1403"/>
      <c r="BQ52" s="2350"/>
      <c r="BR52" s="653"/>
      <c r="BS52" s="653"/>
      <c r="BT52" s="653"/>
      <c r="BU52" s="653"/>
      <c r="BV52" s="653"/>
      <c r="BW52" s="653"/>
      <c r="BX52" s="653"/>
      <c r="BY52" s="653"/>
      <c r="BZ52" s="653"/>
      <c r="CA52" s="653"/>
      <c r="CB52" s="653"/>
      <c r="CC52" s="653"/>
      <c r="CD52" s="654" t="s">
        <v>3729</v>
      </c>
      <c r="CE52" s="652" t="s">
        <v>2036</v>
      </c>
      <c r="CF52" s="655" t="s">
        <v>305</v>
      </c>
      <c r="CG52" s="656"/>
      <c r="CH52" s="1288"/>
      <c r="CI52" s="1281"/>
      <c r="CJ52" s="1281"/>
      <c r="CK52" s="1281"/>
      <c r="CL52" s="1281"/>
      <c r="CM52" s="1281"/>
      <c r="CN52" s="1281"/>
      <c r="CO52" s="1281"/>
      <c r="CP52" s="1281"/>
    </row>
    <row r="53" spans="2:94" ht="18" x14ac:dyDescent="0.25">
      <c r="B53" s="1590">
        <v>50</v>
      </c>
      <c r="C53" s="1529" t="s">
        <v>2163</v>
      </c>
      <c r="D53" s="655" t="s">
        <v>293</v>
      </c>
      <c r="E53" s="652"/>
      <c r="F53" s="652"/>
      <c r="G53" s="652"/>
      <c r="H53" s="652"/>
      <c r="I53" s="652" t="s">
        <v>1661</v>
      </c>
      <c r="J53" s="652"/>
      <c r="K53" s="652"/>
      <c r="L53" s="652"/>
      <c r="M53" s="652"/>
      <c r="N53" s="652"/>
      <c r="O53" s="652" t="s">
        <v>1662</v>
      </c>
      <c r="P53" s="652"/>
      <c r="Q53" s="652"/>
      <c r="R53" s="652"/>
      <c r="S53" s="652"/>
      <c r="T53" s="652"/>
      <c r="U53" s="652"/>
      <c r="V53" s="652"/>
      <c r="W53" s="652"/>
      <c r="X53" s="652">
        <v>-1</v>
      </c>
      <c r="Y53" s="652" t="s">
        <v>2183</v>
      </c>
      <c r="Z53" s="652"/>
      <c r="AA53" s="652"/>
      <c r="AB53" s="652"/>
      <c r="AC53" s="652"/>
      <c r="AD53" s="652" t="s">
        <v>1663</v>
      </c>
      <c r="AE53" s="652"/>
      <c r="AF53" s="652"/>
      <c r="AG53" s="652"/>
      <c r="AH53" s="652"/>
      <c r="AI53" s="652" t="s">
        <v>1664</v>
      </c>
      <c r="AJ53" s="652"/>
      <c r="AK53" s="652"/>
      <c r="AL53" s="652"/>
      <c r="AM53" s="652"/>
      <c r="AN53" s="652" t="s">
        <v>2008</v>
      </c>
      <c r="AO53" s="652" t="s">
        <v>2516</v>
      </c>
      <c r="AP53" s="652" t="s">
        <v>3691</v>
      </c>
      <c r="AQ53" s="652" t="s">
        <v>3692</v>
      </c>
      <c r="AR53" s="652" t="s">
        <v>3693</v>
      </c>
      <c r="AS53" s="652" t="s">
        <v>3694</v>
      </c>
      <c r="AT53" s="652"/>
      <c r="AU53" s="652"/>
      <c r="AV53" s="652"/>
      <c r="AW53" s="652"/>
      <c r="AX53" s="652"/>
      <c r="AY53" s="652"/>
      <c r="AZ53" s="652"/>
      <c r="BA53" s="652"/>
      <c r="BB53" s="652"/>
      <c r="BC53" s="652"/>
      <c r="BD53" s="652"/>
      <c r="BE53" s="652"/>
      <c r="BF53" s="652"/>
      <c r="BG53" s="652"/>
      <c r="BH53" s="652"/>
      <c r="BI53" s="652"/>
      <c r="BJ53" s="652"/>
      <c r="BK53" s="652"/>
      <c r="BL53" s="1548"/>
      <c r="BM53" s="652"/>
      <c r="BN53" s="652"/>
      <c r="BO53" s="652"/>
      <c r="BP53" s="1404"/>
      <c r="BQ53" s="2351"/>
      <c r="BR53" s="652"/>
      <c r="BS53" s="652"/>
      <c r="BT53" s="652"/>
      <c r="BU53" s="652"/>
      <c r="BV53" s="652"/>
      <c r="BW53" s="652"/>
      <c r="BX53" s="652"/>
      <c r="BY53" s="652"/>
      <c r="BZ53" s="652"/>
      <c r="CA53" s="652"/>
      <c r="CB53" s="652"/>
      <c r="CC53" s="652"/>
      <c r="CD53" s="655" t="s">
        <v>3618</v>
      </c>
      <c r="CE53" s="652" t="s">
        <v>2036</v>
      </c>
      <c r="CF53" s="655"/>
      <c r="CG53" s="656"/>
      <c r="CH53" s="1288"/>
      <c r="CI53" s="1281"/>
      <c r="CJ53" s="1281"/>
      <c r="CK53" s="1281"/>
      <c r="CL53" s="1281"/>
      <c r="CM53" s="1281"/>
      <c r="CN53" s="1281"/>
      <c r="CO53" s="1281"/>
      <c r="CP53" s="1281"/>
    </row>
    <row r="54" spans="2:94" ht="18" x14ac:dyDescent="0.25">
      <c r="B54" s="1590">
        <v>51</v>
      </c>
      <c r="C54" s="1529" t="s">
        <v>2164</v>
      </c>
      <c r="D54" s="655" t="s">
        <v>3085</v>
      </c>
      <c r="E54" s="652"/>
      <c r="F54" s="652"/>
      <c r="G54" s="652"/>
      <c r="H54" s="652"/>
      <c r="I54" s="652" t="s">
        <v>1661</v>
      </c>
      <c r="J54" s="652"/>
      <c r="K54" s="652"/>
      <c r="L54" s="652"/>
      <c r="M54" s="652"/>
      <c r="N54" s="652"/>
      <c r="O54" s="652"/>
      <c r="P54" s="652" t="s">
        <v>1662</v>
      </c>
      <c r="Q54" s="652"/>
      <c r="R54" s="652"/>
      <c r="S54" s="652"/>
      <c r="T54" s="652"/>
      <c r="U54" s="652"/>
      <c r="V54" s="652"/>
      <c r="W54" s="652"/>
      <c r="X54" s="652">
        <v>-1</v>
      </c>
      <c r="Y54" s="652" t="s">
        <v>2183</v>
      </c>
      <c r="Z54" s="652"/>
      <c r="AA54" s="652"/>
      <c r="AB54" s="652"/>
      <c r="AC54" s="652"/>
      <c r="AD54" s="652" t="s">
        <v>1663</v>
      </c>
      <c r="AE54" s="652"/>
      <c r="AF54" s="652"/>
      <c r="AG54" s="652"/>
      <c r="AH54" s="652"/>
      <c r="AI54" s="652" t="s">
        <v>1664</v>
      </c>
      <c r="AJ54" s="652"/>
      <c r="AK54" s="652"/>
      <c r="AL54" s="652"/>
      <c r="AM54" s="652"/>
      <c r="AN54" s="652" t="s">
        <v>2008</v>
      </c>
      <c r="AO54" s="652" t="s">
        <v>2516</v>
      </c>
      <c r="AP54" s="652" t="s">
        <v>3691</v>
      </c>
      <c r="AQ54" s="652" t="s">
        <v>3692</v>
      </c>
      <c r="AR54" s="652" t="s">
        <v>3693</v>
      </c>
      <c r="AS54" s="652" t="s">
        <v>3694</v>
      </c>
      <c r="AT54" s="652"/>
      <c r="AU54" s="652"/>
      <c r="AV54" s="652"/>
      <c r="AW54" s="652"/>
      <c r="AX54" s="652"/>
      <c r="AY54" s="652"/>
      <c r="AZ54" s="652"/>
      <c r="BA54" s="652"/>
      <c r="BB54" s="652"/>
      <c r="BC54" s="652"/>
      <c r="BD54" s="652"/>
      <c r="BE54" s="652"/>
      <c r="BF54" s="652"/>
      <c r="BG54" s="652"/>
      <c r="BH54" s="652"/>
      <c r="BI54" s="652"/>
      <c r="BJ54" s="652"/>
      <c r="BK54" s="652"/>
      <c r="BL54" s="1548"/>
      <c r="BM54" s="652"/>
      <c r="BN54" s="652"/>
      <c r="BO54" s="652"/>
      <c r="BP54" s="1404"/>
      <c r="BQ54" s="2351"/>
      <c r="BR54" s="652"/>
      <c r="BS54" s="652"/>
      <c r="BT54" s="652"/>
      <c r="BU54" s="652"/>
      <c r="BV54" s="652"/>
      <c r="BW54" s="652"/>
      <c r="BX54" s="652"/>
      <c r="BY54" s="652"/>
      <c r="BZ54" s="652"/>
      <c r="CA54" s="652"/>
      <c r="CB54" s="652"/>
      <c r="CC54" s="652"/>
      <c r="CD54" s="655" t="s">
        <v>3619</v>
      </c>
      <c r="CE54" s="652" t="s">
        <v>2036</v>
      </c>
      <c r="CF54" s="655"/>
      <c r="CG54" s="656"/>
      <c r="CH54" s="1288"/>
      <c r="CI54" s="1281"/>
      <c r="CJ54" s="1281"/>
      <c r="CK54" s="1281"/>
      <c r="CL54" s="1281"/>
      <c r="CM54" s="1281"/>
      <c r="CN54" s="1281"/>
      <c r="CO54" s="1281"/>
      <c r="CP54" s="1281"/>
    </row>
    <row r="55" spans="2:94" ht="18" x14ac:dyDescent="0.25">
      <c r="B55" s="1591">
        <v>52</v>
      </c>
      <c r="C55" s="1530" t="s">
        <v>2165</v>
      </c>
      <c r="D55" s="658" t="s">
        <v>1683</v>
      </c>
      <c r="E55" s="657"/>
      <c r="F55" s="657"/>
      <c r="G55" s="657"/>
      <c r="H55" s="657">
        <v>-1</v>
      </c>
      <c r="I55" s="657">
        <v>1</v>
      </c>
      <c r="J55" s="657"/>
      <c r="K55" s="657"/>
      <c r="L55" s="657"/>
      <c r="M55" s="657"/>
      <c r="N55" s="657"/>
      <c r="O55" s="657"/>
      <c r="P55" s="657"/>
      <c r="Q55" s="657"/>
      <c r="R55" s="657"/>
      <c r="S55" s="657"/>
      <c r="T55" s="657"/>
      <c r="U55" s="657"/>
      <c r="V55" s="657"/>
      <c r="W55" s="657"/>
      <c r="X55" s="657"/>
      <c r="Y55" s="657"/>
      <c r="Z55" s="657"/>
      <c r="AA55" s="657"/>
      <c r="AB55" s="657"/>
      <c r="AC55" s="657"/>
      <c r="AD55" s="657" t="s">
        <v>1684</v>
      </c>
      <c r="AE55" s="657"/>
      <c r="AF55" s="657"/>
      <c r="AG55" s="657"/>
      <c r="AH55" s="657"/>
      <c r="AI55" s="657" t="s">
        <v>1685</v>
      </c>
      <c r="AJ55" s="657"/>
      <c r="AK55" s="657"/>
      <c r="AL55" s="657"/>
      <c r="AM55" s="657"/>
      <c r="AN55" s="657"/>
      <c r="AO55" s="657"/>
      <c r="AP55" s="657"/>
      <c r="AQ55" s="657"/>
      <c r="AR55" s="657"/>
      <c r="AS55" s="657"/>
      <c r="AT55" s="657"/>
      <c r="AU55" s="657"/>
      <c r="AV55" s="657"/>
      <c r="AW55" s="657"/>
      <c r="AX55" s="657"/>
      <c r="AY55" s="657"/>
      <c r="AZ55" s="657"/>
      <c r="BA55" s="657"/>
      <c r="BB55" s="657"/>
      <c r="BC55" s="657"/>
      <c r="BD55" s="657"/>
      <c r="BE55" s="657"/>
      <c r="BF55" s="657"/>
      <c r="BG55" s="657"/>
      <c r="BH55" s="657"/>
      <c r="BI55" s="657"/>
      <c r="BJ55" s="657"/>
      <c r="BK55" s="657"/>
      <c r="BL55" s="1549"/>
      <c r="BM55" s="657"/>
      <c r="BN55" s="657"/>
      <c r="BO55" s="657"/>
      <c r="BP55" s="1405"/>
      <c r="BQ55" s="2352"/>
      <c r="BR55" s="657"/>
      <c r="BS55" s="657"/>
      <c r="BT55" s="657"/>
      <c r="BU55" s="657"/>
      <c r="BV55" s="657"/>
      <c r="BW55" s="657"/>
      <c r="BX55" s="657"/>
      <c r="BY55" s="657"/>
      <c r="BZ55" s="657"/>
      <c r="CA55" s="657"/>
      <c r="CB55" s="657"/>
      <c r="CC55" s="657"/>
      <c r="CD55" s="658" t="s">
        <v>3966</v>
      </c>
      <c r="CE55" s="657" t="s">
        <v>2036</v>
      </c>
      <c r="CF55" s="658"/>
      <c r="CG55" s="659"/>
      <c r="CH55" s="1288"/>
      <c r="CI55" s="1291"/>
      <c r="CJ55" s="1281"/>
      <c r="CK55" s="1281"/>
      <c r="CL55" s="1281"/>
      <c r="CM55" s="1281"/>
      <c r="CN55" s="1281"/>
      <c r="CO55" s="1281"/>
      <c r="CP55" s="1281"/>
    </row>
    <row r="56" spans="2:94" ht="18" x14ac:dyDescent="0.25">
      <c r="B56" s="1591">
        <v>53</v>
      </c>
      <c r="C56" s="1530" t="s">
        <v>2166</v>
      </c>
      <c r="D56" s="658" t="s">
        <v>1686</v>
      </c>
      <c r="E56" s="657"/>
      <c r="F56" s="657"/>
      <c r="G56" s="657"/>
      <c r="H56" s="657"/>
      <c r="I56" s="657"/>
      <c r="J56" s="657"/>
      <c r="K56" s="657">
        <v>-1</v>
      </c>
      <c r="L56" s="657">
        <v>1</v>
      </c>
      <c r="M56" s="657"/>
      <c r="N56" s="657"/>
      <c r="O56" s="657"/>
      <c r="P56" s="657"/>
      <c r="Q56" s="657"/>
      <c r="R56" s="657"/>
      <c r="S56" s="657"/>
      <c r="T56" s="657"/>
      <c r="U56" s="657"/>
      <c r="V56" s="657"/>
      <c r="W56" s="657"/>
      <c r="X56" s="657"/>
      <c r="Y56" s="657"/>
      <c r="Z56" s="657"/>
      <c r="AA56" s="657"/>
      <c r="AB56" s="657"/>
      <c r="AC56" s="657"/>
      <c r="AD56" s="657"/>
      <c r="AE56" s="657" t="s">
        <v>1687</v>
      </c>
      <c r="AF56" s="657"/>
      <c r="AG56" s="657"/>
      <c r="AH56" s="657"/>
      <c r="AI56" s="657"/>
      <c r="AJ56" s="657" t="s">
        <v>1688</v>
      </c>
      <c r="AK56" s="657"/>
      <c r="AL56" s="657"/>
      <c r="AM56" s="657"/>
      <c r="AN56" s="657"/>
      <c r="AO56" s="657"/>
      <c r="AP56" s="657"/>
      <c r="AQ56" s="657"/>
      <c r="AR56" s="657"/>
      <c r="AS56" s="657"/>
      <c r="AT56" s="657"/>
      <c r="AU56" s="657"/>
      <c r="AV56" s="657"/>
      <c r="AW56" s="657"/>
      <c r="AX56" s="657"/>
      <c r="AY56" s="657"/>
      <c r="AZ56" s="657"/>
      <c r="BA56" s="657"/>
      <c r="BB56" s="657"/>
      <c r="BC56" s="657"/>
      <c r="BD56" s="657"/>
      <c r="BE56" s="657"/>
      <c r="BF56" s="657"/>
      <c r="BG56" s="657"/>
      <c r="BH56" s="657"/>
      <c r="BI56" s="657"/>
      <c r="BJ56" s="657"/>
      <c r="BK56" s="657"/>
      <c r="BL56" s="1549"/>
      <c r="BM56" s="657"/>
      <c r="BN56" s="657"/>
      <c r="BO56" s="657"/>
      <c r="BP56" s="1405"/>
      <c r="BQ56" s="2352"/>
      <c r="BR56" s="657"/>
      <c r="BS56" s="657"/>
      <c r="BT56" s="657"/>
      <c r="BU56" s="657"/>
      <c r="BV56" s="657"/>
      <c r="BW56" s="657"/>
      <c r="BX56" s="657"/>
      <c r="BY56" s="657"/>
      <c r="BZ56" s="657"/>
      <c r="CA56" s="657"/>
      <c r="CB56" s="657"/>
      <c r="CC56" s="657"/>
      <c r="CD56" s="658" t="s">
        <v>3967</v>
      </c>
      <c r="CE56" s="657" t="s">
        <v>2036</v>
      </c>
      <c r="CF56" s="658"/>
      <c r="CG56" s="659"/>
      <c r="CH56" s="1288"/>
      <c r="CI56" s="1291"/>
      <c r="CJ56" s="1281"/>
      <c r="CK56" s="1281"/>
      <c r="CL56" s="1281"/>
      <c r="CM56" s="1281"/>
      <c r="CN56" s="1281"/>
      <c r="CO56" s="1281"/>
      <c r="CP56" s="1281"/>
    </row>
    <row r="57" spans="2:94" ht="18" x14ac:dyDescent="0.25">
      <c r="B57" s="1591">
        <v>54</v>
      </c>
      <c r="C57" s="1531" t="s">
        <v>2167</v>
      </c>
      <c r="D57" s="771" t="s">
        <v>3435</v>
      </c>
      <c r="E57" s="657"/>
      <c r="F57" s="657"/>
      <c r="G57" s="657"/>
      <c r="H57" s="657">
        <v>-1</v>
      </c>
      <c r="I57" s="657">
        <v>1</v>
      </c>
      <c r="J57" s="657"/>
      <c r="K57" s="657"/>
      <c r="L57" s="657"/>
      <c r="M57" s="657"/>
      <c r="N57" s="657"/>
      <c r="O57" s="657"/>
      <c r="P57" s="657"/>
      <c r="Q57" s="657"/>
      <c r="R57" s="657"/>
      <c r="S57" s="657"/>
      <c r="T57" s="657"/>
      <c r="U57" s="657"/>
      <c r="V57" s="657"/>
      <c r="W57" s="657"/>
      <c r="X57" s="657"/>
      <c r="Y57" s="657"/>
      <c r="Z57" s="657"/>
      <c r="AA57" s="657"/>
      <c r="AB57" s="657"/>
      <c r="AC57" s="657"/>
      <c r="AD57" s="657" t="s">
        <v>1684</v>
      </c>
      <c r="AE57" s="657"/>
      <c r="AF57" s="657"/>
      <c r="AG57" s="657"/>
      <c r="AH57" s="657"/>
      <c r="AI57" s="657" t="s">
        <v>1685</v>
      </c>
      <c r="AJ57" s="657"/>
      <c r="AK57" s="657"/>
      <c r="AL57" s="657"/>
      <c r="AM57" s="657"/>
      <c r="AN57" s="657"/>
      <c r="AO57" s="657"/>
      <c r="AP57" s="657"/>
      <c r="AQ57" s="657"/>
      <c r="AR57" s="657"/>
      <c r="AS57" s="657"/>
      <c r="AT57" s="657"/>
      <c r="AU57" s="657"/>
      <c r="AV57" s="657"/>
      <c r="AW57" s="657"/>
      <c r="AX57" s="657"/>
      <c r="AY57" s="657"/>
      <c r="AZ57" s="657"/>
      <c r="BA57" s="657"/>
      <c r="BB57" s="657"/>
      <c r="BC57" s="657"/>
      <c r="BD57" s="657"/>
      <c r="BE57" s="657"/>
      <c r="BF57" s="657"/>
      <c r="BG57" s="657"/>
      <c r="BH57" s="657"/>
      <c r="BI57" s="657"/>
      <c r="BJ57" s="657"/>
      <c r="BK57" s="657"/>
      <c r="BL57" s="1549"/>
      <c r="BM57" s="657"/>
      <c r="BN57" s="657"/>
      <c r="BO57" s="657"/>
      <c r="BP57" s="1405"/>
      <c r="BQ57" s="2352"/>
      <c r="BR57" s="657"/>
      <c r="BS57" s="657"/>
      <c r="BT57" s="657"/>
      <c r="BU57" s="657"/>
      <c r="BV57" s="657"/>
      <c r="BW57" s="657"/>
      <c r="BX57" s="657"/>
      <c r="BY57" s="657"/>
      <c r="BZ57" s="657"/>
      <c r="CA57" s="657"/>
      <c r="CB57" s="657"/>
      <c r="CC57" s="657"/>
      <c r="CD57" s="771" t="s">
        <v>3437</v>
      </c>
      <c r="CE57" s="657" t="s">
        <v>2036</v>
      </c>
      <c r="CF57" s="658"/>
      <c r="CG57" s="659" t="s">
        <v>3444</v>
      </c>
      <c r="CH57" s="1288"/>
      <c r="CI57" s="1291"/>
      <c r="CJ57" s="1281"/>
      <c r="CK57" s="1281"/>
      <c r="CL57" s="1281"/>
      <c r="CM57" s="1281"/>
      <c r="CN57" s="1281"/>
      <c r="CO57" s="1281"/>
      <c r="CP57" s="1281"/>
    </row>
    <row r="58" spans="2:94" ht="18" x14ac:dyDescent="0.25">
      <c r="B58" s="1591">
        <v>55</v>
      </c>
      <c r="C58" s="1531" t="s">
        <v>2168</v>
      </c>
      <c r="D58" s="771" t="s">
        <v>3436</v>
      </c>
      <c r="E58" s="657"/>
      <c r="F58" s="657"/>
      <c r="G58" s="657"/>
      <c r="H58" s="657"/>
      <c r="I58" s="657"/>
      <c r="J58" s="657"/>
      <c r="K58" s="657">
        <v>-1</v>
      </c>
      <c r="L58" s="657">
        <v>1</v>
      </c>
      <c r="M58" s="657"/>
      <c r="N58" s="657"/>
      <c r="O58" s="657"/>
      <c r="P58" s="657"/>
      <c r="Q58" s="657"/>
      <c r="R58" s="657"/>
      <c r="S58" s="657"/>
      <c r="T58" s="657"/>
      <c r="U58" s="657"/>
      <c r="V58" s="657"/>
      <c r="W58" s="657"/>
      <c r="X58" s="657"/>
      <c r="Y58" s="657"/>
      <c r="Z58" s="657"/>
      <c r="AA58" s="657"/>
      <c r="AB58" s="657"/>
      <c r="AC58" s="657"/>
      <c r="AD58" s="657"/>
      <c r="AE58" s="657" t="s">
        <v>1687</v>
      </c>
      <c r="AF58" s="657"/>
      <c r="AG58" s="657"/>
      <c r="AH58" s="657"/>
      <c r="AI58" s="657"/>
      <c r="AJ58" s="657" t="s">
        <v>1688</v>
      </c>
      <c r="AK58" s="657"/>
      <c r="AL58" s="657"/>
      <c r="AM58" s="657"/>
      <c r="AN58" s="657"/>
      <c r="AO58" s="657"/>
      <c r="AP58" s="657"/>
      <c r="AQ58" s="657"/>
      <c r="AR58" s="657"/>
      <c r="AS58" s="657"/>
      <c r="AT58" s="657"/>
      <c r="AU58" s="657"/>
      <c r="AV58" s="657"/>
      <c r="AW58" s="657"/>
      <c r="AX58" s="657"/>
      <c r="AY58" s="657"/>
      <c r="AZ58" s="657"/>
      <c r="BA58" s="657"/>
      <c r="BB58" s="657"/>
      <c r="BC58" s="657"/>
      <c r="BD58" s="657"/>
      <c r="BE58" s="657"/>
      <c r="BF58" s="657"/>
      <c r="BG58" s="657"/>
      <c r="BH58" s="657"/>
      <c r="BI58" s="657"/>
      <c r="BJ58" s="657"/>
      <c r="BK58" s="657"/>
      <c r="BL58" s="1549"/>
      <c r="BM58" s="657"/>
      <c r="BN58" s="657"/>
      <c r="BO58" s="657"/>
      <c r="BP58" s="1405"/>
      <c r="BQ58" s="2352"/>
      <c r="BR58" s="657"/>
      <c r="BS58" s="657"/>
      <c r="BT58" s="657"/>
      <c r="BU58" s="657"/>
      <c r="BV58" s="657"/>
      <c r="BW58" s="657"/>
      <c r="BX58" s="657"/>
      <c r="BY58" s="657"/>
      <c r="BZ58" s="657"/>
      <c r="CA58" s="657"/>
      <c r="CB58" s="657"/>
      <c r="CC58" s="657"/>
      <c r="CD58" s="771" t="s">
        <v>3438</v>
      </c>
      <c r="CE58" s="657" t="s">
        <v>2036</v>
      </c>
      <c r="CF58" s="658"/>
      <c r="CG58" s="659" t="s">
        <v>3444</v>
      </c>
      <c r="CH58" s="1288"/>
      <c r="CI58" s="1291"/>
      <c r="CJ58" s="1281"/>
      <c r="CK58" s="1281"/>
      <c r="CL58" s="1281"/>
      <c r="CM58" s="1281"/>
      <c r="CN58" s="1281"/>
      <c r="CO58" s="1281"/>
      <c r="CP58" s="1281"/>
    </row>
    <row r="59" spans="2:94" ht="18" x14ac:dyDescent="0.25">
      <c r="B59" s="1591">
        <v>56</v>
      </c>
      <c r="C59" s="1530" t="s">
        <v>2169</v>
      </c>
      <c r="D59" s="658" t="s">
        <v>1689</v>
      </c>
      <c r="E59" s="657"/>
      <c r="F59" s="657">
        <v>1</v>
      </c>
      <c r="G59" s="657"/>
      <c r="H59" s="657"/>
      <c r="I59" s="657">
        <v>-1</v>
      </c>
      <c r="J59" s="657"/>
      <c r="K59" s="657"/>
      <c r="L59" s="657"/>
      <c r="M59" s="657"/>
      <c r="N59" s="657"/>
      <c r="O59" s="657"/>
      <c r="P59" s="657"/>
      <c r="Q59" s="657"/>
      <c r="R59" s="657"/>
      <c r="S59" s="657"/>
      <c r="T59" s="657"/>
      <c r="U59" s="657"/>
      <c r="V59" s="657"/>
      <c r="W59" s="657"/>
      <c r="X59" s="657"/>
      <c r="Y59" s="657"/>
      <c r="Z59" s="657"/>
      <c r="AA59" s="657"/>
      <c r="AB59" s="657"/>
      <c r="AC59" s="661" t="s">
        <v>1690</v>
      </c>
      <c r="AD59" s="661" t="s">
        <v>1691</v>
      </c>
      <c r="AE59" s="657"/>
      <c r="AF59" s="657"/>
      <c r="AG59" s="657"/>
      <c r="AH59" s="661" t="s">
        <v>1692</v>
      </c>
      <c r="AI59" s="661" t="s">
        <v>1693</v>
      </c>
      <c r="AJ59" s="657"/>
      <c r="AK59" s="657"/>
      <c r="AL59" s="657"/>
      <c r="AM59" s="657"/>
      <c r="AN59" s="657"/>
      <c r="AO59" s="657"/>
      <c r="AP59" s="657"/>
      <c r="AQ59" s="657"/>
      <c r="AR59" s="657"/>
      <c r="AS59" s="657"/>
      <c r="AT59" s="657"/>
      <c r="AU59" s="657"/>
      <c r="AV59" s="657"/>
      <c r="AW59" s="657"/>
      <c r="AX59" s="657"/>
      <c r="AY59" s="657"/>
      <c r="AZ59" s="657"/>
      <c r="BA59" s="657"/>
      <c r="BB59" s="657"/>
      <c r="BC59" s="657"/>
      <c r="BD59" s="657"/>
      <c r="BE59" s="657"/>
      <c r="BF59" s="657"/>
      <c r="BG59" s="657"/>
      <c r="BH59" s="657"/>
      <c r="BI59" s="657"/>
      <c r="BJ59" s="657"/>
      <c r="BK59" s="657"/>
      <c r="BL59" s="1549"/>
      <c r="BM59" s="657"/>
      <c r="BN59" s="657"/>
      <c r="BO59" s="657"/>
      <c r="BP59" s="1405"/>
      <c r="BQ59" s="2352"/>
      <c r="BR59" s="657"/>
      <c r="BS59" s="657"/>
      <c r="BT59" s="657"/>
      <c r="BU59" s="657"/>
      <c r="BV59" s="657"/>
      <c r="BW59" s="657"/>
      <c r="BX59" s="657"/>
      <c r="BY59" s="657"/>
      <c r="BZ59" s="657"/>
      <c r="CA59" s="657"/>
      <c r="CB59" s="657"/>
      <c r="CC59" s="657"/>
      <c r="CD59" s="658" t="s">
        <v>3968</v>
      </c>
      <c r="CE59" s="657" t="s">
        <v>2036</v>
      </c>
      <c r="CF59" s="658"/>
      <c r="CG59" s="659"/>
      <c r="CH59" s="1288"/>
      <c r="CI59" s="1281"/>
      <c r="CJ59" s="1281"/>
      <c r="CK59" s="1281"/>
      <c r="CL59" s="1281"/>
      <c r="CM59" s="1281"/>
      <c r="CN59" s="1281"/>
      <c r="CO59" s="1281"/>
      <c r="CP59" s="1281"/>
    </row>
    <row r="60" spans="2:94" ht="18" x14ac:dyDescent="0.25">
      <c r="B60" s="1591">
        <v>57</v>
      </c>
      <c r="C60" s="1530" t="s">
        <v>2170</v>
      </c>
      <c r="D60" s="658" t="s">
        <v>1694</v>
      </c>
      <c r="E60" s="657"/>
      <c r="F60" s="657"/>
      <c r="G60" s="657"/>
      <c r="H60" s="657"/>
      <c r="I60" s="657"/>
      <c r="J60" s="657"/>
      <c r="K60" s="657"/>
      <c r="L60" s="657"/>
      <c r="M60" s="657"/>
      <c r="N60" s="657"/>
      <c r="O60" s="657"/>
      <c r="P60" s="657"/>
      <c r="Q60" s="657"/>
      <c r="R60" s="657"/>
      <c r="S60" s="657"/>
      <c r="T60" s="657"/>
      <c r="U60" s="657"/>
      <c r="V60" s="657"/>
      <c r="W60" s="657"/>
      <c r="X60" s="657"/>
      <c r="Y60" s="657">
        <v>1</v>
      </c>
      <c r="Z60" s="657"/>
      <c r="AA60" s="657"/>
      <c r="AB60" s="657"/>
      <c r="AC60" s="657">
        <v>-1</v>
      </c>
      <c r="AD60" s="657"/>
      <c r="AE60" s="657"/>
      <c r="AF60" s="657"/>
      <c r="AG60" s="657"/>
      <c r="AH60" s="657"/>
      <c r="AI60" s="657"/>
      <c r="AJ60" s="657"/>
      <c r="AK60" s="657"/>
      <c r="AL60" s="657"/>
      <c r="AM60" s="657"/>
      <c r="AN60" s="657"/>
      <c r="AO60" s="657"/>
      <c r="AP60" s="657"/>
      <c r="AQ60" s="657"/>
      <c r="AR60" s="657"/>
      <c r="AS60" s="657"/>
      <c r="AT60" s="657"/>
      <c r="AU60" s="657"/>
      <c r="AV60" s="657"/>
      <c r="AW60" s="657"/>
      <c r="AX60" s="657"/>
      <c r="AY60" s="657"/>
      <c r="AZ60" s="657"/>
      <c r="BA60" s="657"/>
      <c r="BB60" s="657"/>
      <c r="BC60" s="657"/>
      <c r="BD60" s="657"/>
      <c r="BE60" s="657"/>
      <c r="BF60" s="657"/>
      <c r="BG60" s="657"/>
      <c r="BH60" s="657"/>
      <c r="BI60" s="657"/>
      <c r="BJ60" s="657"/>
      <c r="BK60" s="657"/>
      <c r="BL60" s="1549"/>
      <c r="BM60" s="657"/>
      <c r="BN60" s="657"/>
      <c r="BO60" s="657"/>
      <c r="BP60" s="1405"/>
      <c r="BQ60" s="2352"/>
      <c r="BR60" s="657"/>
      <c r="BS60" s="657"/>
      <c r="BT60" s="657"/>
      <c r="BU60" s="657"/>
      <c r="BV60" s="657"/>
      <c r="BW60" s="657"/>
      <c r="BX60" s="657"/>
      <c r="BY60" s="657"/>
      <c r="BZ60" s="657"/>
      <c r="CA60" s="657"/>
      <c r="CB60" s="657"/>
      <c r="CC60" s="657"/>
      <c r="CD60" s="658" t="s">
        <v>3969</v>
      </c>
      <c r="CE60" s="657" t="s">
        <v>2036</v>
      </c>
      <c r="CF60" s="658"/>
      <c r="CG60" s="659"/>
      <c r="CH60" s="1288"/>
      <c r="CI60" s="1281"/>
      <c r="CJ60" s="1281"/>
      <c r="CK60" s="1281"/>
      <c r="CL60" s="1281"/>
      <c r="CM60" s="1281"/>
      <c r="CN60" s="1281"/>
      <c r="CO60" s="1281"/>
      <c r="CP60" s="1281"/>
    </row>
    <row r="61" spans="2:94" ht="18" x14ac:dyDescent="0.25">
      <c r="B61" s="1591">
        <v>58</v>
      </c>
      <c r="C61" s="1530" t="s">
        <v>2208</v>
      </c>
      <c r="D61" s="658" t="s">
        <v>1695</v>
      </c>
      <c r="E61" s="657"/>
      <c r="F61" s="657"/>
      <c r="G61" s="657"/>
      <c r="H61" s="657"/>
      <c r="I61" s="657"/>
      <c r="J61" s="657"/>
      <c r="K61" s="657"/>
      <c r="L61" s="657"/>
      <c r="M61" s="657"/>
      <c r="N61" s="657"/>
      <c r="O61" s="657"/>
      <c r="P61" s="657"/>
      <c r="Q61" s="657"/>
      <c r="R61" s="657"/>
      <c r="S61" s="657"/>
      <c r="T61" s="657"/>
      <c r="U61" s="657"/>
      <c r="V61" s="657"/>
      <c r="W61" s="657"/>
      <c r="X61" s="657"/>
      <c r="Y61" s="657"/>
      <c r="Z61" s="657"/>
      <c r="AA61" s="657"/>
      <c r="AB61" s="657"/>
      <c r="AC61" s="657"/>
      <c r="AD61" s="657"/>
      <c r="AE61" s="657"/>
      <c r="AF61" s="657">
        <v>1</v>
      </c>
      <c r="AG61" s="657"/>
      <c r="AH61" s="657">
        <v>-1</v>
      </c>
      <c r="AI61" s="657"/>
      <c r="AJ61" s="657"/>
      <c r="AK61" s="657"/>
      <c r="AL61" s="657"/>
      <c r="AM61" s="657"/>
      <c r="AN61" s="657"/>
      <c r="AO61" s="657"/>
      <c r="AP61" s="657"/>
      <c r="AQ61" s="657"/>
      <c r="AR61" s="657"/>
      <c r="AS61" s="657"/>
      <c r="AT61" s="657"/>
      <c r="AU61" s="657"/>
      <c r="AV61" s="657"/>
      <c r="AW61" s="657"/>
      <c r="AX61" s="657"/>
      <c r="AY61" s="657"/>
      <c r="AZ61" s="657"/>
      <c r="BA61" s="657"/>
      <c r="BB61" s="657"/>
      <c r="BC61" s="657"/>
      <c r="BD61" s="657"/>
      <c r="BE61" s="657"/>
      <c r="BF61" s="657"/>
      <c r="BG61" s="657"/>
      <c r="BH61" s="657"/>
      <c r="BI61" s="657"/>
      <c r="BJ61" s="657"/>
      <c r="BK61" s="657"/>
      <c r="BL61" s="1549"/>
      <c r="BM61" s="657"/>
      <c r="BN61" s="657"/>
      <c r="BO61" s="657"/>
      <c r="BP61" s="1405"/>
      <c r="BQ61" s="2352"/>
      <c r="BR61" s="657"/>
      <c r="BS61" s="657"/>
      <c r="BT61" s="657"/>
      <c r="BU61" s="657"/>
      <c r="BV61" s="657"/>
      <c r="BW61" s="657"/>
      <c r="BX61" s="657"/>
      <c r="BY61" s="657"/>
      <c r="BZ61" s="657"/>
      <c r="CA61" s="657"/>
      <c r="CB61" s="657"/>
      <c r="CC61" s="657"/>
      <c r="CD61" s="658" t="s">
        <v>3970</v>
      </c>
      <c r="CE61" s="657" t="s">
        <v>2036</v>
      </c>
      <c r="CF61" s="658"/>
      <c r="CG61" s="659"/>
      <c r="CH61" s="1288"/>
      <c r="CI61" s="1281"/>
      <c r="CJ61" s="1281"/>
      <c r="CK61" s="1281"/>
      <c r="CL61" s="1281"/>
      <c r="CM61" s="1281"/>
      <c r="CN61" s="1281"/>
      <c r="CO61" s="1281"/>
      <c r="CP61" s="1281"/>
    </row>
    <row r="62" spans="2:94" ht="18" x14ac:dyDescent="0.25">
      <c r="B62" s="1591">
        <v>59</v>
      </c>
      <c r="C62" s="1530" t="s">
        <v>2235</v>
      </c>
      <c r="D62" s="658" t="s">
        <v>1696</v>
      </c>
      <c r="E62" s="657"/>
      <c r="F62" s="657"/>
      <c r="G62" s="657"/>
      <c r="H62" s="657"/>
      <c r="I62" s="657">
        <v>1</v>
      </c>
      <c r="J62" s="657"/>
      <c r="K62" s="657"/>
      <c r="L62" s="657"/>
      <c r="M62" s="657"/>
      <c r="N62" s="657"/>
      <c r="O62" s="657">
        <v>-1</v>
      </c>
      <c r="P62" s="657"/>
      <c r="Q62" s="657"/>
      <c r="R62" s="657"/>
      <c r="S62" s="657"/>
      <c r="T62" s="657"/>
      <c r="U62" s="657"/>
      <c r="V62" s="657"/>
      <c r="W62" s="657"/>
      <c r="X62" s="657"/>
      <c r="Y62" s="657"/>
      <c r="Z62" s="657"/>
      <c r="AA62" s="657"/>
      <c r="AB62" s="657"/>
      <c r="AC62" s="657"/>
      <c r="AD62" s="657" t="s">
        <v>2182</v>
      </c>
      <c r="AE62" s="657"/>
      <c r="AF62" s="657"/>
      <c r="AG62" s="657"/>
      <c r="AH62" s="657"/>
      <c r="AI62" s="657" t="s">
        <v>1630</v>
      </c>
      <c r="AJ62" s="657"/>
      <c r="AK62" s="657"/>
      <c r="AL62" s="657"/>
      <c r="AM62" s="657"/>
      <c r="AN62" s="657" t="s">
        <v>2007</v>
      </c>
      <c r="AO62" s="657"/>
      <c r="AP62" s="657"/>
      <c r="AQ62" s="657"/>
      <c r="AR62" s="657"/>
      <c r="AS62" s="657"/>
      <c r="AT62" s="657"/>
      <c r="AU62" s="657"/>
      <c r="AV62" s="657"/>
      <c r="AW62" s="657"/>
      <c r="AX62" s="657"/>
      <c r="AY62" s="657"/>
      <c r="AZ62" s="657"/>
      <c r="BA62" s="657"/>
      <c r="BB62" s="657"/>
      <c r="BC62" s="657"/>
      <c r="BD62" s="657"/>
      <c r="BE62" s="657"/>
      <c r="BF62" s="657"/>
      <c r="BG62" s="657"/>
      <c r="BH62" s="657"/>
      <c r="BI62" s="657"/>
      <c r="BJ62" s="657"/>
      <c r="BK62" s="657"/>
      <c r="BL62" s="1549"/>
      <c r="BM62" s="657"/>
      <c r="BN62" s="657"/>
      <c r="BO62" s="657"/>
      <c r="BP62" s="1405"/>
      <c r="BQ62" s="2352"/>
      <c r="BR62" s="657"/>
      <c r="BS62" s="657"/>
      <c r="BT62" s="657"/>
      <c r="BU62" s="657"/>
      <c r="BV62" s="657"/>
      <c r="BW62" s="657"/>
      <c r="BX62" s="657"/>
      <c r="BY62" s="657"/>
      <c r="BZ62" s="657"/>
      <c r="CA62" s="657"/>
      <c r="CB62" s="657"/>
      <c r="CC62" s="657"/>
      <c r="CD62" s="658" t="s">
        <v>1744</v>
      </c>
      <c r="CE62" s="657" t="s">
        <v>2036</v>
      </c>
      <c r="CF62" s="658"/>
      <c r="CG62" s="659"/>
      <c r="CH62" s="1288"/>
      <c r="CI62" s="1281"/>
      <c r="CJ62" s="1281"/>
      <c r="CK62" s="1281"/>
      <c r="CL62" s="1281"/>
      <c r="CM62" s="1281"/>
      <c r="CN62" s="1281"/>
      <c r="CO62" s="1281"/>
      <c r="CP62" s="1281"/>
    </row>
    <row r="63" spans="2:94" ht="18" x14ac:dyDescent="0.25">
      <c r="B63" s="1591">
        <v>60</v>
      </c>
      <c r="C63" s="1530" t="s">
        <v>2471</v>
      </c>
      <c r="D63" s="658" t="s">
        <v>1742</v>
      </c>
      <c r="E63" s="657"/>
      <c r="F63" s="657">
        <v>1</v>
      </c>
      <c r="G63" s="657"/>
      <c r="H63" s="657"/>
      <c r="I63" s="657"/>
      <c r="J63" s="657"/>
      <c r="K63" s="657"/>
      <c r="L63" s="657"/>
      <c r="M63" s="657"/>
      <c r="N63" s="657"/>
      <c r="O63" s="657"/>
      <c r="P63" s="657">
        <v>-1</v>
      </c>
      <c r="Q63" s="657"/>
      <c r="R63" s="657"/>
      <c r="S63" s="657"/>
      <c r="T63" s="657"/>
      <c r="U63" s="657"/>
      <c r="V63" s="657"/>
      <c r="W63" s="657"/>
      <c r="X63" s="657"/>
      <c r="Y63" s="657"/>
      <c r="Z63" s="657"/>
      <c r="AA63" s="657"/>
      <c r="AB63" s="657"/>
      <c r="AC63" s="657"/>
      <c r="AD63" s="657" t="s">
        <v>2182</v>
      </c>
      <c r="AE63" s="657"/>
      <c r="AF63" s="657"/>
      <c r="AG63" s="657"/>
      <c r="AH63" s="657"/>
      <c r="AI63" s="657" t="s">
        <v>1630</v>
      </c>
      <c r="AJ63" s="657"/>
      <c r="AK63" s="657"/>
      <c r="AL63" s="657"/>
      <c r="AM63" s="657"/>
      <c r="AN63" s="657" t="s">
        <v>2007</v>
      </c>
      <c r="AO63" s="657"/>
      <c r="AP63" s="657"/>
      <c r="AQ63" s="657"/>
      <c r="AR63" s="657"/>
      <c r="AS63" s="657"/>
      <c r="AT63" s="657"/>
      <c r="AU63" s="657"/>
      <c r="AV63" s="657"/>
      <c r="AW63" s="657"/>
      <c r="AX63" s="657"/>
      <c r="AY63" s="657"/>
      <c r="AZ63" s="657"/>
      <c r="BA63" s="657"/>
      <c r="BB63" s="657"/>
      <c r="BC63" s="657"/>
      <c r="BD63" s="657"/>
      <c r="BE63" s="657"/>
      <c r="BF63" s="657"/>
      <c r="BG63" s="657"/>
      <c r="BH63" s="657"/>
      <c r="BI63" s="657"/>
      <c r="BJ63" s="657"/>
      <c r="BK63" s="657"/>
      <c r="BL63" s="1549"/>
      <c r="BM63" s="657"/>
      <c r="BN63" s="657"/>
      <c r="BO63" s="657"/>
      <c r="BP63" s="1405"/>
      <c r="BQ63" s="2352"/>
      <c r="BR63" s="657"/>
      <c r="BS63" s="657"/>
      <c r="BT63" s="657"/>
      <c r="BU63" s="657"/>
      <c r="BV63" s="657"/>
      <c r="BW63" s="657"/>
      <c r="BX63" s="657"/>
      <c r="BY63" s="657"/>
      <c r="BZ63" s="657"/>
      <c r="CA63" s="657"/>
      <c r="CB63" s="657"/>
      <c r="CC63" s="657"/>
      <c r="CD63" s="658" t="s">
        <v>3971</v>
      </c>
      <c r="CE63" s="657" t="s">
        <v>2036</v>
      </c>
      <c r="CF63" s="658"/>
      <c r="CG63" s="659"/>
      <c r="CH63" s="1288"/>
      <c r="CI63" s="1281"/>
      <c r="CJ63" s="1281"/>
      <c r="CK63" s="1281"/>
      <c r="CL63" s="1281"/>
      <c r="CM63" s="1281"/>
      <c r="CN63" s="1281"/>
      <c r="CO63" s="1281"/>
      <c r="CP63" s="1281"/>
    </row>
    <row r="64" spans="2:94" ht="18" x14ac:dyDescent="0.25">
      <c r="B64" s="1591">
        <v>61</v>
      </c>
      <c r="C64" s="1530" t="s">
        <v>2472</v>
      </c>
      <c r="D64" s="658" t="s">
        <v>292</v>
      </c>
      <c r="E64" s="660" t="s">
        <v>1376</v>
      </c>
      <c r="F64" s="657"/>
      <c r="G64" s="657">
        <v>-1</v>
      </c>
      <c r="H64" s="657"/>
      <c r="I64" s="657"/>
      <c r="J64" s="657"/>
      <c r="K64" s="657"/>
      <c r="L64" s="657"/>
      <c r="M64" s="657"/>
      <c r="N64" s="657"/>
      <c r="O64" s="657"/>
      <c r="P64" s="657"/>
      <c r="Q64" s="657"/>
      <c r="R64" s="657"/>
      <c r="S64" s="657"/>
      <c r="T64" s="657"/>
      <c r="U64" s="657"/>
      <c r="V64" s="657"/>
      <c r="W64" s="657"/>
      <c r="X64" s="657"/>
      <c r="Y64" s="657"/>
      <c r="Z64" s="657"/>
      <c r="AA64" s="657"/>
      <c r="AB64" s="657"/>
      <c r="AC64" s="657"/>
      <c r="AD64" s="657"/>
      <c r="AE64" s="657"/>
      <c r="AF64" s="657"/>
      <c r="AG64" s="657"/>
      <c r="AH64" s="657"/>
      <c r="AI64" s="657"/>
      <c r="AJ64" s="657"/>
      <c r="AK64" s="657"/>
      <c r="AL64" s="657"/>
      <c r="AM64" s="661" t="s">
        <v>1377</v>
      </c>
      <c r="AN64" s="657" t="s">
        <v>1996</v>
      </c>
      <c r="AO64" s="657"/>
      <c r="AP64" s="657"/>
      <c r="AQ64" s="657"/>
      <c r="AR64" s="657"/>
      <c r="AS64" s="657"/>
      <c r="AT64" s="657"/>
      <c r="AU64" s="657"/>
      <c r="AV64" s="657"/>
      <c r="AW64" s="657"/>
      <c r="AX64" s="657"/>
      <c r="AY64" s="657"/>
      <c r="AZ64" s="657"/>
      <c r="BA64" s="657"/>
      <c r="BB64" s="657"/>
      <c r="BC64" s="657"/>
      <c r="BD64" s="657"/>
      <c r="BE64" s="657"/>
      <c r="BF64" s="657"/>
      <c r="BG64" s="657"/>
      <c r="BH64" s="657"/>
      <c r="BI64" s="657"/>
      <c r="BJ64" s="657"/>
      <c r="BK64" s="657"/>
      <c r="BL64" s="1549"/>
      <c r="BM64" s="657"/>
      <c r="BN64" s="657"/>
      <c r="BO64" s="657"/>
      <c r="BP64" s="1405"/>
      <c r="BQ64" s="2352"/>
      <c r="BR64" s="657"/>
      <c r="BS64" s="657"/>
      <c r="BT64" s="657"/>
      <c r="BU64" s="657"/>
      <c r="BV64" s="657"/>
      <c r="BW64" s="657"/>
      <c r="BX64" s="657"/>
      <c r="BY64" s="657"/>
      <c r="BZ64" s="657"/>
      <c r="CA64" s="657"/>
      <c r="CB64" s="657"/>
      <c r="CC64" s="657"/>
      <c r="CD64" s="658" t="s">
        <v>2486</v>
      </c>
      <c r="CE64" s="657" t="s">
        <v>2036</v>
      </c>
      <c r="CF64" s="658" t="s">
        <v>295</v>
      </c>
      <c r="CG64" s="659"/>
      <c r="CH64" s="1288"/>
      <c r="CI64" s="1281"/>
      <c r="CJ64" s="1281"/>
      <c r="CK64" s="1281"/>
      <c r="CL64" s="1281"/>
      <c r="CM64" s="1281"/>
      <c r="CN64" s="1281"/>
      <c r="CO64" s="1281"/>
      <c r="CP64" s="1281"/>
    </row>
    <row r="65" spans="2:94" ht="18" x14ac:dyDescent="0.25">
      <c r="B65" s="1591">
        <v>62</v>
      </c>
      <c r="C65" s="1530" t="s">
        <v>2473</v>
      </c>
      <c r="D65" s="658" t="s">
        <v>2377</v>
      </c>
      <c r="E65" s="657"/>
      <c r="F65" s="657"/>
      <c r="G65" s="657"/>
      <c r="H65" s="657"/>
      <c r="I65" s="657"/>
      <c r="J65" s="657"/>
      <c r="K65" s="657"/>
      <c r="L65" s="657"/>
      <c r="M65" s="657"/>
      <c r="N65" s="657"/>
      <c r="O65" s="657"/>
      <c r="P65" s="657"/>
      <c r="Q65" s="661" t="s">
        <v>3972</v>
      </c>
      <c r="R65" s="661" t="s">
        <v>4506</v>
      </c>
      <c r="S65" s="661" t="s">
        <v>3974</v>
      </c>
      <c r="T65" s="661" t="s">
        <v>3976</v>
      </c>
      <c r="U65" s="661" t="s">
        <v>3978</v>
      </c>
      <c r="V65" s="661" t="s">
        <v>3980</v>
      </c>
      <c r="W65" s="661" t="s">
        <v>3982</v>
      </c>
      <c r="X65" s="661" t="s">
        <v>3984</v>
      </c>
      <c r="Y65" s="657" t="s">
        <v>2378</v>
      </c>
      <c r="Z65" s="657">
        <v>-1</v>
      </c>
      <c r="AA65" s="657"/>
      <c r="AB65" s="657"/>
      <c r="AC65" s="657"/>
      <c r="AD65" s="657"/>
      <c r="AE65" s="657"/>
      <c r="AF65" s="657" t="s">
        <v>2379</v>
      </c>
      <c r="AG65" s="657"/>
      <c r="AH65" s="657"/>
      <c r="AI65" s="657"/>
      <c r="AJ65" s="657"/>
      <c r="AK65" s="657"/>
      <c r="AL65" s="657"/>
      <c r="AM65" s="657"/>
      <c r="AN65" s="657" t="s">
        <v>2380</v>
      </c>
      <c r="AO65" s="657"/>
      <c r="AP65" s="657"/>
      <c r="AQ65" s="657"/>
      <c r="AR65" s="657"/>
      <c r="AS65" s="657"/>
      <c r="AT65" s="657"/>
      <c r="AU65" s="657"/>
      <c r="AV65" s="657"/>
      <c r="AW65" s="657"/>
      <c r="AX65" s="657"/>
      <c r="AY65" s="657"/>
      <c r="AZ65" s="657"/>
      <c r="BA65" s="657"/>
      <c r="BB65" s="657"/>
      <c r="BC65" s="657"/>
      <c r="BD65" s="657"/>
      <c r="BE65" s="657"/>
      <c r="BF65" s="657"/>
      <c r="BG65" s="657"/>
      <c r="BH65" s="657"/>
      <c r="BI65" s="657"/>
      <c r="BJ65" s="657"/>
      <c r="BK65" s="657"/>
      <c r="BL65" s="1549"/>
      <c r="BM65" s="657"/>
      <c r="BN65" s="657"/>
      <c r="BO65" s="657"/>
      <c r="BP65" s="1405"/>
      <c r="BQ65" s="2352"/>
      <c r="BR65" s="657"/>
      <c r="BS65" s="657"/>
      <c r="BT65" s="657"/>
      <c r="BU65" s="657"/>
      <c r="BV65" s="657"/>
      <c r="BW65" s="657"/>
      <c r="BX65" s="657"/>
      <c r="BY65" s="657"/>
      <c r="BZ65" s="657"/>
      <c r="CA65" s="657"/>
      <c r="CB65" s="657"/>
      <c r="CC65" s="657"/>
      <c r="CD65" s="658" t="s">
        <v>3986</v>
      </c>
      <c r="CE65" s="657" t="s">
        <v>2036</v>
      </c>
      <c r="CF65" s="658"/>
      <c r="CG65" s="659"/>
      <c r="CH65" s="1288"/>
      <c r="CI65" s="1281"/>
      <c r="CJ65" s="1281"/>
      <c r="CK65" s="1281"/>
      <c r="CL65" s="1281"/>
      <c r="CM65" s="1281"/>
      <c r="CN65" s="1281"/>
      <c r="CO65" s="1281"/>
      <c r="CP65" s="1281"/>
    </row>
    <row r="66" spans="2:94" ht="18" x14ac:dyDescent="0.25">
      <c r="B66" s="1591">
        <v>63</v>
      </c>
      <c r="C66" s="1530" t="s">
        <v>2474</v>
      </c>
      <c r="D66" s="658" t="s">
        <v>1697</v>
      </c>
      <c r="E66" s="657"/>
      <c r="F66" s="657"/>
      <c r="G66" s="657"/>
      <c r="H66" s="657"/>
      <c r="I66" s="657"/>
      <c r="J66" s="657"/>
      <c r="K66" s="657"/>
      <c r="L66" s="657"/>
      <c r="M66" s="657"/>
      <c r="N66" s="657"/>
      <c r="O66" s="657"/>
      <c r="P66" s="657"/>
      <c r="Q66" s="661" t="s">
        <v>3973</v>
      </c>
      <c r="R66" s="661" t="s">
        <v>4507</v>
      </c>
      <c r="S66" s="661" t="s">
        <v>3975</v>
      </c>
      <c r="T66" s="661" t="s">
        <v>3977</v>
      </c>
      <c r="U66" s="661" t="s">
        <v>3979</v>
      </c>
      <c r="V66" s="661" t="s">
        <v>3981</v>
      </c>
      <c r="W66" s="661" t="s">
        <v>3983</v>
      </c>
      <c r="X66" s="661" t="s">
        <v>3985</v>
      </c>
      <c r="Y66" s="657" t="s">
        <v>1698</v>
      </c>
      <c r="Z66" s="657"/>
      <c r="AA66" s="657">
        <v>-1</v>
      </c>
      <c r="AB66" s="657"/>
      <c r="AC66" s="657"/>
      <c r="AD66" s="657"/>
      <c r="AE66" s="657"/>
      <c r="AF66" s="657" t="s">
        <v>1699</v>
      </c>
      <c r="AG66" s="657"/>
      <c r="AH66" s="657"/>
      <c r="AI66" s="657"/>
      <c r="AJ66" s="657"/>
      <c r="AK66" s="657"/>
      <c r="AL66" s="657"/>
      <c r="AM66" s="657"/>
      <c r="AN66" s="657" t="s">
        <v>1700</v>
      </c>
      <c r="AO66" s="657"/>
      <c r="AP66" s="657"/>
      <c r="AQ66" s="657"/>
      <c r="AR66" s="657"/>
      <c r="AS66" s="657"/>
      <c r="AT66" s="657"/>
      <c r="AU66" s="657"/>
      <c r="AV66" s="657"/>
      <c r="AW66" s="657"/>
      <c r="AX66" s="657"/>
      <c r="AY66" s="657"/>
      <c r="AZ66" s="657"/>
      <c r="BA66" s="657"/>
      <c r="BB66" s="657"/>
      <c r="BC66" s="657"/>
      <c r="BD66" s="657"/>
      <c r="BE66" s="657"/>
      <c r="BF66" s="657"/>
      <c r="BG66" s="657"/>
      <c r="BH66" s="657"/>
      <c r="BI66" s="657"/>
      <c r="BJ66" s="657"/>
      <c r="BK66" s="657"/>
      <c r="BL66" s="1549"/>
      <c r="BM66" s="657"/>
      <c r="BN66" s="657"/>
      <c r="BO66" s="657"/>
      <c r="BP66" s="1405"/>
      <c r="BQ66" s="2352"/>
      <c r="BR66" s="657"/>
      <c r="BS66" s="657"/>
      <c r="BT66" s="657"/>
      <c r="BU66" s="657"/>
      <c r="BV66" s="657"/>
      <c r="BW66" s="657"/>
      <c r="BX66" s="657"/>
      <c r="BY66" s="657"/>
      <c r="BZ66" s="657"/>
      <c r="CA66" s="657"/>
      <c r="CB66" s="657"/>
      <c r="CC66" s="657"/>
      <c r="CD66" s="658" t="s">
        <v>3987</v>
      </c>
      <c r="CE66" s="657" t="s">
        <v>2036</v>
      </c>
      <c r="CF66" s="658"/>
      <c r="CG66" s="659"/>
      <c r="CH66" s="1288"/>
      <c r="CI66" s="1281"/>
      <c r="CJ66" s="1281"/>
      <c r="CK66" s="1281"/>
      <c r="CL66" s="1281"/>
      <c r="CM66" s="1281"/>
      <c r="CN66" s="1281"/>
      <c r="CO66" s="1281"/>
      <c r="CP66" s="1281"/>
    </row>
    <row r="67" spans="2:94" ht="17.25" customHeight="1" x14ac:dyDescent="0.25">
      <c r="B67" s="1592">
        <v>64</v>
      </c>
      <c r="C67" s="1532" t="s">
        <v>2475</v>
      </c>
      <c r="D67" s="1537" t="s">
        <v>2962</v>
      </c>
      <c r="E67" s="662"/>
      <c r="F67" s="662"/>
      <c r="G67" s="662"/>
      <c r="H67" s="662"/>
      <c r="I67" s="662"/>
      <c r="J67" s="662"/>
      <c r="K67" s="662"/>
      <c r="L67" s="662"/>
      <c r="M67" s="662"/>
      <c r="N67" s="662"/>
      <c r="O67" s="662"/>
      <c r="P67" s="662"/>
      <c r="Q67" s="663"/>
      <c r="R67" s="662"/>
      <c r="S67" s="662"/>
      <c r="T67" s="662"/>
      <c r="U67" s="662"/>
      <c r="V67" s="662"/>
      <c r="W67" s="662"/>
      <c r="X67" s="662"/>
      <c r="Y67" s="662"/>
      <c r="Z67" s="662"/>
      <c r="AA67" s="662"/>
      <c r="AB67" s="662"/>
      <c r="AC67" s="662"/>
      <c r="AD67" s="662"/>
      <c r="AE67" s="662"/>
      <c r="AF67" s="662"/>
      <c r="AG67" s="662"/>
      <c r="AH67" s="662"/>
      <c r="AI67" s="662"/>
      <c r="AJ67" s="662"/>
      <c r="AK67" s="662"/>
      <c r="AL67" s="662"/>
      <c r="AM67" s="662"/>
      <c r="AN67" s="662"/>
      <c r="AO67" s="662"/>
      <c r="AP67" s="662"/>
      <c r="AQ67" s="662"/>
      <c r="AR67" s="662"/>
      <c r="AS67" s="662"/>
      <c r="AT67" s="662"/>
      <c r="AU67" s="662"/>
      <c r="AV67" s="1550" t="s">
        <v>1356</v>
      </c>
      <c r="AW67" s="1550" t="s">
        <v>1357</v>
      </c>
      <c r="AX67" s="1551"/>
      <c r="AY67" s="1550" t="s">
        <v>1360</v>
      </c>
      <c r="AZ67" s="1551"/>
      <c r="BA67" s="1550" t="s">
        <v>1361</v>
      </c>
      <c r="BB67" s="1551"/>
      <c r="BC67" s="1520"/>
      <c r="BD67" s="1520"/>
      <c r="BE67" s="662"/>
      <c r="BF67" s="1520"/>
      <c r="BG67" s="662"/>
      <c r="BH67" s="1520"/>
      <c r="BI67" s="662"/>
      <c r="BJ67" s="662"/>
      <c r="BK67" s="662"/>
      <c r="BL67" s="1551"/>
      <c r="BM67" s="663"/>
      <c r="BN67" s="662"/>
      <c r="BO67" s="662"/>
      <c r="BP67" s="1406"/>
      <c r="BQ67" s="2353"/>
      <c r="BR67" s="663"/>
      <c r="BS67" s="663"/>
      <c r="BT67" s="663"/>
      <c r="BU67" s="663"/>
      <c r="BV67" s="663"/>
      <c r="BW67" s="663"/>
      <c r="BX67" s="663"/>
      <c r="BY67" s="663"/>
      <c r="BZ67" s="663"/>
      <c r="CA67" s="663"/>
      <c r="CB67" s="663"/>
      <c r="CC67" s="663"/>
      <c r="CD67" s="1081" t="s">
        <v>4042</v>
      </c>
      <c r="CE67" s="662" t="s">
        <v>2036</v>
      </c>
      <c r="CF67" s="664"/>
      <c r="CG67" s="665"/>
      <c r="CH67" s="1288"/>
      <c r="CI67" s="1281"/>
      <c r="CJ67" s="1281"/>
      <c r="CK67" s="1281"/>
      <c r="CL67" s="1281"/>
      <c r="CM67" s="1281"/>
      <c r="CN67" s="1281"/>
      <c r="CO67" s="1281"/>
      <c r="CP67" s="1281"/>
    </row>
    <row r="68" spans="2:94" ht="19.5" customHeight="1" x14ac:dyDescent="0.25">
      <c r="B68" s="1592">
        <v>65</v>
      </c>
      <c r="C68" s="1532" t="s">
        <v>2476</v>
      </c>
      <c r="D68" s="1537" t="s">
        <v>2963</v>
      </c>
      <c r="E68" s="662"/>
      <c r="F68" s="662"/>
      <c r="G68" s="662"/>
      <c r="H68" s="662"/>
      <c r="I68" s="662"/>
      <c r="J68" s="662"/>
      <c r="K68" s="662"/>
      <c r="L68" s="662"/>
      <c r="M68" s="662"/>
      <c r="N68" s="662"/>
      <c r="O68" s="662"/>
      <c r="P68" s="662"/>
      <c r="Q68" s="663"/>
      <c r="R68" s="662"/>
      <c r="S68" s="662"/>
      <c r="T68" s="662"/>
      <c r="U68" s="662"/>
      <c r="V68" s="662"/>
      <c r="W68" s="662"/>
      <c r="X68" s="662"/>
      <c r="Y68" s="662"/>
      <c r="Z68" s="662"/>
      <c r="AA68" s="662"/>
      <c r="AB68" s="662"/>
      <c r="AC68" s="662"/>
      <c r="AD68" s="662"/>
      <c r="AE68" s="662"/>
      <c r="AF68" s="662"/>
      <c r="AG68" s="662"/>
      <c r="AH68" s="662"/>
      <c r="AI68" s="662"/>
      <c r="AJ68" s="662"/>
      <c r="AK68" s="662"/>
      <c r="AL68" s="662"/>
      <c r="AM68" s="662"/>
      <c r="AN68" s="662"/>
      <c r="AO68" s="662"/>
      <c r="AP68" s="662"/>
      <c r="AQ68" s="662"/>
      <c r="AR68" s="662"/>
      <c r="AS68" s="662"/>
      <c r="AT68" s="662"/>
      <c r="AU68" s="662"/>
      <c r="AV68" s="1551"/>
      <c r="AW68" s="1550" t="s">
        <v>1358</v>
      </c>
      <c r="AX68" s="1550" t="s">
        <v>1359</v>
      </c>
      <c r="AY68" s="1550"/>
      <c r="AZ68" s="1550" t="s">
        <v>1362</v>
      </c>
      <c r="BA68" s="1550"/>
      <c r="BB68" s="1550" t="s">
        <v>1363</v>
      </c>
      <c r="BC68" s="662"/>
      <c r="BD68" s="1520"/>
      <c r="BE68" s="1520"/>
      <c r="BF68" s="1520"/>
      <c r="BG68" s="1520"/>
      <c r="BH68" s="1520"/>
      <c r="BI68" s="1520"/>
      <c r="BJ68" s="662"/>
      <c r="BK68" s="662"/>
      <c r="BL68" s="1551"/>
      <c r="BM68" s="663"/>
      <c r="BN68" s="662"/>
      <c r="BO68" s="662"/>
      <c r="BP68" s="1406"/>
      <c r="BQ68" s="2353"/>
      <c r="BR68" s="663"/>
      <c r="BS68" s="663"/>
      <c r="BT68" s="663"/>
      <c r="BU68" s="663"/>
      <c r="BV68" s="663"/>
      <c r="BW68" s="663"/>
      <c r="BX68" s="663"/>
      <c r="BY68" s="663"/>
      <c r="BZ68" s="663"/>
      <c r="CA68" s="663"/>
      <c r="CB68" s="663"/>
      <c r="CC68" s="663"/>
      <c r="CD68" s="1081" t="s">
        <v>4043</v>
      </c>
      <c r="CE68" s="662" t="s">
        <v>2036</v>
      </c>
      <c r="CF68" s="664"/>
      <c r="CG68" s="665"/>
      <c r="CH68" s="1288"/>
      <c r="CI68" s="1281"/>
      <c r="CJ68" s="1281"/>
      <c r="CK68" s="1281"/>
      <c r="CL68" s="1281"/>
      <c r="CM68" s="1281"/>
      <c r="CN68" s="1281"/>
      <c r="CO68" s="1281"/>
      <c r="CP68" s="1281"/>
    </row>
    <row r="69" spans="2:94" ht="18" x14ac:dyDescent="0.25">
      <c r="B69" s="1592">
        <v>66</v>
      </c>
      <c r="C69" s="1532" t="s">
        <v>2477</v>
      </c>
      <c r="D69" s="1537" t="s">
        <v>2964</v>
      </c>
      <c r="E69" s="662"/>
      <c r="F69" s="662"/>
      <c r="G69" s="662"/>
      <c r="H69" s="662"/>
      <c r="I69" s="662"/>
      <c r="J69" s="662"/>
      <c r="K69" s="662"/>
      <c r="L69" s="662"/>
      <c r="M69" s="662"/>
      <c r="N69" s="662"/>
      <c r="O69" s="662"/>
      <c r="P69" s="662"/>
      <c r="Q69" s="663"/>
      <c r="R69" s="662"/>
      <c r="S69" s="662"/>
      <c r="T69" s="662"/>
      <c r="U69" s="662"/>
      <c r="V69" s="662"/>
      <c r="W69" s="662"/>
      <c r="X69" s="662"/>
      <c r="Y69" s="662"/>
      <c r="Z69" s="662"/>
      <c r="AA69" s="662"/>
      <c r="AB69" s="662"/>
      <c r="AC69" s="662"/>
      <c r="AD69" s="662"/>
      <c r="AE69" s="662"/>
      <c r="AF69" s="662">
        <v>-1</v>
      </c>
      <c r="AG69" s="662"/>
      <c r="AH69" s="662"/>
      <c r="AI69" s="662"/>
      <c r="AJ69" s="662"/>
      <c r="AK69" s="662"/>
      <c r="AL69" s="662"/>
      <c r="AM69" s="662"/>
      <c r="AN69" s="662"/>
      <c r="AO69" s="662"/>
      <c r="AP69" s="662"/>
      <c r="AQ69" s="662"/>
      <c r="AR69" s="662"/>
      <c r="AS69" s="662"/>
      <c r="AT69" s="662"/>
      <c r="AU69" s="662"/>
      <c r="AV69" s="1552" t="s">
        <v>4049</v>
      </c>
      <c r="AW69" s="1551"/>
      <c r="AX69" s="1551"/>
      <c r="AY69" s="1552" t="s">
        <v>4050</v>
      </c>
      <c r="AZ69" s="1551"/>
      <c r="BA69" s="1552"/>
      <c r="BB69" s="1552"/>
      <c r="BC69" s="663"/>
      <c r="BD69" s="662"/>
      <c r="BE69" s="662"/>
      <c r="BF69" s="663"/>
      <c r="BG69" s="662"/>
      <c r="BH69" s="663"/>
      <c r="BI69" s="663"/>
      <c r="BJ69" s="662"/>
      <c r="BK69" s="662"/>
      <c r="BL69" s="1551"/>
      <c r="BM69" s="663"/>
      <c r="BN69" s="662"/>
      <c r="BO69" s="662"/>
      <c r="BP69" s="1406"/>
      <c r="BQ69" s="2353"/>
      <c r="BR69" s="663"/>
      <c r="BS69" s="663"/>
      <c r="BT69" s="663"/>
      <c r="BU69" s="663"/>
      <c r="BV69" s="663"/>
      <c r="BW69" s="663"/>
      <c r="BX69" s="663"/>
      <c r="BY69" s="663"/>
      <c r="BZ69" s="663"/>
      <c r="CA69" s="663"/>
      <c r="CB69" s="663"/>
      <c r="CC69" s="663"/>
      <c r="CD69" s="1081" t="s">
        <v>4044</v>
      </c>
      <c r="CE69" s="662" t="s">
        <v>2036</v>
      </c>
      <c r="CF69" s="664"/>
      <c r="CG69" s="665"/>
      <c r="CH69" s="1288"/>
      <c r="CI69" s="1281"/>
      <c r="CJ69" s="1281"/>
      <c r="CK69" s="1281"/>
      <c r="CL69" s="1281"/>
      <c r="CM69" s="1281"/>
      <c r="CN69" s="1281"/>
      <c r="CO69" s="1281"/>
      <c r="CP69" s="1281"/>
    </row>
    <row r="70" spans="2:94" ht="18" x14ac:dyDescent="0.25">
      <c r="B70" s="1592">
        <v>67</v>
      </c>
      <c r="C70" s="1532" t="s">
        <v>2478</v>
      </c>
      <c r="D70" s="1537" t="s">
        <v>2965</v>
      </c>
      <c r="E70" s="662"/>
      <c r="F70" s="662"/>
      <c r="G70" s="662"/>
      <c r="H70" s="662"/>
      <c r="I70" s="662"/>
      <c r="J70" s="662"/>
      <c r="K70" s="662"/>
      <c r="L70" s="662"/>
      <c r="M70" s="662"/>
      <c r="N70" s="662"/>
      <c r="O70" s="662"/>
      <c r="P70" s="662"/>
      <c r="Q70" s="663"/>
      <c r="R70" s="662"/>
      <c r="S70" s="662"/>
      <c r="T70" s="662"/>
      <c r="U70" s="662"/>
      <c r="V70" s="662"/>
      <c r="W70" s="662"/>
      <c r="X70" s="662"/>
      <c r="Y70" s="662"/>
      <c r="Z70" s="662"/>
      <c r="AA70" s="662"/>
      <c r="AB70" s="662"/>
      <c r="AC70" s="662"/>
      <c r="AD70" s="662"/>
      <c r="AE70" s="662"/>
      <c r="AF70" s="662">
        <v>-1</v>
      </c>
      <c r="AG70" s="662"/>
      <c r="AH70" s="662"/>
      <c r="AI70" s="662"/>
      <c r="AJ70" s="662"/>
      <c r="AK70" s="662"/>
      <c r="AL70" s="662"/>
      <c r="AM70" s="662"/>
      <c r="AN70" s="662"/>
      <c r="AO70" s="662"/>
      <c r="AP70" s="662"/>
      <c r="AQ70" s="662"/>
      <c r="AR70" s="662"/>
      <c r="AS70" s="662"/>
      <c r="AT70" s="662"/>
      <c r="AU70" s="662"/>
      <c r="AV70" s="1551"/>
      <c r="AW70" s="1552" t="s">
        <v>4051</v>
      </c>
      <c r="AX70" s="1551"/>
      <c r="AY70" s="1551"/>
      <c r="AZ70" s="1552" t="s">
        <v>4052</v>
      </c>
      <c r="BA70" s="1551"/>
      <c r="BB70" s="1551"/>
      <c r="BC70" s="662"/>
      <c r="BD70" s="663"/>
      <c r="BE70" s="662"/>
      <c r="BF70" s="662"/>
      <c r="BG70" s="663"/>
      <c r="BH70" s="662"/>
      <c r="BI70" s="662"/>
      <c r="BJ70" s="662"/>
      <c r="BK70" s="662"/>
      <c r="BL70" s="1551"/>
      <c r="BM70" s="663"/>
      <c r="BN70" s="662"/>
      <c r="BO70" s="662"/>
      <c r="BP70" s="1406"/>
      <c r="BQ70" s="2353"/>
      <c r="BR70" s="663"/>
      <c r="BS70" s="663"/>
      <c r="BT70" s="663"/>
      <c r="BU70" s="663"/>
      <c r="BV70" s="663"/>
      <c r="BW70" s="663"/>
      <c r="BX70" s="663"/>
      <c r="BY70" s="663"/>
      <c r="BZ70" s="663"/>
      <c r="CA70" s="663"/>
      <c r="CB70" s="663"/>
      <c r="CC70" s="663"/>
      <c r="CD70" s="1081" t="s">
        <v>4045</v>
      </c>
      <c r="CE70" s="662" t="s">
        <v>2036</v>
      </c>
      <c r="CF70" s="664"/>
      <c r="CG70" s="665"/>
      <c r="CH70" s="1288"/>
      <c r="CI70" s="1281"/>
      <c r="CJ70" s="1281"/>
      <c r="CK70" s="1281"/>
      <c r="CL70" s="1281"/>
      <c r="CM70" s="1281"/>
      <c r="CN70" s="1281"/>
      <c r="CO70" s="1281"/>
      <c r="CP70" s="1281"/>
    </row>
    <row r="71" spans="2:94" ht="18" x14ac:dyDescent="0.25">
      <c r="B71" s="1592">
        <v>68</v>
      </c>
      <c r="C71" s="1532" t="s">
        <v>2479</v>
      </c>
      <c r="D71" s="1537" t="s">
        <v>3452</v>
      </c>
      <c r="E71" s="662"/>
      <c r="F71" s="662"/>
      <c r="G71" s="662"/>
      <c r="H71" s="662"/>
      <c r="I71" s="662"/>
      <c r="J71" s="662"/>
      <c r="K71" s="662"/>
      <c r="L71" s="662"/>
      <c r="M71" s="662"/>
      <c r="N71" s="662"/>
      <c r="O71" s="662"/>
      <c r="P71" s="662"/>
      <c r="Q71" s="663"/>
      <c r="R71" s="662"/>
      <c r="S71" s="662"/>
      <c r="T71" s="662"/>
      <c r="U71" s="662"/>
      <c r="V71" s="662"/>
      <c r="W71" s="662"/>
      <c r="X71" s="662"/>
      <c r="Y71" s="662"/>
      <c r="Z71" s="662"/>
      <c r="AA71" s="662"/>
      <c r="AB71" s="662"/>
      <c r="AC71" s="662"/>
      <c r="AD71" s="662"/>
      <c r="AE71" s="662"/>
      <c r="AF71" s="1407" t="s">
        <v>4065</v>
      </c>
      <c r="AG71" s="662"/>
      <c r="AH71" s="662"/>
      <c r="AI71" s="662"/>
      <c r="AJ71" s="662"/>
      <c r="AK71" s="662"/>
      <c r="AL71" s="662"/>
      <c r="AM71" s="662"/>
      <c r="AN71" s="662"/>
      <c r="AO71" s="662"/>
      <c r="AP71" s="662"/>
      <c r="AQ71" s="662"/>
      <c r="AR71" s="662"/>
      <c r="AS71" s="662"/>
      <c r="AT71" s="662"/>
      <c r="AU71" s="663"/>
      <c r="AV71" s="1551">
        <v>1</v>
      </c>
      <c r="AW71" s="1551"/>
      <c r="AX71" s="1552"/>
      <c r="AY71" s="1552">
        <v>-1</v>
      </c>
      <c r="AZ71" s="1551"/>
      <c r="BA71" s="1552"/>
      <c r="BB71" s="1552"/>
      <c r="BC71" s="662"/>
      <c r="BD71" s="662"/>
      <c r="BE71" s="663"/>
      <c r="BF71" s="663"/>
      <c r="BG71" s="662"/>
      <c r="BH71" s="663"/>
      <c r="BI71" s="663"/>
      <c r="BJ71" s="663"/>
      <c r="BK71" s="663"/>
      <c r="BL71" s="1552"/>
      <c r="BM71" s="663"/>
      <c r="BN71" s="663"/>
      <c r="BO71" s="663"/>
      <c r="BP71" s="1407"/>
      <c r="BQ71" s="2354"/>
      <c r="BR71" s="663"/>
      <c r="BS71" s="663"/>
      <c r="BT71" s="663"/>
      <c r="BU71" s="663"/>
      <c r="BV71" s="663"/>
      <c r="BW71" s="663"/>
      <c r="BX71" s="663"/>
      <c r="BY71" s="663"/>
      <c r="BZ71" s="663"/>
      <c r="CA71" s="663"/>
      <c r="CB71" s="663"/>
      <c r="CC71" s="663"/>
      <c r="CD71" s="1081" t="s">
        <v>4046</v>
      </c>
      <c r="CE71" s="662" t="s">
        <v>2036</v>
      </c>
      <c r="CF71" s="664"/>
      <c r="CG71" s="665"/>
      <c r="CH71" s="1288"/>
      <c r="CI71" s="1281"/>
      <c r="CJ71" s="1281"/>
      <c r="CK71" s="1281"/>
      <c r="CL71" s="1281"/>
      <c r="CM71" s="1281"/>
      <c r="CN71" s="1281"/>
      <c r="CO71" s="1281"/>
      <c r="CP71" s="1281"/>
    </row>
    <row r="72" spans="2:94" ht="18" x14ac:dyDescent="0.25">
      <c r="B72" s="1592">
        <v>69</v>
      </c>
      <c r="C72" s="1532" t="s">
        <v>2480</v>
      </c>
      <c r="D72" s="1537" t="s">
        <v>3453</v>
      </c>
      <c r="E72" s="662"/>
      <c r="F72" s="662"/>
      <c r="G72" s="662"/>
      <c r="H72" s="662"/>
      <c r="I72" s="662"/>
      <c r="J72" s="662"/>
      <c r="K72" s="662"/>
      <c r="L72" s="662"/>
      <c r="M72" s="662"/>
      <c r="N72" s="662"/>
      <c r="O72" s="662"/>
      <c r="P72" s="662"/>
      <c r="Q72" s="663"/>
      <c r="R72" s="662"/>
      <c r="S72" s="662"/>
      <c r="T72" s="662"/>
      <c r="U72" s="662"/>
      <c r="V72" s="662"/>
      <c r="W72" s="662"/>
      <c r="X72" s="662"/>
      <c r="Y72" s="662"/>
      <c r="Z72" s="662"/>
      <c r="AA72" s="662"/>
      <c r="AB72" s="662"/>
      <c r="AC72" s="662"/>
      <c r="AD72" s="662"/>
      <c r="AE72" s="662"/>
      <c r="AF72" s="1407" t="s">
        <v>4066</v>
      </c>
      <c r="AG72" s="662"/>
      <c r="AH72" s="662"/>
      <c r="AI72" s="662"/>
      <c r="AJ72" s="662"/>
      <c r="AK72" s="662"/>
      <c r="AL72" s="662"/>
      <c r="AM72" s="662"/>
      <c r="AN72" s="662"/>
      <c r="AO72" s="662"/>
      <c r="AP72" s="662"/>
      <c r="AQ72" s="662"/>
      <c r="AR72" s="662"/>
      <c r="AS72" s="662"/>
      <c r="AT72" s="662"/>
      <c r="AU72" s="663"/>
      <c r="AV72" s="1551"/>
      <c r="AW72" s="1551">
        <v>1</v>
      </c>
      <c r="AX72" s="1552"/>
      <c r="AY72" s="1552"/>
      <c r="AZ72" s="1551">
        <v>-1</v>
      </c>
      <c r="BA72" s="1552"/>
      <c r="BB72" s="1552"/>
      <c r="BC72" s="662"/>
      <c r="BD72" s="662"/>
      <c r="BE72" s="663"/>
      <c r="BF72" s="663"/>
      <c r="BG72" s="662"/>
      <c r="BH72" s="663"/>
      <c r="BI72" s="663"/>
      <c r="BJ72" s="663"/>
      <c r="BK72" s="663"/>
      <c r="BL72" s="1552"/>
      <c r="BM72" s="663"/>
      <c r="BN72" s="663"/>
      <c r="BO72" s="663"/>
      <c r="BP72" s="1407"/>
      <c r="BQ72" s="2354"/>
      <c r="BR72" s="663"/>
      <c r="BS72" s="663"/>
      <c r="BT72" s="663"/>
      <c r="BU72" s="663"/>
      <c r="BV72" s="663"/>
      <c r="BW72" s="663"/>
      <c r="BX72" s="663"/>
      <c r="BY72" s="663"/>
      <c r="BZ72" s="663"/>
      <c r="CA72" s="663"/>
      <c r="CB72" s="663"/>
      <c r="CC72" s="663"/>
      <c r="CD72" s="1081" t="s">
        <v>4047</v>
      </c>
      <c r="CE72" s="662" t="s">
        <v>2036</v>
      </c>
      <c r="CF72" s="664"/>
      <c r="CG72" s="665"/>
      <c r="CH72" s="1288"/>
      <c r="CI72" s="1281"/>
      <c r="CJ72" s="1281"/>
      <c r="CK72" s="1281"/>
      <c r="CL72" s="1281"/>
      <c r="CM72" s="1281"/>
      <c r="CN72" s="1281"/>
      <c r="CO72" s="1281"/>
      <c r="CP72" s="1281"/>
    </row>
    <row r="73" spans="2:94" ht="18" customHeight="1" x14ac:dyDescent="0.25">
      <c r="B73" s="1592">
        <v>70</v>
      </c>
      <c r="C73" s="1532" t="s">
        <v>2481</v>
      </c>
      <c r="D73" s="1537" t="s">
        <v>3454</v>
      </c>
      <c r="E73" s="662"/>
      <c r="F73" s="662"/>
      <c r="G73" s="662"/>
      <c r="H73" s="662"/>
      <c r="I73" s="662"/>
      <c r="J73" s="662"/>
      <c r="K73" s="662"/>
      <c r="L73" s="662"/>
      <c r="M73" s="662"/>
      <c r="N73" s="662"/>
      <c r="O73" s="662"/>
      <c r="P73" s="662"/>
      <c r="Q73" s="663"/>
      <c r="R73" s="662"/>
      <c r="S73" s="662"/>
      <c r="T73" s="662"/>
      <c r="U73" s="662"/>
      <c r="V73" s="662"/>
      <c r="W73" s="662"/>
      <c r="X73" s="662"/>
      <c r="Y73" s="662"/>
      <c r="Z73" s="662"/>
      <c r="AA73" s="662"/>
      <c r="AB73" s="662"/>
      <c r="AC73" s="662"/>
      <c r="AD73" s="662"/>
      <c r="AE73" s="662"/>
      <c r="AF73" s="1407" t="s">
        <v>4067</v>
      </c>
      <c r="AG73" s="662"/>
      <c r="AH73" s="662"/>
      <c r="AI73" s="662"/>
      <c r="AJ73" s="662"/>
      <c r="AK73" s="662"/>
      <c r="AL73" s="662"/>
      <c r="AM73" s="662"/>
      <c r="AN73" s="662"/>
      <c r="AO73" s="662"/>
      <c r="AP73" s="662"/>
      <c r="AQ73" s="662"/>
      <c r="AR73" s="662"/>
      <c r="AS73" s="662"/>
      <c r="AT73" s="662"/>
      <c r="AU73" s="663"/>
      <c r="AV73" s="1551"/>
      <c r="AW73" s="1551"/>
      <c r="AX73" s="1552">
        <v>1</v>
      </c>
      <c r="AY73" s="1552"/>
      <c r="AZ73" s="1551"/>
      <c r="BA73" s="1550" t="s">
        <v>3456</v>
      </c>
      <c r="BB73" s="1550" t="s">
        <v>3457</v>
      </c>
      <c r="BC73" s="662"/>
      <c r="BD73" s="662"/>
      <c r="BE73" s="663"/>
      <c r="BF73" s="663"/>
      <c r="BG73" s="662"/>
      <c r="BH73" s="1520"/>
      <c r="BI73" s="1520"/>
      <c r="BJ73" s="663"/>
      <c r="BK73" s="663"/>
      <c r="BL73" s="1552"/>
      <c r="BM73" s="663"/>
      <c r="BN73" s="663"/>
      <c r="BO73" s="663"/>
      <c r="BP73" s="1407"/>
      <c r="BQ73" s="2354"/>
      <c r="BR73" s="663"/>
      <c r="BS73" s="663"/>
      <c r="BT73" s="663"/>
      <c r="BU73" s="663"/>
      <c r="BV73" s="663"/>
      <c r="BW73" s="663"/>
      <c r="BX73" s="663"/>
      <c r="BY73" s="663"/>
      <c r="BZ73" s="663"/>
      <c r="CA73" s="663"/>
      <c r="CB73" s="663"/>
      <c r="CC73" s="663"/>
      <c r="CD73" s="1081" t="s">
        <v>4048</v>
      </c>
      <c r="CE73" s="662" t="s">
        <v>2036</v>
      </c>
      <c r="CF73" s="664"/>
      <c r="CG73" s="805"/>
      <c r="CH73" s="1288"/>
      <c r="CI73" s="1281"/>
      <c r="CJ73" s="1281"/>
      <c r="CK73" s="1281"/>
      <c r="CL73" s="1281"/>
      <c r="CM73" s="1281"/>
      <c r="CN73" s="1281"/>
      <c r="CO73" s="1281"/>
      <c r="CP73" s="1281"/>
    </row>
    <row r="74" spans="2:94" ht="18.75" customHeight="1" x14ac:dyDescent="0.25">
      <c r="B74" s="1593">
        <v>71</v>
      </c>
      <c r="C74" s="666" t="s">
        <v>2492</v>
      </c>
      <c r="D74" s="667" t="s">
        <v>1701</v>
      </c>
      <c r="E74" s="668" t="s">
        <v>1894</v>
      </c>
      <c r="F74" s="668" t="s">
        <v>1893</v>
      </c>
      <c r="G74" s="669"/>
      <c r="H74" s="669"/>
      <c r="I74" s="669"/>
      <c r="J74" s="669"/>
      <c r="K74" s="669"/>
      <c r="L74" s="669"/>
      <c r="M74" s="669"/>
      <c r="N74" s="669"/>
      <c r="O74" s="669"/>
      <c r="P74" s="669"/>
      <c r="Q74" s="668"/>
      <c r="R74" s="669"/>
      <c r="S74" s="669"/>
      <c r="T74" s="669"/>
      <c r="U74" s="669"/>
      <c r="V74" s="669"/>
      <c r="W74" s="669"/>
      <c r="X74" s="669"/>
      <c r="Y74" s="669"/>
      <c r="Z74" s="669"/>
      <c r="AA74" s="669"/>
      <c r="AB74" s="669"/>
      <c r="AC74" s="669"/>
      <c r="AD74" s="669"/>
      <c r="AE74" s="669"/>
      <c r="AF74" s="1521" t="s">
        <v>3988</v>
      </c>
      <c r="AG74" s="669"/>
      <c r="AH74" s="669"/>
      <c r="AI74" s="669"/>
      <c r="AJ74" s="669"/>
      <c r="AK74" s="669"/>
      <c r="AL74" s="669"/>
      <c r="AM74" s="669"/>
      <c r="AN74" s="668" t="s">
        <v>1998</v>
      </c>
      <c r="AO74" s="669"/>
      <c r="AP74" s="669"/>
      <c r="AQ74" s="669"/>
      <c r="AR74" s="669"/>
      <c r="AS74" s="669"/>
      <c r="AT74" s="669"/>
      <c r="AU74" s="668">
        <v>1</v>
      </c>
      <c r="AV74" s="1521" t="s">
        <v>3989</v>
      </c>
      <c r="AW74" s="1521" t="s">
        <v>3990</v>
      </c>
      <c r="AX74" s="1521" t="s">
        <v>3991</v>
      </c>
      <c r="AY74" s="1521" t="s">
        <v>3992</v>
      </c>
      <c r="AZ74" s="1521" t="s">
        <v>3993</v>
      </c>
      <c r="BA74" s="1521" t="s">
        <v>3994</v>
      </c>
      <c r="BB74" s="1521" t="s">
        <v>3995</v>
      </c>
      <c r="BC74" s="1521"/>
      <c r="BD74" s="1521"/>
      <c r="BE74" s="1521"/>
      <c r="BF74" s="1521"/>
      <c r="BG74" s="1521"/>
      <c r="BH74" s="1521"/>
      <c r="BI74" s="1521"/>
      <c r="BJ74" s="668"/>
      <c r="BK74" s="668"/>
      <c r="BL74" s="1553"/>
      <c r="BM74" s="668"/>
      <c r="BN74" s="668"/>
      <c r="BO74" s="668"/>
      <c r="BP74" s="1408"/>
      <c r="BQ74" s="2355"/>
      <c r="BR74" s="668"/>
      <c r="BS74" s="668"/>
      <c r="BT74" s="668"/>
      <c r="BU74" s="668"/>
      <c r="BV74" s="668"/>
      <c r="BW74" s="668"/>
      <c r="BX74" s="668"/>
      <c r="BY74" s="668"/>
      <c r="BZ74" s="668"/>
      <c r="CA74" s="668"/>
      <c r="CB74" s="668"/>
      <c r="CC74" s="668"/>
      <c r="CD74" s="600" t="s">
        <v>3996</v>
      </c>
      <c r="CE74" s="669" t="s">
        <v>2036</v>
      </c>
      <c r="CF74" s="667"/>
      <c r="CG74" s="670"/>
      <c r="CH74" s="1288"/>
      <c r="CI74" s="1281"/>
      <c r="CJ74" s="1281"/>
      <c r="CK74" s="1281"/>
      <c r="CL74" s="1281"/>
      <c r="CM74" s="1281"/>
      <c r="CN74" s="1281"/>
      <c r="CO74" s="1281"/>
      <c r="CP74" s="1281"/>
    </row>
    <row r="75" spans="2:94" ht="18" x14ac:dyDescent="0.25">
      <c r="B75" s="1594">
        <v>72</v>
      </c>
      <c r="C75" s="1533" t="s">
        <v>2493</v>
      </c>
      <c r="D75" s="1538" t="s">
        <v>1702</v>
      </c>
      <c r="E75" s="669"/>
      <c r="F75" s="669"/>
      <c r="G75" s="669"/>
      <c r="H75" s="669"/>
      <c r="I75" s="669"/>
      <c r="J75" s="669"/>
      <c r="K75" s="669"/>
      <c r="L75" s="669"/>
      <c r="M75" s="669"/>
      <c r="N75" s="669"/>
      <c r="O75" s="669"/>
      <c r="P75" s="669"/>
      <c r="Q75" s="668"/>
      <c r="R75" s="669"/>
      <c r="S75" s="669"/>
      <c r="T75" s="669"/>
      <c r="U75" s="669"/>
      <c r="V75" s="669"/>
      <c r="W75" s="669"/>
      <c r="X75" s="669"/>
      <c r="Y75" s="669"/>
      <c r="Z75" s="669"/>
      <c r="AA75" s="669"/>
      <c r="AB75" s="669"/>
      <c r="AC75" s="669"/>
      <c r="AD75" s="669"/>
      <c r="AE75" s="669"/>
      <c r="AF75" s="668"/>
      <c r="AG75" s="669"/>
      <c r="AH75" s="669"/>
      <c r="AI75" s="669"/>
      <c r="AJ75" s="669"/>
      <c r="AK75" s="668" t="s">
        <v>1703</v>
      </c>
      <c r="AL75" s="669"/>
      <c r="AM75" s="669"/>
      <c r="AN75" s="668"/>
      <c r="AO75" s="669"/>
      <c r="AP75" s="669"/>
      <c r="AQ75" s="669"/>
      <c r="AR75" s="669"/>
      <c r="AS75" s="669"/>
      <c r="AT75" s="669"/>
      <c r="AU75" s="668" t="s">
        <v>1150</v>
      </c>
      <c r="AV75" s="669">
        <v>1</v>
      </c>
      <c r="AW75" s="669"/>
      <c r="AX75" s="669"/>
      <c r="AY75" s="668"/>
      <c r="AZ75" s="669"/>
      <c r="BA75" s="668"/>
      <c r="BB75" s="668"/>
      <c r="BC75" s="669"/>
      <c r="BD75" s="669"/>
      <c r="BE75" s="669"/>
      <c r="BF75" s="668"/>
      <c r="BG75" s="669"/>
      <c r="BH75" s="668"/>
      <c r="BI75" s="668"/>
      <c r="BJ75" s="668"/>
      <c r="BK75" s="668"/>
      <c r="BL75" s="1553"/>
      <c r="BM75" s="668"/>
      <c r="BN75" s="668"/>
      <c r="BO75" s="668"/>
      <c r="BP75" s="1408"/>
      <c r="BQ75" s="2355"/>
      <c r="BR75" s="668"/>
      <c r="BS75" s="668"/>
      <c r="BT75" s="668"/>
      <c r="BU75" s="668"/>
      <c r="BV75" s="668"/>
      <c r="BW75" s="668"/>
      <c r="BX75" s="668"/>
      <c r="BY75" s="668"/>
      <c r="BZ75" s="668"/>
      <c r="CA75" s="668"/>
      <c r="CB75" s="668"/>
      <c r="CC75" s="668"/>
      <c r="CD75" s="600" t="s">
        <v>3459</v>
      </c>
      <c r="CE75" s="669" t="s">
        <v>2036</v>
      </c>
      <c r="CF75" s="667"/>
      <c r="CG75" s="670"/>
      <c r="CH75" s="1288"/>
      <c r="CI75" s="1281"/>
      <c r="CJ75" s="1281"/>
      <c r="CK75" s="1281"/>
      <c r="CL75" s="1281"/>
      <c r="CM75" s="1281"/>
      <c r="CN75" s="1281"/>
      <c r="CO75" s="1281"/>
      <c r="CP75" s="1281"/>
    </row>
    <row r="76" spans="2:94" s="69" customFormat="1" ht="18" x14ac:dyDescent="0.25">
      <c r="B76" s="1595">
        <v>73</v>
      </c>
      <c r="C76" s="1084" t="s">
        <v>2945</v>
      </c>
      <c r="D76" s="1076" t="s">
        <v>3886</v>
      </c>
      <c r="E76" s="1549"/>
      <c r="F76" s="1549"/>
      <c r="G76" s="1549"/>
      <c r="H76" s="1549"/>
      <c r="I76" s="1549"/>
      <c r="J76" s="1549"/>
      <c r="K76" s="1549"/>
      <c r="L76" s="1549"/>
      <c r="M76" s="1549"/>
      <c r="N76" s="1549"/>
      <c r="O76" s="1549"/>
      <c r="P76" s="1549"/>
      <c r="Q76" s="1554"/>
      <c r="R76" s="1549"/>
      <c r="S76" s="1549"/>
      <c r="T76" s="1549"/>
      <c r="U76" s="1549"/>
      <c r="V76" s="1549"/>
      <c r="W76" s="1549"/>
      <c r="X76" s="1549"/>
      <c r="Y76" s="1549"/>
      <c r="Z76" s="1549"/>
      <c r="AA76" s="1549"/>
      <c r="AB76" s="1549"/>
      <c r="AC76" s="1085"/>
      <c r="AD76" s="1549"/>
      <c r="AE76" s="1549"/>
      <c r="AF76" s="1085"/>
      <c r="AG76" s="1549"/>
      <c r="AH76" s="1554"/>
      <c r="AI76" s="1549"/>
      <c r="AJ76" s="1549"/>
      <c r="AK76" s="1554"/>
      <c r="AL76" s="1549"/>
      <c r="AM76" s="1549"/>
      <c r="AN76" s="1549"/>
      <c r="AO76" s="1549"/>
      <c r="AP76" s="1549"/>
      <c r="AQ76" s="1549"/>
      <c r="AR76" s="1554"/>
      <c r="AS76" s="1549"/>
      <c r="AT76" s="1549"/>
      <c r="AU76" s="1549"/>
      <c r="AV76" s="1554"/>
      <c r="AW76" s="1549"/>
      <c r="AX76" s="1554"/>
      <c r="AY76" s="1554"/>
      <c r="AZ76" s="1555"/>
      <c r="BA76" s="1555"/>
      <c r="BB76" s="1549"/>
      <c r="BC76" s="1555" t="s">
        <v>3887</v>
      </c>
      <c r="BD76" s="1555" t="s">
        <v>3888</v>
      </c>
      <c r="BE76" s="1549"/>
      <c r="BF76" s="1555" t="s">
        <v>3889</v>
      </c>
      <c r="BG76" s="1549"/>
      <c r="BH76" s="1555" t="s">
        <v>3890</v>
      </c>
      <c r="BI76" s="1549"/>
      <c r="BJ76" s="1554"/>
      <c r="BK76" s="1554"/>
      <c r="BL76" s="1554"/>
      <c r="BM76" s="1554"/>
      <c r="BN76" s="1554"/>
      <c r="BO76" s="1554"/>
      <c r="BP76" s="1556"/>
      <c r="BQ76" s="2356"/>
      <c r="BR76" s="1554"/>
      <c r="BS76" s="1554"/>
      <c r="BT76" s="1554"/>
      <c r="BU76" s="1554"/>
      <c r="BV76" s="1554"/>
      <c r="BW76" s="1554"/>
      <c r="BX76" s="1554"/>
      <c r="BY76" s="1554"/>
      <c r="BZ76" s="1554"/>
      <c r="CA76" s="1554"/>
      <c r="CB76" s="1554"/>
      <c r="CC76" s="1554"/>
      <c r="CD76" s="1082" t="s">
        <v>3891</v>
      </c>
      <c r="CE76" s="1086" t="s">
        <v>2036</v>
      </c>
      <c r="CF76" s="1076"/>
      <c r="CG76" s="772"/>
      <c r="CH76" s="1292"/>
      <c r="CI76" s="1283"/>
      <c r="CJ76" s="1283"/>
      <c r="CK76" s="1283"/>
      <c r="CL76" s="1283"/>
      <c r="CM76" s="1283"/>
      <c r="CN76" s="1283"/>
      <c r="CO76" s="1283"/>
      <c r="CP76" s="1283"/>
    </row>
    <row r="77" spans="2:94" s="69" customFormat="1" ht="18" x14ac:dyDescent="0.25">
      <c r="B77" s="1595">
        <v>74</v>
      </c>
      <c r="C77" s="1084" t="s">
        <v>2946</v>
      </c>
      <c r="D77" s="1076" t="s">
        <v>3892</v>
      </c>
      <c r="E77" s="1549"/>
      <c r="F77" s="1549"/>
      <c r="G77" s="1549"/>
      <c r="H77" s="1549"/>
      <c r="I77" s="1549"/>
      <c r="J77" s="1549"/>
      <c r="K77" s="1549"/>
      <c r="L77" s="1549"/>
      <c r="M77" s="1549"/>
      <c r="N77" s="1549"/>
      <c r="O77" s="1549"/>
      <c r="P77" s="1549"/>
      <c r="Q77" s="1554"/>
      <c r="R77" s="1549"/>
      <c r="S77" s="1549"/>
      <c r="T77" s="1549"/>
      <c r="U77" s="1549"/>
      <c r="V77" s="1549"/>
      <c r="W77" s="1549"/>
      <c r="X77" s="1549"/>
      <c r="Y77" s="1549"/>
      <c r="Z77" s="1549"/>
      <c r="AA77" s="1549"/>
      <c r="AB77" s="1549"/>
      <c r="AC77" s="1085"/>
      <c r="AD77" s="1549"/>
      <c r="AE77" s="1549"/>
      <c r="AF77" s="1085"/>
      <c r="AG77" s="1549"/>
      <c r="AH77" s="1554"/>
      <c r="AI77" s="1549"/>
      <c r="AJ77" s="1549"/>
      <c r="AK77" s="1554"/>
      <c r="AL77" s="1549"/>
      <c r="AM77" s="1549"/>
      <c r="AN77" s="1549"/>
      <c r="AO77" s="1549"/>
      <c r="AP77" s="1549"/>
      <c r="AQ77" s="1549"/>
      <c r="AR77" s="1554"/>
      <c r="AS77" s="1549"/>
      <c r="AT77" s="1549"/>
      <c r="AU77" s="1549"/>
      <c r="AV77" s="1554"/>
      <c r="AW77" s="1549"/>
      <c r="AX77" s="1554"/>
      <c r="AY77" s="1554"/>
      <c r="AZ77" s="1549"/>
      <c r="BA77" s="1555"/>
      <c r="BB77" s="1555"/>
      <c r="BC77" s="1549"/>
      <c r="BD77" s="1555" t="s">
        <v>3893</v>
      </c>
      <c r="BE77" s="1555" t="s">
        <v>3894</v>
      </c>
      <c r="BF77" s="1555"/>
      <c r="BG77" s="1555" t="s">
        <v>3895</v>
      </c>
      <c r="BH77" s="1555"/>
      <c r="BI77" s="1555" t="s">
        <v>3896</v>
      </c>
      <c r="BJ77" s="1554"/>
      <c r="BK77" s="1554"/>
      <c r="BL77" s="1554"/>
      <c r="BM77" s="1554"/>
      <c r="BN77" s="1554"/>
      <c r="BO77" s="1554"/>
      <c r="BP77" s="1556"/>
      <c r="BQ77" s="2356"/>
      <c r="BR77" s="1554"/>
      <c r="BS77" s="1554"/>
      <c r="BT77" s="1554"/>
      <c r="BU77" s="1554"/>
      <c r="BV77" s="1554"/>
      <c r="BW77" s="1554"/>
      <c r="BX77" s="1554"/>
      <c r="BY77" s="1554"/>
      <c r="BZ77" s="1554"/>
      <c r="CA77" s="1554"/>
      <c r="CB77" s="1554"/>
      <c r="CC77" s="1554"/>
      <c r="CD77" s="1082" t="s">
        <v>3897</v>
      </c>
      <c r="CE77" s="1086" t="s">
        <v>2036</v>
      </c>
      <c r="CF77" s="1076"/>
      <c r="CG77" s="772"/>
      <c r="CH77" s="1292"/>
      <c r="CI77" s="1283"/>
      <c r="CJ77" s="1283"/>
      <c r="CK77" s="1283"/>
      <c r="CL77" s="1283"/>
      <c r="CM77" s="1283"/>
      <c r="CN77" s="1283"/>
      <c r="CO77" s="1283"/>
      <c r="CP77" s="1283"/>
    </row>
    <row r="78" spans="2:94" s="69" customFormat="1" ht="18" x14ac:dyDescent="0.25">
      <c r="B78" s="1595">
        <v>75</v>
      </c>
      <c r="C78" s="1084" t="s">
        <v>3068</v>
      </c>
      <c r="D78" s="1076" t="s">
        <v>3898</v>
      </c>
      <c r="E78" s="1549"/>
      <c r="F78" s="1549"/>
      <c r="G78" s="1549"/>
      <c r="H78" s="1549"/>
      <c r="I78" s="1549"/>
      <c r="J78" s="1549"/>
      <c r="K78" s="1549"/>
      <c r="L78" s="1549"/>
      <c r="M78" s="1549"/>
      <c r="N78" s="1549"/>
      <c r="O78" s="1549"/>
      <c r="P78" s="1549"/>
      <c r="Q78" s="1554"/>
      <c r="R78" s="1549"/>
      <c r="S78" s="1549"/>
      <c r="T78" s="1549"/>
      <c r="U78" s="1549"/>
      <c r="V78" s="1549"/>
      <c r="W78" s="1549"/>
      <c r="X78" s="1549"/>
      <c r="Y78" s="1549"/>
      <c r="Z78" s="1549"/>
      <c r="AA78" s="1549"/>
      <c r="AB78" s="1549"/>
      <c r="AC78" s="1085"/>
      <c r="AD78" s="1549"/>
      <c r="AE78" s="1549"/>
      <c r="AF78" s="1085">
        <v>-1</v>
      </c>
      <c r="AG78" s="1549"/>
      <c r="AH78" s="1554"/>
      <c r="AI78" s="1549"/>
      <c r="AJ78" s="1549"/>
      <c r="AK78" s="1554"/>
      <c r="AL78" s="1549"/>
      <c r="AM78" s="1549"/>
      <c r="AN78" s="1549"/>
      <c r="AO78" s="1549"/>
      <c r="AP78" s="1549"/>
      <c r="AQ78" s="1549"/>
      <c r="AR78" s="1554"/>
      <c r="AS78" s="1549"/>
      <c r="AT78" s="1549"/>
      <c r="AU78" s="1549"/>
      <c r="AV78" s="1554"/>
      <c r="AW78" s="1549"/>
      <c r="AX78" s="1554"/>
      <c r="AY78" s="1554"/>
      <c r="AZ78" s="1554"/>
      <c r="BA78" s="1549"/>
      <c r="BB78" s="1549"/>
      <c r="BC78" s="1554" t="s">
        <v>3899</v>
      </c>
      <c r="BD78" s="1549"/>
      <c r="BE78" s="1549"/>
      <c r="BF78" s="1554" t="s">
        <v>3900</v>
      </c>
      <c r="BG78" s="1549"/>
      <c r="BH78" s="1554"/>
      <c r="BI78" s="1554"/>
      <c r="BJ78" s="1554"/>
      <c r="BK78" s="1554"/>
      <c r="BL78" s="1554"/>
      <c r="BM78" s="1554"/>
      <c r="BN78" s="1554"/>
      <c r="BO78" s="1554"/>
      <c r="BP78" s="1556"/>
      <c r="BQ78" s="2356"/>
      <c r="BR78" s="1554"/>
      <c r="BS78" s="1554"/>
      <c r="BT78" s="1554"/>
      <c r="BU78" s="1554"/>
      <c r="BV78" s="1554"/>
      <c r="BW78" s="1554"/>
      <c r="BX78" s="1554"/>
      <c r="BY78" s="1554"/>
      <c r="BZ78" s="1554"/>
      <c r="CA78" s="1554"/>
      <c r="CB78" s="1554"/>
      <c r="CC78" s="1554"/>
      <c r="CD78" s="1082" t="s">
        <v>3901</v>
      </c>
      <c r="CE78" s="1086" t="s">
        <v>2036</v>
      </c>
      <c r="CF78" s="1076"/>
      <c r="CG78" s="772"/>
      <c r="CH78" s="1292"/>
      <c r="CI78" s="1283"/>
      <c r="CJ78" s="1283"/>
      <c r="CK78" s="1283"/>
      <c r="CL78" s="1283"/>
      <c r="CM78" s="1283"/>
      <c r="CN78" s="1283"/>
      <c r="CO78" s="1283"/>
      <c r="CP78" s="1283"/>
    </row>
    <row r="79" spans="2:94" s="69" customFormat="1" ht="18" x14ac:dyDescent="0.25">
      <c r="B79" s="1595">
        <v>76</v>
      </c>
      <c r="C79" s="1084" t="s">
        <v>3069</v>
      </c>
      <c r="D79" s="1076" t="s">
        <v>3902</v>
      </c>
      <c r="E79" s="1549"/>
      <c r="F79" s="1549"/>
      <c r="G79" s="1549"/>
      <c r="H79" s="1549"/>
      <c r="I79" s="1549"/>
      <c r="J79" s="1549"/>
      <c r="K79" s="1549"/>
      <c r="L79" s="1549"/>
      <c r="M79" s="1549"/>
      <c r="N79" s="1549"/>
      <c r="O79" s="1549"/>
      <c r="P79" s="1549"/>
      <c r="Q79" s="1554"/>
      <c r="R79" s="1549"/>
      <c r="S79" s="1549"/>
      <c r="T79" s="1549"/>
      <c r="U79" s="1549"/>
      <c r="V79" s="1549"/>
      <c r="W79" s="1549"/>
      <c r="X79" s="1549"/>
      <c r="Y79" s="1549"/>
      <c r="Z79" s="1549"/>
      <c r="AA79" s="1549"/>
      <c r="AB79" s="1549"/>
      <c r="AC79" s="1085"/>
      <c r="AD79" s="1549"/>
      <c r="AE79" s="1549"/>
      <c r="AF79" s="1085">
        <v>-1</v>
      </c>
      <c r="AG79" s="1549"/>
      <c r="AH79" s="1554"/>
      <c r="AI79" s="1549"/>
      <c r="AJ79" s="1549"/>
      <c r="AK79" s="1554"/>
      <c r="AL79" s="1549"/>
      <c r="AM79" s="1549"/>
      <c r="AN79" s="1549"/>
      <c r="AO79" s="1549"/>
      <c r="AP79" s="1549"/>
      <c r="AQ79" s="1549"/>
      <c r="AR79" s="1554"/>
      <c r="AS79" s="1549"/>
      <c r="AT79" s="1549"/>
      <c r="AU79" s="1549"/>
      <c r="AV79" s="1554"/>
      <c r="AW79" s="1549"/>
      <c r="AX79" s="1554"/>
      <c r="AY79" s="1554"/>
      <c r="AZ79" s="1549"/>
      <c r="BA79" s="1554"/>
      <c r="BB79" s="1549"/>
      <c r="BC79" s="1549"/>
      <c r="BD79" s="1554" t="s">
        <v>3903</v>
      </c>
      <c r="BE79" s="1549"/>
      <c r="BF79" s="1549"/>
      <c r="BG79" s="1554" t="s">
        <v>3904</v>
      </c>
      <c r="BH79" s="1549"/>
      <c r="BI79" s="1549"/>
      <c r="BJ79" s="1554"/>
      <c r="BK79" s="1554"/>
      <c r="BL79" s="1554"/>
      <c r="BM79" s="1554"/>
      <c r="BN79" s="1554"/>
      <c r="BO79" s="1554"/>
      <c r="BP79" s="1556"/>
      <c r="BQ79" s="2356"/>
      <c r="BR79" s="1554"/>
      <c r="BS79" s="1554"/>
      <c r="BT79" s="1554"/>
      <c r="BU79" s="1554"/>
      <c r="BV79" s="1554"/>
      <c r="BW79" s="1554"/>
      <c r="BX79" s="1554"/>
      <c r="BY79" s="1554"/>
      <c r="BZ79" s="1554"/>
      <c r="CA79" s="1554"/>
      <c r="CB79" s="1554"/>
      <c r="CC79" s="1554"/>
      <c r="CD79" s="1082" t="s">
        <v>3905</v>
      </c>
      <c r="CE79" s="1086" t="s">
        <v>2036</v>
      </c>
      <c r="CF79" s="1076"/>
      <c r="CG79" s="772"/>
      <c r="CH79" s="1292"/>
      <c r="CI79" s="1283"/>
      <c r="CJ79" s="1283"/>
      <c r="CK79" s="1283"/>
      <c r="CL79" s="1283"/>
      <c r="CM79" s="1283"/>
      <c r="CN79" s="1283"/>
      <c r="CO79" s="1283"/>
      <c r="CP79" s="1283"/>
    </row>
    <row r="80" spans="2:94" s="69" customFormat="1" ht="18" x14ac:dyDescent="0.25">
      <c r="B80" s="1595">
        <v>77</v>
      </c>
      <c r="C80" s="1084" t="s">
        <v>3070</v>
      </c>
      <c r="D80" s="1076" t="s">
        <v>3906</v>
      </c>
      <c r="E80" s="1549"/>
      <c r="F80" s="1549"/>
      <c r="G80" s="1549"/>
      <c r="H80" s="1549"/>
      <c r="I80" s="1549"/>
      <c r="J80" s="1549"/>
      <c r="K80" s="1549"/>
      <c r="L80" s="1549"/>
      <c r="M80" s="1549"/>
      <c r="N80" s="1549"/>
      <c r="O80" s="1549"/>
      <c r="P80" s="1549"/>
      <c r="Q80" s="1554"/>
      <c r="R80" s="1549"/>
      <c r="S80" s="1549"/>
      <c r="T80" s="1549"/>
      <c r="U80" s="1549"/>
      <c r="V80" s="1549"/>
      <c r="W80" s="1549"/>
      <c r="X80" s="1549"/>
      <c r="Y80" s="1549"/>
      <c r="Z80" s="1549"/>
      <c r="AA80" s="1549"/>
      <c r="AB80" s="1549"/>
      <c r="AC80" s="1554"/>
      <c r="AD80" s="1549"/>
      <c r="AE80" s="1549"/>
      <c r="AF80" s="1554" t="s">
        <v>3907</v>
      </c>
      <c r="AG80" s="1549"/>
      <c r="AH80" s="1554"/>
      <c r="AI80" s="1549"/>
      <c r="AJ80" s="1549"/>
      <c r="AK80" s="1554"/>
      <c r="AL80" s="1549"/>
      <c r="AM80" s="1549"/>
      <c r="AN80" s="1549"/>
      <c r="AO80" s="1549"/>
      <c r="AP80" s="1549"/>
      <c r="AQ80" s="1549"/>
      <c r="AR80" s="1554"/>
      <c r="AS80" s="1549"/>
      <c r="AT80" s="1549"/>
      <c r="AU80" s="1549"/>
      <c r="AV80" s="1554"/>
      <c r="AW80" s="1549"/>
      <c r="AX80" s="1554"/>
      <c r="AY80" s="1554"/>
      <c r="AZ80" s="1086"/>
      <c r="BA80" s="1086"/>
      <c r="BB80" s="1086"/>
      <c r="BC80" s="1086">
        <v>1</v>
      </c>
      <c r="BD80" s="1086"/>
      <c r="BE80" s="1086"/>
      <c r="BF80" s="1086">
        <v>-1</v>
      </c>
      <c r="BG80" s="1086"/>
      <c r="BH80" s="1086"/>
      <c r="BI80" s="1086"/>
      <c r="BJ80" s="1554"/>
      <c r="BK80" s="1554"/>
      <c r="BL80" s="1554"/>
      <c r="BM80" s="1554"/>
      <c r="BN80" s="1554"/>
      <c r="BO80" s="1554"/>
      <c r="BP80" s="1556"/>
      <c r="BQ80" s="2356"/>
      <c r="BR80" s="1554"/>
      <c r="BS80" s="1554"/>
      <c r="BT80" s="1554"/>
      <c r="BU80" s="1554"/>
      <c r="BV80" s="1554"/>
      <c r="BW80" s="1554"/>
      <c r="BX80" s="1554"/>
      <c r="BY80" s="1554"/>
      <c r="BZ80" s="1554"/>
      <c r="CA80" s="1554"/>
      <c r="CB80" s="1554"/>
      <c r="CC80" s="1554"/>
      <c r="CD80" s="1082" t="s">
        <v>3908</v>
      </c>
      <c r="CE80" s="1086" t="s">
        <v>2036</v>
      </c>
      <c r="CF80" s="1076"/>
      <c r="CG80" s="772"/>
      <c r="CH80" s="1292"/>
      <c r="CI80" s="1283"/>
      <c r="CJ80" s="1283"/>
      <c r="CK80" s="1283"/>
      <c r="CL80" s="1283"/>
      <c r="CM80" s="1283"/>
      <c r="CN80" s="1283"/>
      <c r="CO80" s="1283"/>
      <c r="CP80" s="1283"/>
    </row>
    <row r="81" spans="1:94" s="69" customFormat="1" ht="18" x14ac:dyDescent="0.25">
      <c r="B81" s="1595">
        <v>78</v>
      </c>
      <c r="C81" s="1084" t="s">
        <v>3071</v>
      </c>
      <c r="D81" s="1076" t="s">
        <v>3909</v>
      </c>
      <c r="E81" s="1549"/>
      <c r="F81" s="1549"/>
      <c r="G81" s="1549"/>
      <c r="H81" s="1549"/>
      <c r="I81" s="1549"/>
      <c r="J81" s="1549"/>
      <c r="K81" s="1549"/>
      <c r="L81" s="1549"/>
      <c r="M81" s="1549"/>
      <c r="N81" s="1549"/>
      <c r="O81" s="1549"/>
      <c r="P81" s="1549"/>
      <c r="Q81" s="1554"/>
      <c r="R81" s="1549"/>
      <c r="S81" s="1549"/>
      <c r="T81" s="1549"/>
      <c r="U81" s="1549"/>
      <c r="V81" s="1549"/>
      <c r="W81" s="1549"/>
      <c r="X81" s="1549"/>
      <c r="Y81" s="1549"/>
      <c r="Z81" s="1549"/>
      <c r="AA81" s="1549"/>
      <c r="AB81" s="1549"/>
      <c r="AC81" s="1554"/>
      <c r="AD81" s="1549"/>
      <c r="AE81" s="1549"/>
      <c r="AF81" s="1554" t="s">
        <v>3910</v>
      </c>
      <c r="AG81" s="1549"/>
      <c r="AH81" s="1554"/>
      <c r="AI81" s="1549"/>
      <c r="AJ81" s="1549"/>
      <c r="AK81" s="1554"/>
      <c r="AL81" s="1549"/>
      <c r="AM81" s="1549"/>
      <c r="AN81" s="1549"/>
      <c r="AO81" s="1549"/>
      <c r="AP81" s="1549"/>
      <c r="AQ81" s="1549"/>
      <c r="AR81" s="1554"/>
      <c r="AS81" s="1549"/>
      <c r="AT81" s="1549"/>
      <c r="AU81" s="1549"/>
      <c r="AV81" s="1554"/>
      <c r="AW81" s="1549"/>
      <c r="AX81" s="1554"/>
      <c r="AY81" s="1554"/>
      <c r="AZ81" s="1086"/>
      <c r="BA81" s="1086"/>
      <c r="BB81" s="1086"/>
      <c r="BC81" s="1086"/>
      <c r="BD81" s="1086">
        <v>1</v>
      </c>
      <c r="BE81" s="1086"/>
      <c r="BF81" s="1086"/>
      <c r="BG81" s="1086">
        <v>-1</v>
      </c>
      <c r="BH81" s="1086"/>
      <c r="BI81" s="1086"/>
      <c r="BJ81" s="1554"/>
      <c r="BK81" s="1554"/>
      <c r="BL81" s="1554"/>
      <c r="BM81" s="1554"/>
      <c r="BN81" s="1554"/>
      <c r="BO81" s="1554"/>
      <c r="BP81" s="1556"/>
      <c r="BQ81" s="2356"/>
      <c r="BR81" s="1554"/>
      <c r="BS81" s="1554"/>
      <c r="BT81" s="1554"/>
      <c r="BU81" s="1554"/>
      <c r="BV81" s="1554"/>
      <c r="BW81" s="1554"/>
      <c r="BX81" s="1554"/>
      <c r="BY81" s="1554"/>
      <c r="BZ81" s="1554"/>
      <c r="CA81" s="1554"/>
      <c r="CB81" s="1554"/>
      <c r="CC81" s="1554"/>
      <c r="CD81" s="1082" t="s">
        <v>3911</v>
      </c>
      <c r="CE81" s="1086" t="s">
        <v>2036</v>
      </c>
      <c r="CF81" s="1076"/>
      <c r="CG81" s="772"/>
      <c r="CH81" s="1292"/>
      <c r="CI81" s="1283"/>
      <c r="CJ81" s="1283"/>
      <c r="CK81" s="1283"/>
      <c r="CL81" s="1283"/>
      <c r="CM81" s="1283"/>
      <c r="CN81" s="1283"/>
      <c r="CO81" s="1283"/>
      <c r="CP81" s="1283"/>
    </row>
    <row r="82" spans="1:94" s="69" customFormat="1" ht="18" x14ac:dyDescent="0.25">
      <c r="B82" s="1595">
        <v>79</v>
      </c>
      <c r="C82" s="1084" t="s">
        <v>3072</v>
      </c>
      <c r="D82" s="1076" t="s">
        <v>3912</v>
      </c>
      <c r="E82" s="1549"/>
      <c r="F82" s="1549"/>
      <c r="G82" s="1549"/>
      <c r="H82" s="1549"/>
      <c r="I82" s="1549"/>
      <c r="J82" s="1549"/>
      <c r="K82" s="1549"/>
      <c r="L82" s="1549"/>
      <c r="M82" s="1549"/>
      <c r="N82" s="1549"/>
      <c r="O82" s="1549"/>
      <c r="P82" s="1549"/>
      <c r="Q82" s="1554"/>
      <c r="R82" s="1549"/>
      <c r="S82" s="1549"/>
      <c r="T82" s="1549"/>
      <c r="U82" s="1549"/>
      <c r="V82" s="1549"/>
      <c r="W82" s="1549"/>
      <c r="X82" s="1549"/>
      <c r="Y82" s="1549"/>
      <c r="Z82" s="1549"/>
      <c r="AA82" s="1549"/>
      <c r="AB82" s="1549"/>
      <c r="AC82" s="1554"/>
      <c r="AD82" s="1549"/>
      <c r="AE82" s="1549"/>
      <c r="AF82" s="1554" t="s">
        <v>3913</v>
      </c>
      <c r="AG82" s="1549"/>
      <c r="AH82" s="1554"/>
      <c r="AI82" s="1549"/>
      <c r="AJ82" s="1549"/>
      <c r="AK82" s="1554"/>
      <c r="AL82" s="1549"/>
      <c r="AM82" s="1549"/>
      <c r="AN82" s="1549"/>
      <c r="AO82" s="1549"/>
      <c r="AP82" s="1549"/>
      <c r="AQ82" s="1549"/>
      <c r="AR82" s="1554"/>
      <c r="AS82" s="1549"/>
      <c r="AT82" s="1549"/>
      <c r="AU82" s="1549"/>
      <c r="AV82" s="1554"/>
      <c r="AW82" s="1549"/>
      <c r="AX82" s="1554"/>
      <c r="AY82" s="1554"/>
      <c r="AZ82" s="1086"/>
      <c r="BA82" s="1086"/>
      <c r="BB82" s="1086"/>
      <c r="BC82" s="1086"/>
      <c r="BD82" s="1086"/>
      <c r="BE82" s="1086">
        <v>1</v>
      </c>
      <c r="BF82" s="1086"/>
      <c r="BG82" s="1086"/>
      <c r="BH82" s="1555" t="s">
        <v>3914</v>
      </c>
      <c r="BI82" s="1555" t="s">
        <v>3915</v>
      </c>
      <c r="BJ82" s="1554"/>
      <c r="BK82" s="1554"/>
      <c r="BL82" s="1554"/>
      <c r="BM82" s="1554"/>
      <c r="BN82" s="1554"/>
      <c r="BO82" s="1554"/>
      <c r="BP82" s="1556"/>
      <c r="BQ82" s="2356"/>
      <c r="BR82" s="1554"/>
      <c r="BS82" s="1554"/>
      <c r="BT82" s="1554"/>
      <c r="BU82" s="1554"/>
      <c r="BV82" s="1554"/>
      <c r="BW82" s="1554"/>
      <c r="BX82" s="1554"/>
      <c r="BY82" s="1554"/>
      <c r="BZ82" s="1554"/>
      <c r="CA82" s="1554"/>
      <c r="CB82" s="1554"/>
      <c r="CC82" s="1554"/>
      <c r="CD82" s="1082" t="s">
        <v>3916</v>
      </c>
      <c r="CE82" s="1086" t="s">
        <v>2036</v>
      </c>
      <c r="CF82" s="1076"/>
      <c r="CG82" s="772"/>
      <c r="CH82" s="1292"/>
      <c r="CI82" s="1283"/>
      <c r="CJ82" s="1283"/>
      <c r="CK82" s="1283"/>
      <c r="CL82" s="1283"/>
      <c r="CM82" s="1283"/>
      <c r="CN82" s="1283"/>
      <c r="CO82" s="1283"/>
      <c r="CP82" s="1283"/>
    </row>
    <row r="83" spans="1:94" ht="18" x14ac:dyDescent="0.25">
      <c r="B83" s="1596">
        <v>80</v>
      </c>
      <c r="C83" s="1534" t="s">
        <v>3073</v>
      </c>
      <c r="D83" s="1539" t="s">
        <v>1128</v>
      </c>
      <c r="E83" s="671"/>
      <c r="F83" s="671"/>
      <c r="G83" s="671"/>
      <c r="H83" s="671"/>
      <c r="I83" s="671"/>
      <c r="J83" s="671"/>
      <c r="K83" s="671"/>
      <c r="L83" s="671"/>
      <c r="M83" s="671"/>
      <c r="N83" s="671"/>
      <c r="O83" s="671"/>
      <c r="P83" s="671"/>
      <c r="Q83" s="672"/>
      <c r="R83" s="671"/>
      <c r="S83" s="671"/>
      <c r="T83" s="671"/>
      <c r="U83" s="671"/>
      <c r="V83" s="671"/>
      <c r="W83" s="671"/>
      <c r="X83" s="671"/>
      <c r="Y83" s="671"/>
      <c r="Z83" s="671"/>
      <c r="AA83" s="671"/>
      <c r="AB83" s="671"/>
      <c r="AC83" s="671"/>
      <c r="AD83" s="671"/>
      <c r="AE83" s="671"/>
      <c r="AF83" s="672"/>
      <c r="AG83" s="671"/>
      <c r="AH83" s="671"/>
      <c r="AI83" s="671"/>
      <c r="AJ83" s="671"/>
      <c r="AK83" s="671"/>
      <c r="AL83" s="671"/>
      <c r="AM83" s="671"/>
      <c r="AN83" s="672" t="s">
        <v>2513</v>
      </c>
      <c r="AO83" s="671"/>
      <c r="AP83" s="671"/>
      <c r="AQ83" s="671"/>
      <c r="AR83" s="672" t="s">
        <v>1704</v>
      </c>
      <c r="AS83" s="671"/>
      <c r="AT83" s="671"/>
      <c r="AU83" s="672"/>
      <c r="AV83" s="671"/>
      <c r="AW83" s="671"/>
      <c r="AX83" s="672"/>
      <c r="AY83" s="672"/>
      <c r="AZ83" s="671"/>
      <c r="BA83" s="672"/>
      <c r="BB83" s="672"/>
      <c r="BC83" s="671"/>
      <c r="BD83" s="671"/>
      <c r="BE83" s="672"/>
      <c r="BF83" s="672"/>
      <c r="BG83" s="671"/>
      <c r="BH83" s="672"/>
      <c r="BI83" s="672"/>
      <c r="BJ83" s="672">
        <v>1</v>
      </c>
      <c r="BK83" s="672"/>
      <c r="BL83" s="1077"/>
      <c r="BM83" s="672"/>
      <c r="BN83" s="672"/>
      <c r="BO83" s="672"/>
      <c r="BP83" s="1409"/>
      <c r="BQ83" s="2357"/>
      <c r="BR83" s="672"/>
      <c r="BS83" s="672"/>
      <c r="BT83" s="672"/>
      <c r="BU83" s="672"/>
      <c r="BV83" s="672"/>
      <c r="BW83" s="672"/>
      <c r="BX83" s="672"/>
      <c r="BY83" s="672"/>
      <c r="BZ83" s="672"/>
      <c r="CA83" s="672"/>
      <c r="CB83" s="672"/>
      <c r="CC83" s="672"/>
      <c r="CD83" s="673" t="s">
        <v>1705</v>
      </c>
      <c r="CE83" s="671" t="s">
        <v>2036</v>
      </c>
      <c r="CF83" s="674" t="s">
        <v>1129</v>
      </c>
      <c r="CG83" s="675"/>
      <c r="CH83" s="1288"/>
      <c r="CI83" s="1281"/>
      <c r="CJ83" s="1281"/>
      <c r="CK83" s="1281"/>
      <c r="CL83" s="1281"/>
      <c r="CM83" s="1281"/>
      <c r="CN83" s="1281"/>
      <c r="CO83" s="1281"/>
      <c r="CP83" s="1281"/>
    </row>
    <row r="84" spans="1:94" ht="18" x14ac:dyDescent="0.25">
      <c r="B84" s="1596">
        <v>81</v>
      </c>
      <c r="C84" s="1534" t="s">
        <v>3074</v>
      </c>
      <c r="D84" s="1539" t="s">
        <v>1127</v>
      </c>
      <c r="E84" s="671"/>
      <c r="F84" s="671"/>
      <c r="G84" s="671"/>
      <c r="H84" s="671"/>
      <c r="I84" s="671"/>
      <c r="J84" s="671"/>
      <c r="K84" s="671"/>
      <c r="L84" s="671"/>
      <c r="M84" s="671"/>
      <c r="N84" s="671"/>
      <c r="O84" s="671"/>
      <c r="P84" s="671"/>
      <c r="Q84" s="672"/>
      <c r="R84" s="671"/>
      <c r="S84" s="671"/>
      <c r="T84" s="671"/>
      <c r="U84" s="671"/>
      <c r="V84" s="671"/>
      <c r="W84" s="671"/>
      <c r="X84" s="671"/>
      <c r="Y84" s="671"/>
      <c r="Z84" s="671"/>
      <c r="AA84" s="671"/>
      <c r="AB84" s="671"/>
      <c r="AC84" s="671"/>
      <c r="AD84" s="671"/>
      <c r="AE84" s="671"/>
      <c r="AF84" s="672" t="s">
        <v>1706</v>
      </c>
      <c r="AG84" s="671"/>
      <c r="AH84" s="671"/>
      <c r="AI84" s="671"/>
      <c r="AJ84" s="671"/>
      <c r="AK84" s="671"/>
      <c r="AL84" s="671"/>
      <c r="AM84" s="671"/>
      <c r="AN84" s="671"/>
      <c r="AO84" s="671"/>
      <c r="AP84" s="671"/>
      <c r="AQ84" s="671"/>
      <c r="AR84" s="672" t="s">
        <v>1707</v>
      </c>
      <c r="AS84" s="671"/>
      <c r="AT84" s="671"/>
      <c r="AU84" s="672"/>
      <c r="AV84" s="671"/>
      <c r="AW84" s="671"/>
      <c r="AX84" s="672"/>
      <c r="AY84" s="672"/>
      <c r="AZ84" s="671"/>
      <c r="BA84" s="672"/>
      <c r="BB84" s="672"/>
      <c r="BC84" s="671"/>
      <c r="BD84" s="671"/>
      <c r="BE84" s="672"/>
      <c r="BF84" s="672"/>
      <c r="BG84" s="671"/>
      <c r="BH84" s="672"/>
      <c r="BI84" s="672"/>
      <c r="BJ84" s="672"/>
      <c r="BK84" s="672">
        <v>1</v>
      </c>
      <c r="BL84" s="1077"/>
      <c r="BM84" s="672"/>
      <c r="BN84" s="672"/>
      <c r="BO84" s="672"/>
      <c r="BP84" s="1409"/>
      <c r="BQ84" s="2357"/>
      <c r="BR84" s="672"/>
      <c r="BS84" s="672"/>
      <c r="BT84" s="672"/>
      <c r="BU84" s="672"/>
      <c r="BV84" s="672"/>
      <c r="BW84" s="672"/>
      <c r="BX84" s="672"/>
      <c r="BY84" s="672"/>
      <c r="BZ84" s="672"/>
      <c r="CA84" s="672"/>
      <c r="CB84" s="672"/>
      <c r="CC84" s="672"/>
      <c r="CD84" s="673" t="s">
        <v>1708</v>
      </c>
      <c r="CE84" s="671" t="s">
        <v>2036</v>
      </c>
      <c r="CF84" s="674" t="s">
        <v>1130</v>
      </c>
      <c r="CG84" s="675"/>
      <c r="CH84" s="1288"/>
      <c r="CI84" s="1281"/>
      <c r="CJ84" s="1281"/>
      <c r="CK84" s="1281"/>
      <c r="CL84" s="1281"/>
      <c r="CM84" s="1281"/>
      <c r="CN84" s="1281"/>
      <c r="CO84" s="1281"/>
      <c r="CP84" s="1281"/>
    </row>
    <row r="85" spans="1:94" s="69" customFormat="1" ht="18" x14ac:dyDescent="0.25">
      <c r="B85" s="1596">
        <v>82</v>
      </c>
      <c r="C85" s="1535" t="s">
        <v>3075</v>
      </c>
      <c r="D85" s="1540" t="s">
        <v>3917</v>
      </c>
      <c r="E85" s="1557"/>
      <c r="F85" s="1557"/>
      <c r="G85" s="1557"/>
      <c r="H85" s="1557"/>
      <c r="I85" s="1557"/>
      <c r="J85" s="1557"/>
      <c r="K85" s="1557"/>
      <c r="L85" s="1557"/>
      <c r="M85" s="1557"/>
      <c r="N85" s="1557"/>
      <c r="O85" s="1557"/>
      <c r="P85" s="1557"/>
      <c r="Q85" s="1077"/>
      <c r="R85" s="1557"/>
      <c r="S85" s="1557"/>
      <c r="T85" s="1557"/>
      <c r="U85" s="1557"/>
      <c r="V85" s="1557"/>
      <c r="W85" s="1557"/>
      <c r="X85" s="1557"/>
      <c r="Y85" s="1557"/>
      <c r="Z85" s="1557"/>
      <c r="AA85" s="1557"/>
      <c r="AB85" s="1557"/>
      <c r="AC85" s="1077"/>
      <c r="AD85" s="1557"/>
      <c r="AE85" s="1557"/>
      <c r="AF85" s="1077" t="s">
        <v>3918</v>
      </c>
      <c r="AG85" s="1557"/>
      <c r="AH85" s="1557"/>
      <c r="AI85" s="1557"/>
      <c r="AJ85" s="1557"/>
      <c r="AK85" s="1557"/>
      <c r="AL85" s="1557"/>
      <c r="AM85" s="1557"/>
      <c r="AN85" s="1557"/>
      <c r="AO85" s="1077"/>
      <c r="AP85" s="1557"/>
      <c r="AQ85" s="1557"/>
      <c r="AR85" s="1077" t="s">
        <v>3919</v>
      </c>
      <c r="AS85" s="1557"/>
      <c r="AT85" s="1557"/>
      <c r="AU85" s="1077"/>
      <c r="AV85" s="1077"/>
      <c r="AW85" s="1557"/>
      <c r="AX85" s="1077"/>
      <c r="AY85" s="1077"/>
      <c r="AZ85" s="1557"/>
      <c r="BA85" s="1557"/>
      <c r="BB85" s="1077"/>
      <c r="BC85" s="1077"/>
      <c r="BD85" s="1557"/>
      <c r="BE85" s="1077"/>
      <c r="BF85" s="1077"/>
      <c r="BG85" s="1077"/>
      <c r="BH85" s="1077"/>
      <c r="BI85" s="1077"/>
      <c r="BJ85" s="1077"/>
      <c r="BK85" s="1077"/>
      <c r="BL85" s="1077">
        <v>1</v>
      </c>
      <c r="BM85" s="1077"/>
      <c r="BN85" s="1077"/>
      <c r="BO85" s="1077"/>
      <c r="BP85" s="1409"/>
      <c r="BQ85" s="2357"/>
      <c r="BR85" s="1077"/>
      <c r="BS85" s="1077"/>
      <c r="BT85" s="1077"/>
      <c r="BU85" s="1077"/>
      <c r="BV85" s="1077"/>
      <c r="BW85" s="1077"/>
      <c r="BX85" s="1077"/>
      <c r="BY85" s="1077"/>
      <c r="BZ85" s="1077"/>
      <c r="CA85" s="1077"/>
      <c r="CB85" s="1077"/>
      <c r="CC85" s="1077"/>
      <c r="CD85" s="1083" t="s">
        <v>3920</v>
      </c>
      <c r="CE85" s="671" t="s">
        <v>2036</v>
      </c>
      <c r="CF85" s="1124" t="s">
        <v>4213</v>
      </c>
      <c r="CG85" s="1087"/>
      <c r="CH85" s="1292"/>
      <c r="CI85" s="1283"/>
      <c r="CJ85" s="1283"/>
      <c r="CK85" s="1283"/>
      <c r="CL85" s="1283"/>
      <c r="CM85" s="1283"/>
      <c r="CN85" s="1283"/>
      <c r="CO85" s="1283"/>
      <c r="CP85" s="1283"/>
    </row>
    <row r="86" spans="1:94" ht="18" x14ac:dyDescent="0.25">
      <c r="B86" s="1596">
        <v>83</v>
      </c>
      <c r="C86" s="1534" t="s">
        <v>3076</v>
      </c>
      <c r="D86" s="1539" t="s">
        <v>287</v>
      </c>
      <c r="E86" s="671"/>
      <c r="F86" s="671"/>
      <c r="G86" s="671"/>
      <c r="H86" s="671"/>
      <c r="I86" s="671"/>
      <c r="J86" s="671"/>
      <c r="K86" s="671"/>
      <c r="L86" s="671"/>
      <c r="M86" s="671"/>
      <c r="N86" s="671"/>
      <c r="O86" s="671"/>
      <c r="P86" s="671"/>
      <c r="Q86" s="672"/>
      <c r="R86" s="671"/>
      <c r="S86" s="671"/>
      <c r="T86" s="671"/>
      <c r="U86" s="671"/>
      <c r="V86" s="671"/>
      <c r="W86" s="671"/>
      <c r="X86" s="671"/>
      <c r="Y86" s="672" t="s">
        <v>1709</v>
      </c>
      <c r="Z86" s="671"/>
      <c r="AA86" s="671"/>
      <c r="AB86" s="671"/>
      <c r="AC86" s="671"/>
      <c r="AD86" s="671"/>
      <c r="AE86" s="671"/>
      <c r="AF86" s="672" t="s">
        <v>1710</v>
      </c>
      <c r="AG86" s="671"/>
      <c r="AH86" s="671"/>
      <c r="AI86" s="671"/>
      <c r="AJ86" s="671"/>
      <c r="AK86" s="671"/>
      <c r="AL86" s="671"/>
      <c r="AM86" s="671"/>
      <c r="AN86" s="671"/>
      <c r="AO86" s="671"/>
      <c r="AP86" s="671"/>
      <c r="AQ86" s="671"/>
      <c r="AR86" s="671"/>
      <c r="AS86" s="672" t="s">
        <v>1711</v>
      </c>
      <c r="AT86" s="671"/>
      <c r="AU86" s="672"/>
      <c r="AV86" s="671"/>
      <c r="AW86" s="671"/>
      <c r="AX86" s="672"/>
      <c r="AY86" s="672"/>
      <c r="AZ86" s="671"/>
      <c r="BA86" s="672"/>
      <c r="BB86" s="672"/>
      <c r="BC86" s="671"/>
      <c r="BD86" s="671"/>
      <c r="BE86" s="672"/>
      <c r="BF86" s="672"/>
      <c r="BG86" s="671"/>
      <c r="BH86" s="672"/>
      <c r="BI86" s="672"/>
      <c r="BJ86" s="672"/>
      <c r="BK86" s="672"/>
      <c r="BL86" s="1077"/>
      <c r="BM86" s="672">
        <v>1</v>
      </c>
      <c r="BN86" s="672"/>
      <c r="BO86" s="672"/>
      <c r="BP86" s="1409"/>
      <c r="BQ86" s="2357"/>
      <c r="BR86" s="672"/>
      <c r="BS86" s="672"/>
      <c r="BT86" s="672"/>
      <c r="BU86" s="672"/>
      <c r="BV86" s="672"/>
      <c r="BW86" s="672"/>
      <c r="BX86" s="672"/>
      <c r="BY86" s="672"/>
      <c r="BZ86" s="672"/>
      <c r="CA86" s="672"/>
      <c r="CB86" s="672"/>
      <c r="CC86" s="672"/>
      <c r="CD86" s="673" t="s">
        <v>1712</v>
      </c>
      <c r="CE86" s="671" t="s">
        <v>2036</v>
      </c>
      <c r="CF86" s="674" t="s">
        <v>1126</v>
      </c>
      <c r="CG86" s="675"/>
      <c r="CH86" s="1288"/>
      <c r="CI86" s="1281"/>
      <c r="CJ86" s="1281"/>
      <c r="CK86" s="1281"/>
      <c r="CL86" s="1281"/>
      <c r="CM86" s="1281"/>
      <c r="CN86" s="1281"/>
      <c r="CO86" s="1281"/>
      <c r="CP86" s="1281"/>
    </row>
    <row r="87" spans="1:94" ht="18" x14ac:dyDescent="0.25">
      <c r="B87" s="1596">
        <v>84</v>
      </c>
      <c r="C87" s="1534" t="s">
        <v>3077</v>
      </c>
      <c r="D87" s="1539" t="s">
        <v>1125</v>
      </c>
      <c r="E87" s="671"/>
      <c r="F87" s="671"/>
      <c r="G87" s="671"/>
      <c r="H87" s="671"/>
      <c r="I87" s="671"/>
      <c r="J87" s="671"/>
      <c r="K87" s="671"/>
      <c r="L87" s="671"/>
      <c r="M87" s="671"/>
      <c r="N87" s="671"/>
      <c r="O87" s="671"/>
      <c r="P87" s="671"/>
      <c r="Q87" s="672"/>
      <c r="R87" s="671"/>
      <c r="S87" s="671"/>
      <c r="T87" s="671"/>
      <c r="U87" s="671"/>
      <c r="V87" s="671"/>
      <c r="W87" s="671"/>
      <c r="X87" s="671"/>
      <c r="Y87" s="672"/>
      <c r="Z87" s="671"/>
      <c r="AA87" s="671"/>
      <c r="AB87" s="671"/>
      <c r="AC87" s="671"/>
      <c r="AD87" s="671"/>
      <c r="AE87" s="671"/>
      <c r="AF87" s="672" t="s">
        <v>1713</v>
      </c>
      <c r="AG87" s="671"/>
      <c r="AH87" s="671"/>
      <c r="AI87" s="671"/>
      <c r="AJ87" s="671"/>
      <c r="AK87" s="671"/>
      <c r="AL87" s="671"/>
      <c r="AM87" s="671"/>
      <c r="AN87" s="671"/>
      <c r="AO87" s="671"/>
      <c r="AP87" s="671"/>
      <c r="AQ87" s="671"/>
      <c r="AR87" s="671"/>
      <c r="AS87" s="672"/>
      <c r="AT87" s="671"/>
      <c r="AU87" s="672" t="s">
        <v>1714</v>
      </c>
      <c r="AV87" s="671"/>
      <c r="AW87" s="671"/>
      <c r="AX87" s="672"/>
      <c r="AY87" s="672"/>
      <c r="AZ87" s="671"/>
      <c r="BA87" s="672"/>
      <c r="BB87" s="672"/>
      <c r="BC87" s="671"/>
      <c r="BD87" s="671"/>
      <c r="BE87" s="672"/>
      <c r="BF87" s="672"/>
      <c r="BG87" s="671"/>
      <c r="BH87" s="672"/>
      <c r="BI87" s="672"/>
      <c r="BJ87" s="672"/>
      <c r="BK87" s="672"/>
      <c r="BL87" s="1077"/>
      <c r="BM87" s="672"/>
      <c r="BN87" s="672">
        <v>1</v>
      </c>
      <c r="BO87" s="672"/>
      <c r="BP87" s="1409"/>
      <c r="BQ87" s="2357"/>
      <c r="BR87" s="672"/>
      <c r="BS87" s="672"/>
      <c r="BT87" s="672"/>
      <c r="BU87" s="672"/>
      <c r="BV87" s="672"/>
      <c r="BW87" s="672"/>
      <c r="BX87" s="672"/>
      <c r="BY87" s="672"/>
      <c r="BZ87" s="672"/>
      <c r="CA87" s="672"/>
      <c r="CB87" s="672"/>
      <c r="CC87" s="672"/>
      <c r="CD87" s="673" t="s">
        <v>1715</v>
      </c>
      <c r="CE87" s="671" t="s">
        <v>2036</v>
      </c>
      <c r="CF87" s="674" t="s">
        <v>1131</v>
      </c>
      <c r="CG87" s="675"/>
      <c r="CH87" s="1288"/>
      <c r="CI87" s="1281"/>
      <c r="CJ87" s="1281"/>
      <c r="CK87" s="1281"/>
      <c r="CL87" s="1281"/>
      <c r="CM87" s="1281"/>
      <c r="CN87" s="1281"/>
      <c r="CO87" s="1281"/>
      <c r="CP87" s="1281"/>
    </row>
    <row r="88" spans="1:94" ht="18" x14ac:dyDescent="0.25">
      <c r="B88" s="1597">
        <v>85</v>
      </c>
      <c r="C88" s="1536" t="s">
        <v>3078</v>
      </c>
      <c r="D88" s="1433" t="s">
        <v>4241</v>
      </c>
      <c r="E88" s="1536"/>
      <c r="F88" s="1536"/>
      <c r="G88" s="1536"/>
      <c r="H88" s="1536"/>
      <c r="I88" s="1536"/>
      <c r="J88" s="1536"/>
      <c r="K88" s="1536"/>
      <c r="L88" s="1536"/>
      <c r="M88" s="1536"/>
      <c r="N88" s="1536"/>
      <c r="O88" s="1536"/>
      <c r="P88" s="1536"/>
      <c r="Q88" s="1536"/>
      <c r="R88" s="1536"/>
      <c r="S88" s="1536"/>
      <c r="T88" s="1536"/>
      <c r="U88" s="1536"/>
      <c r="V88" s="1536"/>
      <c r="W88" s="1536"/>
      <c r="X88" s="1536"/>
      <c r="Y88" s="1536"/>
      <c r="Z88" s="1536"/>
      <c r="AA88" s="1536"/>
      <c r="AB88" s="1536"/>
      <c r="AC88" s="1536"/>
      <c r="AD88" s="1536"/>
      <c r="AE88" s="1536"/>
      <c r="AF88" s="1536"/>
      <c r="AG88" s="1536"/>
      <c r="AH88" s="1536"/>
      <c r="AI88" s="1536"/>
      <c r="AJ88" s="1536"/>
      <c r="AK88" s="1536"/>
      <c r="AL88" s="1536"/>
      <c r="AM88" s="1536"/>
      <c r="AN88" s="1536"/>
      <c r="AO88" s="1536"/>
      <c r="AP88" s="1536"/>
      <c r="AQ88" s="1536"/>
      <c r="AR88" s="1536"/>
      <c r="AS88" s="1536"/>
      <c r="AT88" s="1536"/>
      <c r="AU88" s="1536"/>
      <c r="AV88" s="1536"/>
      <c r="AW88" s="1536"/>
      <c r="AX88" s="1536"/>
      <c r="AY88" s="1536"/>
      <c r="AZ88" s="1536"/>
      <c r="BA88" s="1536"/>
      <c r="BB88" s="1536"/>
      <c r="BC88" s="1536"/>
      <c r="BD88" s="1536"/>
      <c r="BE88" s="1536"/>
      <c r="BF88" s="1536"/>
      <c r="BG88" s="1536"/>
      <c r="BH88" s="1536"/>
      <c r="BI88" s="1536"/>
      <c r="BJ88" s="1536"/>
      <c r="BK88" s="1536"/>
      <c r="BL88" s="1536"/>
      <c r="BM88" s="1536"/>
      <c r="BN88" s="1536"/>
      <c r="BO88" s="1536"/>
      <c r="BP88" s="1559">
        <v>1</v>
      </c>
      <c r="BQ88" s="2358"/>
      <c r="BR88" s="1536"/>
      <c r="BS88" s="1536"/>
      <c r="BT88" s="1536"/>
      <c r="BU88" s="1536"/>
      <c r="BV88" s="1536"/>
      <c r="BW88" s="1536"/>
      <c r="BX88" s="1536"/>
      <c r="BY88" s="1536"/>
      <c r="BZ88" s="1536"/>
      <c r="CA88" s="1536"/>
      <c r="CB88" s="1536"/>
      <c r="CC88" s="1536"/>
      <c r="CD88" s="1434" t="s">
        <v>4786</v>
      </c>
      <c r="CE88" s="1560" t="s">
        <v>4242</v>
      </c>
      <c r="CF88" s="1562"/>
      <c r="CG88" s="1599"/>
      <c r="CH88" s="1288"/>
      <c r="CI88" s="1281"/>
      <c r="CJ88" s="1281"/>
      <c r="CK88" s="1281"/>
      <c r="CL88" s="1281"/>
      <c r="CM88" s="1281"/>
      <c r="CN88" s="1281"/>
      <c r="CO88" s="1281"/>
      <c r="CP88" s="1281"/>
    </row>
    <row r="89" spans="1:94" ht="18" x14ac:dyDescent="0.25">
      <c r="B89" s="1598">
        <v>86</v>
      </c>
      <c r="C89" s="676" t="s">
        <v>3223</v>
      </c>
      <c r="D89" s="677" t="s">
        <v>3217</v>
      </c>
      <c r="E89" s="678"/>
      <c r="F89" s="678"/>
      <c r="G89" s="678"/>
      <c r="H89" s="678"/>
      <c r="I89" s="678"/>
      <c r="J89" s="678"/>
      <c r="K89" s="678"/>
      <c r="L89" s="678"/>
      <c r="M89" s="678"/>
      <c r="N89" s="678"/>
      <c r="O89" s="678"/>
      <c r="P89" s="678"/>
      <c r="Q89" s="679"/>
      <c r="R89" s="678"/>
      <c r="S89" s="678"/>
      <c r="T89" s="678"/>
      <c r="U89" s="678"/>
      <c r="V89" s="678"/>
      <c r="W89" s="678"/>
      <c r="X89" s="678"/>
      <c r="Y89" s="678"/>
      <c r="Z89" s="678"/>
      <c r="AA89" s="678"/>
      <c r="AB89" s="678"/>
      <c r="AC89" s="678"/>
      <c r="AD89" s="678"/>
      <c r="AE89" s="678"/>
      <c r="AF89" s="678"/>
      <c r="AG89" s="678"/>
      <c r="AH89" s="678"/>
      <c r="AI89" s="678"/>
      <c r="AJ89" s="678"/>
      <c r="AK89" s="678"/>
      <c r="AL89" s="678"/>
      <c r="AM89" s="678"/>
      <c r="AN89" s="678">
        <v>1</v>
      </c>
      <c r="AO89" s="678"/>
      <c r="AP89" s="678"/>
      <c r="AQ89" s="678"/>
      <c r="AR89" s="678"/>
      <c r="AS89" s="678"/>
      <c r="AT89" s="678"/>
      <c r="AU89" s="679"/>
      <c r="AV89" s="679"/>
      <c r="AW89" s="679"/>
      <c r="AX89" s="679"/>
      <c r="AY89" s="679"/>
      <c r="AZ89" s="679"/>
      <c r="BA89" s="679"/>
      <c r="BB89" s="679"/>
      <c r="BC89" s="679"/>
      <c r="BD89" s="679"/>
      <c r="BE89" s="679"/>
      <c r="BF89" s="679"/>
      <c r="BG89" s="679"/>
      <c r="BH89" s="679"/>
      <c r="BI89" s="679"/>
      <c r="BJ89" s="679"/>
      <c r="BK89" s="679"/>
      <c r="BL89" s="1558"/>
      <c r="BM89" s="679"/>
      <c r="BN89" s="679"/>
      <c r="BO89" s="679"/>
      <c r="BP89" s="1410"/>
      <c r="BQ89" s="2359"/>
      <c r="BR89" s="678">
        <v>-1</v>
      </c>
      <c r="BS89" s="678"/>
      <c r="BT89" s="678"/>
      <c r="BU89" s="678"/>
      <c r="BV89" s="678"/>
      <c r="BW89" s="678"/>
      <c r="BX89" s="679"/>
      <c r="BY89" s="679"/>
      <c r="BZ89" s="679"/>
      <c r="CA89" s="679"/>
      <c r="CB89" s="679"/>
      <c r="CC89" s="679"/>
      <c r="CD89" s="677" t="s">
        <v>3211</v>
      </c>
      <c r="CE89" s="678" t="s">
        <v>2036</v>
      </c>
      <c r="CF89" s="677"/>
      <c r="CG89" s="680"/>
      <c r="CH89" s="1288"/>
      <c r="CI89" s="1281"/>
      <c r="CJ89" s="1281"/>
      <c r="CK89" s="1281"/>
      <c r="CL89" s="1281"/>
      <c r="CM89" s="1281"/>
      <c r="CN89" s="1281"/>
      <c r="CO89" s="1281"/>
      <c r="CP89" s="1281"/>
    </row>
    <row r="90" spans="1:94" ht="18" x14ac:dyDescent="0.25">
      <c r="B90" s="1598">
        <v>87</v>
      </c>
      <c r="C90" s="676" t="s">
        <v>3224</v>
      </c>
      <c r="D90" s="677" t="s">
        <v>3218</v>
      </c>
      <c r="E90" s="678"/>
      <c r="F90" s="678"/>
      <c r="G90" s="678"/>
      <c r="H90" s="678"/>
      <c r="I90" s="678"/>
      <c r="J90" s="678"/>
      <c r="K90" s="678"/>
      <c r="L90" s="678"/>
      <c r="M90" s="678"/>
      <c r="N90" s="678"/>
      <c r="O90" s="678"/>
      <c r="P90" s="678"/>
      <c r="Q90" s="679"/>
      <c r="R90" s="678"/>
      <c r="S90" s="678"/>
      <c r="T90" s="678"/>
      <c r="U90" s="678"/>
      <c r="V90" s="678"/>
      <c r="W90" s="678"/>
      <c r="X90" s="678"/>
      <c r="Y90" s="678"/>
      <c r="Z90" s="678"/>
      <c r="AA90" s="678"/>
      <c r="AB90" s="678"/>
      <c r="AC90" s="678"/>
      <c r="AD90" s="678"/>
      <c r="AE90" s="678"/>
      <c r="AF90" s="678"/>
      <c r="AG90" s="678"/>
      <c r="AH90" s="678"/>
      <c r="AI90" s="678"/>
      <c r="AJ90" s="678"/>
      <c r="AK90" s="678"/>
      <c r="AL90" s="678">
        <v>1</v>
      </c>
      <c r="AM90" s="678"/>
      <c r="AN90" s="678"/>
      <c r="AO90" s="678"/>
      <c r="AP90" s="678"/>
      <c r="AQ90" s="678"/>
      <c r="AR90" s="678"/>
      <c r="AS90" s="678"/>
      <c r="AT90" s="678"/>
      <c r="AU90" s="679"/>
      <c r="AV90" s="679"/>
      <c r="AW90" s="679"/>
      <c r="AX90" s="679"/>
      <c r="AY90" s="679"/>
      <c r="AZ90" s="679"/>
      <c r="BA90" s="679"/>
      <c r="BB90" s="679"/>
      <c r="BC90" s="679"/>
      <c r="BD90" s="679"/>
      <c r="BE90" s="679"/>
      <c r="BF90" s="679"/>
      <c r="BG90" s="679"/>
      <c r="BH90" s="679"/>
      <c r="BI90" s="679"/>
      <c r="BJ90" s="679"/>
      <c r="BK90" s="679"/>
      <c r="BL90" s="1558"/>
      <c r="BM90" s="679"/>
      <c r="BN90" s="679"/>
      <c r="BO90" s="679"/>
      <c r="BP90" s="1410"/>
      <c r="BQ90" s="2359"/>
      <c r="BR90" s="678"/>
      <c r="BS90" s="678">
        <v>-1</v>
      </c>
      <c r="BT90" s="678"/>
      <c r="BU90" s="678"/>
      <c r="BV90" s="678"/>
      <c r="BW90" s="678"/>
      <c r="BX90" s="679"/>
      <c r="BY90" s="679"/>
      <c r="BZ90" s="679"/>
      <c r="CA90" s="679"/>
      <c r="CB90" s="679"/>
      <c r="CC90" s="679"/>
      <c r="CD90" s="677" t="s">
        <v>3212</v>
      </c>
      <c r="CE90" s="678" t="s">
        <v>2036</v>
      </c>
      <c r="CF90" s="677"/>
      <c r="CG90" s="680"/>
      <c r="CH90" s="1288"/>
      <c r="CI90" s="1281"/>
      <c r="CJ90" s="1281"/>
      <c r="CK90" s="1281"/>
      <c r="CL90" s="1281"/>
      <c r="CM90" s="1281"/>
      <c r="CN90" s="1281"/>
      <c r="CO90" s="1281"/>
      <c r="CP90" s="1281"/>
    </row>
    <row r="91" spans="1:94" ht="18" x14ac:dyDescent="0.25">
      <c r="B91" s="1598">
        <v>88</v>
      </c>
      <c r="C91" s="676" t="s">
        <v>3225</v>
      </c>
      <c r="D91" s="677" t="s">
        <v>3219</v>
      </c>
      <c r="E91" s="678"/>
      <c r="F91" s="678"/>
      <c r="G91" s="678"/>
      <c r="H91" s="678"/>
      <c r="I91" s="678"/>
      <c r="J91" s="678"/>
      <c r="K91" s="678"/>
      <c r="L91" s="678"/>
      <c r="M91" s="678"/>
      <c r="N91" s="678"/>
      <c r="O91" s="678"/>
      <c r="P91" s="678"/>
      <c r="Q91" s="679"/>
      <c r="R91" s="678"/>
      <c r="S91" s="678"/>
      <c r="T91" s="678"/>
      <c r="U91" s="678"/>
      <c r="V91" s="678"/>
      <c r="W91" s="678"/>
      <c r="X91" s="678"/>
      <c r="Y91" s="678"/>
      <c r="Z91" s="678"/>
      <c r="AA91" s="678"/>
      <c r="AB91" s="678"/>
      <c r="AC91" s="678"/>
      <c r="AD91" s="678"/>
      <c r="AE91" s="678"/>
      <c r="AF91" s="678"/>
      <c r="AG91" s="678"/>
      <c r="AH91" s="678"/>
      <c r="AI91" s="678"/>
      <c r="AJ91" s="678"/>
      <c r="AK91" s="678"/>
      <c r="AL91" s="678"/>
      <c r="AM91" s="678">
        <v>1</v>
      </c>
      <c r="AN91" s="678"/>
      <c r="AO91" s="678"/>
      <c r="AP91" s="678"/>
      <c r="AQ91" s="678"/>
      <c r="AR91" s="678"/>
      <c r="AS91" s="678"/>
      <c r="AT91" s="678"/>
      <c r="AU91" s="679"/>
      <c r="AV91" s="679"/>
      <c r="AW91" s="679"/>
      <c r="AX91" s="679"/>
      <c r="AY91" s="679"/>
      <c r="AZ91" s="679"/>
      <c r="BA91" s="679"/>
      <c r="BB91" s="679"/>
      <c r="BC91" s="679"/>
      <c r="BD91" s="679"/>
      <c r="BE91" s="679"/>
      <c r="BF91" s="679"/>
      <c r="BG91" s="679"/>
      <c r="BH91" s="679"/>
      <c r="BI91" s="679"/>
      <c r="BJ91" s="679"/>
      <c r="BK91" s="679"/>
      <c r="BL91" s="1558"/>
      <c r="BM91" s="679"/>
      <c r="BN91" s="679"/>
      <c r="BO91" s="679"/>
      <c r="BP91" s="1410"/>
      <c r="BQ91" s="2359"/>
      <c r="BR91" s="678"/>
      <c r="BS91" s="678"/>
      <c r="BT91" s="678">
        <v>-1</v>
      </c>
      <c r="BU91" s="678"/>
      <c r="BV91" s="678"/>
      <c r="BW91" s="678"/>
      <c r="BX91" s="679"/>
      <c r="BY91" s="679"/>
      <c r="BZ91" s="679"/>
      <c r="CA91" s="679"/>
      <c r="CB91" s="679"/>
      <c r="CC91" s="679"/>
      <c r="CD91" s="677" t="s">
        <v>3213</v>
      </c>
      <c r="CE91" s="678" t="s">
        <v>2036</v>
      </c>
      <c r="CF91" s="677"/>
      <c r="CG91" s="680"/>
      <c r="CH91" s="1288"/>
      <c r="CI91" s="1281"/>
      <c r="CJ91" s="1281"/>
      <c r="CK91" s="1281"/>
      <c r="CL91" s="1281"/>
      <c r="CM91" s="1281"/>
      <c r="CN91" s="1281"/>
      <c r="CO91" s="1281"/>
      <c r="CP91" s="1281"/>
    </row>
    <row r="92" spans="1:94" ht="18" x14ac:dyDescent="0.25">
      <c r="B92" s="1598">
        <v>89</v>
      </c>
      <c r="C92" s="676" t="s">
        <v>3226</v>
      </c>
      <c r="D92" s="677" t="s">
        <v>3220</v>
      </c>
      <c r="E92" s="678"/>
      <c r="F92" s="678"/>
      <c r="G92" s="678"/>
      <c r="H92" s="678"/>
      <c r="I92" s="678"/>
      <c r="J92" s="678"/>
      <c r="K92" s="678"/>
      <c r="L92" s="678"/>
      <c r="M92" s="678"/>
      <c r="N92" s="678"/>
      <c r="O92" s="678"/>
      <c r="P92" s="678"/>
      <c r="Q92" s="679"/>
      <c r="R92" s="678"/>
      <c r="S92" s="678"/>
      <c r="T92" s="678"/>
      <c r="U92" s="678"/>
      <c r="V92" s="678"/>
      <c r="W92" s="678"/>
      <c r="X92" s="678"/>
      <c r="Y92" s="678"/>
      <c r="Z92" s="678"/>
      <c r="AA92" s="678"/>
      <c r="AB92" s="678"/>
      <c r="AC92" s="678"/>
      <c r="AD92" s="678"/>
      <c r="AE92" s="678"/>
      <c r="AF92" s="678"/>
      <c r="AG92" s="678"/>
      <c r="AH92" s="678"/>
      <c r="AI92" s="678"/>
      <c r="AJ92" s="678"/>
      <c r="AK92" s="678">
        <v>1</v>
      </c>
      <c r="AL92" s="678"/>
      <c r="AM92" s="678"/>
      <c r="AN92" s="678"/>
      <c r="AO92" s="678"/>
      <c r="AP92" s="678"/>
      <c r="AQ92" s="678"/>
      <c r="AR92" s="678"/>
      <c r="AS92" s="678"/>
      <c r="AT92" s="678"/>
      <c r="AU92" s="679"/>
      <c r="AV92" s="679"/>
      <c r="AW92" s="679"/>
      <c r="AX92" s="679"/>
      <c r="AY92" s="679"/>
      <c r="AZ92" s="679"/>
      <c r="BA92" s="679"/>
      <c r="BB92" s="679"/>
      <c r="BC92" s="679"/>
      <c r="BD92" s="679"/>
      <c r="BE92" s="679"/>
      <c r="BF92" s="679"/>
      <c r="BG92" s="679"/>
      <c r="BH92" s="679"/>
      <c r="BI92" s="679"/>
      <c r="BJ92" s="679"/>
      <c r="BK92" s="679"/>
      <c r="BL92" s="1558"/>
      <c r="BM92" s="679"/>
      <c r="BN92" s="679"/>
      <c r="BO92" s="679"/>
      <c r="BP92" s="1410"/>
      <c r="BQ92" s="2359"/>
      <c r="BR92" s="678"/>
      <c r="BS92" s="678"/>
      <c r="BT92" s="678"/>
      <c r="BU92" s="678">
        <v>-1</v>
      </c>
      <c r="BV92" s="678"/>
      <c r="BW92" s="678"/>
      <c r="BX92" s="679"/>
      <c r="BY92" s="679"/>
      <c r="BZ92" s="679"/>
      <c r="CA92" s="679"/>
      <c r="CB92" s="679"/>
      <c r="CC92" s="679"/>
      <c r="CD92" s="677" t="s">
        <v>3214</v>
      </c>
      <c r="CE92" s="678" t="s">
        <v>2036</v>
      </c>
      <c r="CF92" s="677"/>
      <c r="CG92" s="680"/>
      <c r="CH92" s="1288"/>
      <c r="CI92" s="1281"/>
      <c r="CJ92" s="1281"/>
      <c r="CK92" s="1281"/>
      <c r="CL92" s="1281"/>
      <c r="CM92" s="1281"/>
      <c r="CN92" s="1281"/>
      <c r="CO92" s="1281"/>
      <c r="CP92" s="1281"/>
    </row>
    <row r="93" spans="1:94" ht="18" x14ac:dyDescent="0.25">
      <c r="B93" s="1598">
        <v>90</v>
      </c>
      <c r="C93" s="676" t="s">
        <v>3227</v>
      </c>
      <c r="D93" s="677" t="s">
        <v>3221</v>
      </c>
      <c r="E93" s="678"/>
      <c r="F93" s="678"/>
      <c r="G93" s="678"/>
      <c r="H93" s="678"/>
      <c r="I93" s="678"/>
      <c r="J93" s="678"/>
      <c r="K93" s="678"/>
      <c r="L93" s="678"/>
      <c r="M93" s="678"/>
      <c r="N93" s="678"/>
      <c r="O93" s="678"/>
      <c r="P93" s="678"/>
      <c r="Q93" s="679"/>
      <c r="R93" s="678"/>
      <c r="S93" s="678"/>
      <c r="T93" s="678"/>
      <c r="U93" s="678"/>
      <c r="V93" s="678"/>
      <c r="W93" s="678"/>
      <c r="X93" s="678"/>
      <c r="Y93" s="678">
        <v>1</v>
      </c>
      <c r="Z93" s="678"/>
      <c r="AA93" s="678"/>
      <c r="AB93" s="678"/>
      <c r="AC93" s="678"/>
      <c r="AD93" s="678"/>
      <c r="AE93" s="678"/>
      <c r="AF93" s="678"/>
      <c r="AG93" s="678"/>
      <c r="AH93" s="678"/>
      <c r="AI93" s="678"/>
      <c r="AJ93" s="678"/>
      <c r="AK93" s="678"/>
      <c r="AL93" s="678"/>
      <c r="AM93" s="678"/>
      <c r="AN93" s="678"/>
      <c r="AO93" s="678"/>
      <c r="AP93" s="678"/>
      <c r="AQ93" s="678"/>
      <c r="AR93" s="678"/>
      <c r="AS93" s="678"/>
      <c r="AT93" s="678"/>
      <c r="AU93" s="679"/>
      <c r="AV93" s="679"/>
      <c r="AW93" s="679"/>
      <c r="AX93" s="679"/>
      <c r="AY93" s="679"/>
      <c r="AZ93" s="679"/>
      <c r="BA93" s="679"/>
      <c r="BB93" s="679"/>
      <c r="BC93" s="679"/>
      <c r="BD93" s="679"/>
      <c r="BE93" s="679"/>
      <c r="BF93" s="679"/>
      <c r="BG93" s="679"/>
      <c r="BH93" s="679"/>
      <c r="BI93" s="679"/>
      <c r="BJ93" s="679"/>
      <c r="BK93" s="679"/>
      <c r="BL93" s="1558"/>
      <c r="BM93" s="679"/>
      <c r="BN93" s="679"/>
      <c r="BO93" s="679"/>
      <c r="BP93" s="1410"/>
      <c r="BQ93" s="2359"/>
      <c r="BR93" s="678"/>
      <c r="BS93" s="678"/>
      <c r="BT93" s="678"/>
      <c r="BU93" s="678"/>
      <c r="BV93" s="678">
        <v>-1</v>
      </c>
      <c r="BW93" s="678"/>
      <c r="BX93" s="679"/>
      <c r="BY93" s="679"/>
      <c r="BZ93" s="679"/>
      <c r="CA93" s="679"/>
      <c r="CB93" s="679"/>
      <c r="CC93" s="679"/>
      <c r="CD93" s="677" t="s">
        <v>3215</v>
      </c>
      <c r="CE93" s="678" t="s">
        <v>2036</v>
      </c>
      <c r="CF93" s="677"/>
      <c r="CG93" s="680"/>
      <c r="CH93" s="1288"/>
      <c r="CI93" s="1281"/>
      <c r="CJ93" s="1281"/>
      <c r="CK93" s="1281"/>
      <c r="CL93" s="1281"/>
      <c r="CM93" s="1281"/>
      <c r="CN93" s="1281"/>
      <c r="CO93" s="1281"/>
      <c r="CP93" s="1281"/>
    </row>
    <row r="94" spans="1:94" ht="18" x14ac:dyDescent="0.25">
      <c r="B94" s="1598">
        <v>91</v>
      </c>
      <c r="C94" s="1600" t="s">
        <v>3228</v>
      </c>
      <c r="D94" s="1601" t="s">
        <v>3222</v>
      </c>
      <c r="E94" s="1602"/>
      <c r="F94" s="1602"/>
      <c r="G94" s="1602"/>
      <c r="H94" s="1602"/>
      <c r="I94" s="1602"/>
      <c r="J94" s="1602"/>
      <c r="K94" s="1602"/>
      <c r="L94" s="1602"/>
      <c r="M94" s="1602"/>
      <c r="N94" s="1602"/>
      <c r="O94" s="1602"/>
      <c r="P94" s="1602"/>
      <c r="Q94" s="1410"/>
      <c r="R94" s="1602"/>
      <c r="S94" s="1602"/>
      <c r="T94" s="1602"/>
      <c r="U94" s="1602"/>
      <c r="V94" s="1602"/>
      <c r="W94" s="1602"/>
      <c r="X94" s="1602"/>
      <c r="Y94" s="1602"/>
      <c r="Z94" s="1602"/>
      <c r="AA94" s="1602"/>
      <c r="AB94" s="1602">
        <v>1</v>
      </c>
      <c r="AC94" s="1602"/>
      <c r="AD94" s="1602"/>
      <c r="AE94" s="1602"/>
      <c r="AF94" s="1602"/>
      <c r="AG94" s="1602"/>
      <c r="AH94" s="1602"/>
      <c r="AI94" s="1602"/>
      <c r="AJ94" s="1602"/>
      <c r="AK94" s="1602"/>
      <c r="AL94" s="1602"/>
      <c r="AM94" s="1602"/>
      <c r="AN94" s="1602"/>
      <c r="AO94" s="1602"/>
      <c r="AP94" s="1602"/>
      <c r="AQ94" s="1602"/>
      <c r="AR94" s="1602"/>
      <c r="AS94" s="1602"/>
      <c r="AT94" s="1602"/>
      <c r="AU94" s="1410"/>
      <c r="AV94" s="1410"/>
      <c r="AW94" s="1410"/>
      <c r="AX94" s="1410"/>
      <c r="AY94" s="1410"/>
      <c r="AZ94" s="1410"/>
      <c r="BA94" s="1410"/>
      <c r="BB94" s="1410"/>
      <c r="BC94" s="1410"/>
      <c r="BD94" s="1410"/>
      <c r="BE94" s="1410"/>
      <c r="BF94" s="1410"/>
      <c r="BG94" s="1410"/>
      <c r="BH94" s="1410"/>
      <c r="BI94" s="1410"/>
      <c r="BJ94" s="1410"/>
      <c r="BK94" s="1410"/>
      <c r="BL94" s="1602"/>
      <c r="BM94" s="1410"/>
      <c r="BN94" s="1410"/>
      <c r="BO94" s="1410"/>
      <c r="BP94" s="1410"/>
      <c r="BQ94" s="2359"/>
      <c r="BR94" s="1602"/>
      <c r="BS94" s="1602"/>
      <c r="BT94" s="1602"/>
      <c r="BU94" s="1602"/>
      <c r="BV94" s="1602"/>
      <c r="BW94" s="1602">
        <v>-1</v>
      </c>
      <c r="BX94" s="1410"/>
      <c r="BY94" s="1410"/>
      <c r="BZ94" s="1410"/>
      <c r="CA94" s="1410"/>
      <c r="CB94" s="1410"/>
      <c r="CC94" s="1410"/>
      <c r="CD94" s="1601" t="s">
        <v>3216</v>
      </c>
      <c r="CE94" s="1602" t="s">
        <v>2036</v>
      </c>
      <c r="CF94" s="1601"/>
      <c r="CG94" s="1603"/>
      <c r="CH94" s="1288"/>
      <c r="CI94" s="1281"/>
      <c r="CJ94" s="1281"/>
      <c r="CK94" s="1281"/>
      <c r="CL94" s="1281"/>
      <c r="CM94" s="1281"/>
      <c r="CN94" s="1281"/>
      <c r="CO94" s="1281"/>
      <c r="CP94" s="1281"/>
    </row>
    <row r="95" spans="1:94" s="154" customFormat="1" ht="18" x14ac:dyDescent="0.25">
      <c r="A95"/>
      <c r="B95" s="1590">
        <v>92</v>
      </c>
      <c r="C95" s="1604" t="s">
        <v>3433</v>
      </c>
      <c r="D95" s="1605" t="s">
        <v>3198</v>
      </c>
      <c r="E95" s="1404"/>
      <c r="F95" s="1404"/>
      <c r="G95" s="1404"/>
      <c r="H95" s="1404"/>
      <c r="I95" s="1404"/>
      <c r="J95" s="1404"/>
      <c r="K95" s="1404"/>
      <c r="L95" s="1404"/>
      <c r="M95" s="1404"/>
      <c r="N95" s="1404"/>
      <c r="O95" s="1404"/>
      <c r="P95" s="1404"/>
      <c r="Q95" s="1404"/>
      <c r="R95" s="1404"/>
      <c r="S95" s="1404"/>
      <c r="T95" s="1404"/>
      <c r="U95" s="1404"/>
      <c r="V95" s="1404"/>
      <c r="W95" s="1404"/>
      <c r="X95" s="1404"/>
      <c r="Y95" s="1404"/>
      <c r="Z95" s="1404"/>
      <c r="AA95" s="1404"/>
      <c r="AB95" s="1404"/>
      <c r="AC95" s="1404"/>
      <c r="AD95" s="1404"/>
      <c r="AE95" s="1404"/>
      <c r="AF95" s="1404"/>
      <c r="AG95" s="1404"/>
      <c r="AH95" s="1404"/>
      <c r="AI95" s="1404"/>
      <c r="AJ95" s="1404"/>
      <c r="AK95" s="1404"/>
      <c r="AL95" s="1404"/>
      <c r="AM95" s="1404"/>
      <c r="AN95" s="1404">
        <v>1</v>
      </c>
      <c r="AO95" s="1404"/>
      <c r="AP95" s="1404"/>
      <c r="AQ95" s="1404"/>
      <c r="AR95" s="1404"/>
      <c r="AS95" s="1404"/>
      <c r="AT95" s="1404"/>
      <c r="AU95" s="1404"/>
      <c r="AV95" s="1404"/>
      <c r="AW95" s="1404"/>
      <c r="AX95" s="1404"/>
      <c r="AY95" s="1404"/>
      <c r="AZ95" s="1404"/>
      <c r="BA95" s="1404"/>
      <c r="BB95" s="1404"/>
      <c r="BC95" s="1404"/>
      <c r="BD95" s="1404"/>
      <c r="BE95" s="1404"/>
      <c r="BF95" s="1404"/>
      <c r="BG95" s="1404"/>
      <c r="BH95" s="1404"/>
      <c r="BI95" s="1404"/>
      <c r="BJ95" s="1404"/>
      <c r="BK95" s="1404"/>
      <c r="BL95" s="1404"/>
      <c r="BM95" s="1404"/>
      <c r="BN95" s="1404"/>
      <c r="BO95" s="1404"/>
      <c r="BP95" s="1404"/>
      <c r="BQ95" s="2351"/>
      <c r="BR95" s="1404"/>
      <c r="BS95" s="1404"/>
      <c r="BT95" s="1404"/>
      <c r="BU95" s="1404"/>
      <c r="BV95" s="1404"/>
      <c r="BW95" s="1404"/>
      <c r="BX95" s="1403" t="s">
        <v>3199</v>
      </c>
      <c r="BY95" s="1404"/>
      <c r="BZ95" s="1404"/>
      <c r="CA95" s="1404"/>
      <c r="CB95" s="1404"/>
      <c r="CC95" s="1404"/>
      <c r="CD95" s="1605" t="s">
        <v>3200</v>
      </c>
      <c r="CE95" s="1404" t="s">
        <v>2036</v>
      </c>
      <c r="CF95" s="1605"/>
      <c r="CG95" s="1606"/>
      <c r="CH95" s="1293"/>
      <c r="CI95" s="1282"/>
      <c r="CJ95" s="1282"/>
      <c r="CK95" s="1282"/>
      <c r="CL95" s="1282"/>
      <c r="CM95" s="1282"/>
      <c r="CN95" s="1282"/>
      <c r="CO95" s="1282"/>
      <c r="CP95" s="1282"/>
    </row>
    <row r="96" spans="1:94" s="154" customFormat="1" ht="18" x14ac:dyDescent="0.25">
      <c r="A96"/>
      <c r="B96" s="1590">
        <v>93</v>
      </c>
      <c r="C96" s="773" t="s">
        <v>3434</v>
      </c>
      <c r="D96" s="774" t="s">
        <v>3201</v>
      </c>
      <c r="E96" s="775"/>
      <c r="F96" s="775"/>
      <c r="G96" s="775"/>
      <c r="H96" s="775"/>
      <c r="I96" s="775"/>
      <c r="J96" s="775"/>
      <c r="K96" s="775"/>
      <c r="L96" s="775"/>
      <c r="M96" s="775"/>
      <c r="N96" s="775"/>
      <c r="O96" s="775"/>
      <c r="P96" s="775"/>
      <c r="Q96" s="775"/>
      <c r="R96" s="775"/>
      <c r="S96" s="775"/>
      <c r="T96" s="775"/>
      <c r="U96" s="775"/>
      <c r="V96" s="775"/>
      <c r="W96" s="775"/>
      <c r="X96" s="775"/>
      <c r="Y96" s="775"/>
      <c r="Z96" s="775"/>
      <c r="AA96" s="775"/>
      <c r="AB96" s="775"/>
      <c r="AC96" s="775"/>
      <c r="AD96" s="775"/>
      <c r="AE96" s="775"/>
      <c r="AF96" s="775"/>
      <c r="AG96" s="775"/>
      <c r="AH96" s="775"/>
      <c r="AI96" s="775"/>
      <c r="AJ96" s="775"/>
      <c r="AK96" s="775"/>
      <c r="AL96" s="775">
        <v>1</v>
      </c>
      <c r="AM96" s="775"/>
      <c r="AN96" s="775"/>
      <c r="AO96" s="775"/>
      <c r="AP96" s="775"/>
      <c r="AQ96" s="775"/>
      <c r="AR96" s="775"/>
      <c r="AS96" s="775"/>
      <c r="AT96" s="775"/>
      <c r="AU96" s="775"/>
      <c r="AV96" s="775"/>
      <c r="AW96" s="775"/>
      <c r="AX96" s="775"/>
      <c r="AY96" s="775"/>
      <c r="AZ96" s="775"/>
      <c r="BA96" s="775"/>
      <c r="BB96" s="775"/>
      <c r="BC96" s="775"/>
      <c r="BD96" s="775"/>
      <c r="BE96" s="775"/>
      <c r="BF96" s="775"/>
      <c r="BG96" s="775"/>
      <c r="BH96" s="775"/>
      <c r="BI96" s="775"/>
      <c r="BJ96" s="775"/>
      <c r="BK96" s="775"/>
      <c r="BL96" s="1548"/>
      <c r="BM96" s="775"/>
      <c r="BN96" s="775"/>
      <c r="BO96" s="775"/>
      <c r="BP96" s="1404"/>
      <c r="BQ96" s="2351"/>
      <c r="BR96" s="775"/>
      <c r="BS96" s="775"/>
      <c r="BT96" s="775"/>
      <c r="BU96" s="775"/>
      <c r="BV96" s="775"/>
      <c r="BW96" s="775"/>
      <c r="BX96" s="775"/>
      <c r="BY96" s="776" t="s">
        <v>3199</v>
      </c>
      <c r="BZ96" s="775"/>
      <c r="CA96" s="775"/>
      <c r="CB96" s="775"/>
      <c r="CC96" s="775"/>
      <c r="CD96" s="774" t="s">
        <v>3202</v>
      </c>
      <c r="CE96" s="775" t="s">
        <v>2036</v>
      </c>
      <c r="CF96" s="774"/>
      <c r="CG96" s="1561"/>
      <c r="CH96" s="1293"/>
      <c r="CI96" s="1282"/>
      <c r="CJ96" s="1282"/>
      <c r="CK96" s="1282"/>
      <c r="CL96" s="1282"/>
      <c r="CM96" s="1282"/>
      <c r="CN96" s="1282"/>
      <c r="CO96" s="1282"/>
      <c r="CP96" s="1282"/>
    </row>
    <row r="97" spans="1:94" s="154" customFormat="1" ht="18" x14ac:dyDescent="0.25">
      <c r="A97"/>
      <c r="B97" s="1590">
        <v>94</v>
      </c>
      <c r="C97" s="773" t="s">
        <v>3455</v>
      </c>
      <c r="D97" s="774" t="s">
        <v>3203</v>
      </c>
      <c r="E97" s="775"/>
      <c r="F97" s="775"/>
      <c r="G97" s="775"/>
      <c r="H97" s="775"/>
      <c r="I97" s="775"/>
      <c r="J97" s="775"/>
      <c r="K97" s="775"/>
      <c r="L97" s="775"/>
      <c r="M97" s="775"/>
      <c r="N97" s="775"/>
      <c r="O97" s="775"/>
      <c r="P97" s="775"/>
      <c r="Q97" s="775"/>
      <c r="R97" s="775"/>
      <c r="S97" s="775"/>
      <c r="T97" s="775"/>
      <c r="U97" s="775"/>
      <c r="V97" s="775"/>
      <c r="W97" s="775"/>
      <c r="X97" s="775"/>
      <c r="Y97" s="775"/>
      <c r="Z97" s="775"/>
      <c r="AA97" s="775"/>
      <c r="AB97" s="775"/>
      <c r="AC97" s="775"/>
      <c r="AD97" s="775"/>
      <c r="AE97" s="775"/>
      <c r="AF97" s="775"/>
      <c r="AG97" s="775"/>
      <c r="AH97" s="775"/>
      <c r="AI97" s="775"/>
      <c r="AJ97" s="775"/>
      <c r="AK97" s="775"/>
      <c r="AL97" s="775"/>
      <c r="AM97" s="775">
        <v>1</v>
      </c>
      <c r="AN97" s="775"/>
      <c r="AO97" s="775"/>
      <c r="AP97" s="775"/>
      <c r="AQ97" s="775"/>
      <c r="AR97" s="775"/>
      <c r="AS97" s="775"/>
      <c r="AT97" s="775"/>
      <c r="AU97" s="775"/>
      <c r="AV97" s="775"/>
      <c r="AW97" s="775"/>
      <c r="AX97" s="775"/>
      <c r="AY97" s="775"/>
      <c r="AZ97" s="775"/>
      <c r="BA97" s="775"/>
      <c r="BB97" s="775"/>
      <c r="BC97" s="775"/>
      <c r="BD97" s="775"/>
      <c r="BE97" s="775"/>
      <c r="BF97" s="775"/>
      <c r="BG97" s="775"/>
      <c r="BH97" s="775"/>
      <c r="BI97" s="775"/>
      <c r="BJ97" s="775"/>
      <c r="BK97" s="775"/>
      <c r="BL97" s="1548"/>
      <c r="BM97" s="775"/>
      <c r="BN97" s="775"/>
      <c r="BO97" s="775"/>
      <c r="BP97" s="1404"/>
      <c r="BQ97" s="2351"/>
      <c r="BR97" s="775"/>
      <c r="BS97" s="775"/>
      <c r="BT97" s="775"/>
      <c r="BU97" s="775"/>
      <c r="BV97" s="775"/>
      <c r="BW97" s="775"/>
      <c r="BX97" s="775"/>
      <c r="BY97" s="775"/>
      <c r="BZ97" s="776" t="s">
        <v>3199</v>
      </c>
      <c r="CA97" s="775"/>
      <c r="CB97" s="775"/>
      <c r="CC97" s="775"/>
      <c r="CD97" s="774" t="s">
        <v>3204</v>
      </c>
      <c r="CE97" s="775" t="s">
        <v>2036</v>
      </c>
      <c r="CF97" s="774"/>
      <c r="CG97" s="1561"/>
      <c r="CH97" s="1293"/>
      <c r="CI97" s="1282"/>
      <c r="CJ97" s="1282"/>
      <c r="CK97" s="1282"/>
      <c r="CL97" s="1282"/>
      <c r="CM97" s="1282"/>
      <c r="CN97" s="1282"/>
      <c r="CO97" s="1282"/>
      <c r="CP97" s="1282"/>
    </row>
    <row r="98" spans="1:94" s="154" customFormat="1" ht="18" x14ac:dyDescent="0.25">
      <c r="A98"/>
      <c r="B98" s="1590">
        <v>95</v>
      </c>
      <c r="C98" s="773" t="s">
        <v>4017</v>
      </c>
      <c r="D98" s="774" t="s">
        <v>3205</v>
      </c>
      <c r="E98" s="775"/>
      <c r="F98" s="775"/>
      <c r="G98" s="775"/>
      <c r="H98" s="775"/>
      <c r="I98" s="775"/>
      <c r="J98" s="775"/>
      <c r="K98" s="775"/>
      <c r="L98" s="775"/>
      <c r="M98" s="775"/>
      <c r="N98" s="775"/>
      <c r="O98" s="775"/>
      <c r="P98" s="775"/>
      <c r="Q98" s="775"/>
      <c r="R98" s="775"/>
      <c r="S98" s="775"/>
      <c r="T98" s="775"/>
      <c r="U98" s="775"/>
      <c r="V98" s="775"/>
      <c r="W98" s="775"/>
      <c r="X98" s="775"/>
      <c r="Y98" s="775"/>
      <c r="Z98" s="775"/>
      <c r="AA98" s="775"/>
      <c r="AB98" s="775"/>
      <c r="AC98" s="775"/>
      <c r="AD98" s="775"/>
      <c r="AE98" s="775"/>
      <c r="AF98" s="775"/>
      <c r="AG98" s="775"/>
      <c r="AH98" s="775"/>
      <c r="AI98" s="775"/>
      <c r="AJ98" s="775"/>
      <c r="AK98" s="775">
        <v>1</v>
      </c>
      <c r="AL98" s="775"/>
      <c r="AM98" s="775"/>
      <c r="AN98" s="775"/>
      <c r="AO98" s="775"/>
      <c r="AP98" s="775"/>
      <c r="AQ98" s="775"/>
      <c r="AR98" s="775"/>
      <c r="AS98" s="775"/>
      <c r="AT98" s="775"/>
      <c r="AU98" s="775"/>
      <c r="AV98" s="775"/>
      <c r="AW98" s="775"/>
      <c r="AX98" s="775"/>
      <c r="AY98" s="775"/>
      <c r="AZ98" s="775"/>
      <c r="BA98" s="775"/>
      <c r="BB98" s="775"/>
      <c r="BC98" s="775"/>
      <c r="BD98" s="775"/>
      <c r="BE98" s="775"/>
      <c r="BF98" s="775"/>
      <c r="BG98" s="775"/>
      <c r="BH98" s="775"/>
      <c r="BI98" s="775"/>
      <c r="BJ98" s="775"/>
      <c r="BK98" s="775"/>
      <c r="BL98" s="1548"/>
      <c r="BM98" s="775"/>
      <c r="BN98" s="775"/>
      <c r="BO98" s="775"/>
      <c r="BP98" s="1404"/>
      <c r="BQ98" s="2351"/>
      <c r="BR98" s="775"/>
      <c r="BS98" s="775"/>
      <c r="BT98" s="775"/>
      <c r="BU98" s="775"/>
      <c r="BV98" s="775"/>
      <c r="BW98" s="775"/>
      <c r="BX98" s="775"/>
      <c r="BY98" s="775"/>
      <c r="BZ98" s="775"/>
      <c r="CA98" s="776" t="s">
        <v>3199</v>
      </c>
      <c r="CB98" s="775"/>
      <c r="CC98" s="775"/>
      <c r="CD98" s="774" t="s">
        <v>3206</v>
      </c>
      <c r="CE98" s="775" t="s">
        <v>2036</v>
      </c>
      <c r="CF98" s="774"/>
      <c r="CG98" s="1561"/>
      <c r="CH98" s="1293"/>
      <c r="CI98" s="1282"/>
      <c r="CJ98" s="1282"/>
      <c r="CK98" s="1282"/>
      <c r="CL98" s="1282"/>
      <c r="CM98" s="1282"/>
      <c r="CN98" s="1282"/>
      <c r="CO98" s="1282"/>
      <c r="CP98" s="1282"/>
    </row>
    <row r="99" spans="1:94" s="154" customFormat="1" ht="18" x14ac:dyDescent="0.25">
      <c r="A99"/>
      <c r="B99" s="1590">
        <v>96</v>
      </c>
      <c r="C99" s="773" t="s">
        <v>4018</v>
      </c>
      <c r="D99" s="774" t="s">
        <v>3207</v>
      </c>
      <c r="E99" s="775"/>
      <c r="F99" s="775"/>
      <c r="G99" s="775"/>
      <c r="H99" s="775"/>
      <c r="I99" s="775"/>
      <c r="J99" s="775"/>
      <c r="K99" s="775"/>
      <c r="L99" s="775"/>
      <c r="M99" s="775"/>
      <c r="N99" s="775"/>
      <c r="O99" s="775"/>
      <c r="P99" s="775"/>
      <c r="Q99" s="775"/>
      <c r="R99" s="775"/>
      <c r="S99" s="775"/>
      <c r="T99" s="775"/>
      <c r="U99" s="775"/>
      <c r="V99" s="775"/>
      <c r="W99" s="775"/>
      <c r="X99" s="775"/>
      <c r="Y99" s="775">
        <v>1</v>
      </c>
      <c r="Z99" s="775"/>
      <c r="AA99" s="775"/>
      <c r="AB99" s="775"/>
      <c r="AC99" s="775"/>
      <c r="AD99" s="775"/>
      <c r="AE99" s="775"/>
      <c r="AF99" s="775"/>
      <c r="AG99" s="775"/>
      <c r="AH99" s="775"/>
      <c r="AI99" s="775"/>
      <c r="AJ99" s="775"/>
      <c r="AK99" s="775"/>
      <c r="AL99" s="775"/>
      <c r="AM99" s="775"/>
      <c r="AN99" s="775"/>
      <c r="AO99" s="775"/>
      <c r="AP99" s="775"/>
      <c r="AQ99" s="775"/>
      <c r="AR99" s="775"/>
      <c r="AS99" s="775"/>
      <c r="AT99" s="775"/>
      <c r="AU99" s="775"/>
      <c r="AV99" s="775"/>
      <c r="AW99" s="775"/>
      <c r="AX99" s="775"/>
      <c r="AY99" s="775"/>
      <c r="AZ99" s="775"/>
      <c r="BA99" s="775"/>
      <c r="BB99" s="775"/>
      <c r="BC99" s="775"/>
      <c r="BD99" s="775"/>
      <c r="BE99" s="775"/>
      <c r="BF99" s="775"/>
      <c r="BG99" s="775"/>
      <c r="BH99" s="775"/>
      <c r="BI99" s="775"/>
      <c r="BJ99" s="775"/>
      <c r="BK99" s="775"/>
      <c r="BL99" s="1548"/>
      <c r="BM99" s="775"/>
      <c r="BN99" s="775"/>
      <c r="BO99" s="775"/>
      <c r="BP99" s="1404"/>
      <c r="BQ99" s="2351"/>
      <c r="BR99" s="775"/>
      <c r="BS99" s="775"/>
      <c r="BT99" s="775"/>
      <c r="BU99" s="775"/>
      <c r="BV99" s="775"/>
      <c r="BW99" s="775"/>
      <c r="BX99" s="775"/>
      <c r="BY99" s="775"/>
      <c r="BZ99" s="775"/>
      <c r="CA99" s="775"/>
      <c r="CB99" s="776" t="s">
        <v>3199</v>
      </c>
      <c r="CC99" s="775"/>
      <c r="CD99" s="774" t="s">
        <v>3208</v>
      </c>
      <c r="CE99" s="775" t="s">
        <v>2036</v>
      </c>
      <c r="CF99" s="774"/>
      <c r="CG99" s="1561"/>
      <c r="CH99" s="1293"/>
      <c r="CI99" s="1282"/>
      <c r="CJ99" s="1282"/>
      <c r="CK99" s="1282"/>
      <c r="CL99" s="1282"/>
      <c r="CM99" s="1282"/>
      <c r="CN99" s="1282"/>
      <c r="CO99" s="1282"/>
      <c r="CP99" s="1282"/>
    </row>
    <row r="100" spans="1:94" s="154" customFormat="1" ht="18.75" thickBot="1" x14ac:dyDescent="0.3">
      <c r="A100"/>
      <c r="B100" s="2390">
        <v>97</v>
      </c>
      <c r="C100" s="2391" t="s">
        <v>4804</v>
      </c>
      <c r="D100" s="2392" t="s">
        <v>3209</v>
      </c>
      <c r="E100" s="2393"/>
      <c r="F100" s="2393"/>
      <c r="G100" s="2393"/>
      <c r="H100" s="2393"/>
      <c r="I100" s="2393"/>
      <c r="J100" s="2393"/>
      <c r="K100" s="2393"/>
      <c r="L100" s="2393"/>
      <c r="M100" s="2393"/>
      <c r="N100" s="2393"/>
      <c r="O100" s="2393"/>
      <c r="P100" s="2393"/>
      <c r="Q100" s="2393"/>
      <c r="R100" s="2393"/>
      <c r="S100" s="2393"/>
      <c r="T100" s="2393"/>
      <c r="U100" s="2393"/>
      <c r="V100" s="2393"/>
      <c r="W100" s="2393"/>
      <c r="X100" s="2393"/>
      <c r="Y100" s="2393"/>
      <c r="Z100" s="2393"/>
      <c r="AA100" s="2393"/>
      <c r="AB100" s="2393">
        <v>1</v>
      </c>
      <c r="AC100" s="2393"/>
      <c r="AD100" s="2393"/>
      <c r="AE100" s="2393"/>
      <c r="AF100" s="2393"/>
      <c r="AG100" s="2393"/>
      <c r="AH100" s="2393"/>
      <c r="AI100" s="2393"/>
      <c r="AJ100" s="2393"/>
      <c r="AK100" s="2393"/>
      <c r="AL100" s="2393"/>
      <c r="AM100" s="2393"/>
      <c r="AN100" s="2393"/>
      <c r="AO100" s="2393"/>
      <c r="AP100" s="2393"/>
      <c r="AQ100" s="2393"/>
      <c r="AR100" s="2393"/>
      <c r="AS100" s="2393"/>
      <c r="AT100" s="2393"/>
      <c r="AU100" s="2393"/>
      <c r="AV100" s="2393"/>
      <c r="AW100" s="2393"/>
      <c r="AX100" s="2393"/>
      <c r="AY100" s="2393"/>
      <c r="AZ100" s="2393"/>
      <c r="BA100" s="2393"/>
      <c r="BB100" s="2393"/>
      <c r="BC100" s="2393"/>
      <c r="BD100" s="2393"/>
      <c r="BE100" s="2393"/>
      <c r="BF100" s="2393"/>
      <c r="BG100" s="2393"/>
      <c r="BH100" s="2393"/>
      <c r="BI100" s="2393"/>
      <c r="BJ100" s="2393"/>
      <c r="BK100" s="2393"/>
      <c r="BL100" s="2393"/>
      <c r="BM100" s="2393"/>
      <c r="BN100" s="2393"/>
      <c r="BO100" s="2393"/>
      <c r="BP100" s="2393"/>
      <c r="BQ100" s="2393"/>
      <c r="BR100" s="2393"/>
      <c r="BS100" s="2393"/>
      <c r="BT100" s="2393"/>
      <c r="BU100" s="2393"/>
      <c r="BV100" s="2393"/>
      <c r="BW100" s="2393"/>
      <c r="BX100" s="2393"/>
      <c r="BY100" s="2393"/>
      <c r="BZ100" s="2393"/>
      <c r="CA100" s="2393"/>
      <c r="CB100" s="2393"/>
      <c r="CC100" s="2394" t="s">
        <v>3199</v>
      </c>
      <c r="CD100" s="2392" t="s">
        <v>3210</v>
      </c>
      <c r="CE100" s="2393" t="s">
        <v>2036</v>
      </c>
      <c r="CF100" s="2392"/>
      <c r="CG100" s="2395"/>
      <c r="CH100" s="1293"/>
      <c r="CI100" s="1282"/>
      <c r="CJ100" s="1282"/>
      <c r="CK100" s="1282"/>
      <c r="CL100" s="1282"/>
      <c r="CM100" s="1282"/>
      <c r="CN100" s="1282"/>
      <c r="CO100" s="1282"/>
      <c r="CP100" s="1282"/>
    </row>
    <row r="101" spans="1:94" ht="15.75" thickBot="1" x14ac:dyDescent="0.3">
      <c r="B101" s="1280"/>
      <c r="C101" s="1280"/>
      <c r="D101" s="1281"/>
      <c r="E101" s="1281"/>
      <c r="F101" s="1281"/>
      <c r="G101" s="1281"/>
      <c r="H101" s="1281"/>
      <c r="I101" s="1281"/>
      <c r="J101" s="1281"/>
      <c r="K101" s="1281"/>
      <c r="L101" s="1281"/>
      <c r="M101" s="1281"/>
      <c r="N101" s="1281"/>
      <c r="O101" s="1281"/>
      <c r="P101" s="1281"/>
      <c r="Q101" s="1281"/>
      <c r="R101" s="1281"/>
      <c r="S101" s="1281"/>
      <c r="T101" s="1281"/>
      <c r="U101" s="1281"/>
      <c r="V101" s="1281"/>
      <c r="W101" s="1281"/>
      <c r="X101" s="1281"/>
      <c r="Y101" s="1281"/>
      <c r="Z101" s="1281"/>
      <c r="AA101" s="1281"/>
      <c r="AB101" s="1281"/>
      <c r="AC101" s="1281"/>
      <c r="AD101" s="1281"/>
      <c r="AE101" s="1281"/>
      <c r="AF101" s="1281"/>
      <c r="AG101" s="1281"/>
      <c r="AH101" s="1281"/>
      <c r="AI101" s="1281"/>
      <c r="AJ101" s="1281"/>
      <c r="AK101" s="1281"/>
      <c r="AL101" s="1281"/>
      <c r="AM101" s="1281"/>
      <c r="AN101" s="1281"/>
      <c r="AO101" s="1282"/>
      <c r="AP101" s="1282"/>
      <c r="AQ101" s="1282"/>
      <c r="AR101" s="1282"/>
      <c r="AS101" s="1282"/>
      <c r="AT101" s="1281"/>
      <c r="AU101" s="1281"/>
      <c r="AV101" s="1281"/>
      <c r="AW101" s="1281"/>
      <c r="AX101" s="1281"/>
      <c r="AY101" s="1281"/>
      <c r="AZ101" s="1281"/>
      <c r="BA101" s="1281"/>
      <c r="BB101" s="1281"/>
      <c r="BC101" s="1281"/>
      <c r="BD101" s="1281"/>
      <c r="BE101" s="1281"/>
      <c r="BF101" s="1281"/>
      <c r="BG101" s="1281"/>
      <c r="BH101" s="1281"/>
      <c r="BI101" s="1281"/>
      <c r="BJ101" s="1281"/>
      <c r="BK101" s="1281"/>
      <c r="BL101" s="1283"/>
      <c r="BM101" s="1281"/>
      <c r="BN101" s="1281"/>
      <c r="BO101" s="1281"/>
      <c r="BP101" s="1281"/>
      <c r="BQ101" s="1281"/>
      <c r="BR101" s="1281"/>
      <c r="BS101" s="1281"/>
      <c r="BT101" s="1281"/>
      <c r="BU101" s="1281"/>
      <c r="BV101" s="1281"/>
      <c r="BW101" s="1281"/>
      <c r="BX101" s="1281"/>
      <c r="BY101" s="1281"/>
      <c r="BZ101" s="1281"/>
      <c r="CA101" s="1281"/>
      <c r="CB101" s="1281"/>
      <c r="CC101" s="1281"/>
      <c r="CD101" s="1283"/>
      <c r="CE101" s="1285"/>
      <c r="CF101" s="1285"/>
      <c r="CG101" s="1285"/>
      <c r="CH101" s="1288"/>
      <c r="CI101" s="1281"/>
      <c r="CJ101" s="1281"/>
      <c r="CK101" s="1281"/>
      <c r="CL101" s="1281"/>
      <c r="CM101" s="1281"/>
      <c r="CN101" s="1281"/>
      <c r="CO101" s="1281"/>
      <c r="CP101" s="1281"/>
    </row>
    <row r="102" spans="1:94" ht="15.75" thickBot="1" x14ac:dyDescent="0.3">
      <c r="B102" s="1280"/>
      <c r="C102" s="1280"/>
      <c r="D102" s="1572" t="s">
        <v>6</v>
      </c>
      <c r="E102" s="1280"/>
      <c r="F102" s="1280"/>
      <c r="G102" s="1280"/>
      <c r="H102" s="1280"/>
      <c r="I102" s="1280"/>
      <c r="J102" s="1280"/>
      <c r="K102" s="1280"/>
      <c r="L102" s="1280"/>
      <c r="M102" s="1280"/>
      <c r="N102" s="1280"/>
      <c r="O102" s="1280"/>
      <c r="P102" s="1280"/>
      <c r="Q102" s="1280"/>
      <c r="R102" s="1280"/>
      <c r="S102" s="1280"/>
      <c r="T102" s="1280"/>
      <c r="U102" s="1280"/>
      <c r="V102" s="1280"/>
      <c r="W102" s="1280"/>
      <c r="X102" s="1280"/>
      <c r="Y102" s="1280"/>
      <c r="Z102" s="1280"/>
      <c r="AA102" s="1280"/>
      <c r="AB102" s="1280"/>
      <c r="AC102" s="1280"/>
      <c r="AD102" s="1280"/>
      <c r="AE102" s="1280"/>
      <c r="AF102" s="1280"/>
      <c r="AG102" s="1280"/>
      <c r="AH102" s="1280"/>
      <c r="AI102" s="1280"/>
      <c r="AJ102" s="1280"/>
      <c r="AK102" s="1280"/>
      <c r="AL102" s="1280"/>
      <c r="AM102" s="1280"/>
      <c r="AN102" s="1280"/>
      <c r="AO102" s="1280"/>
      <c r="AP102" s="1280"/>
      <c r="AQ102" s="1280"/>
      <c r="AR102" s="1280"/>
      <c r="AS102" s="1280"/>
      <c r="AT102" s="1280"/>
      <c r="AU102" s="1280"/>
      <c r="AV102" s="1280"/>
      <c r="AW102" s="1280"/>
      <c r="AX102" s="1280"/>
      <c r="AY102" s="1280"/>
      <c r="AZ102" s="1280"/>
      <c r="BA102" s="1280"/>
      <c r="BB102" s="1280"/>
      <c r="BC102" s="1280"/>
      <c r="BD102" s="1280"/>
      <c r="BE102" s="1280"/>
      <c r="BF102" s="1280"/>
      <c r="BG102" s="1280"/>
      <c r="BH102" s="1280"/>
      <c r="BI102" s="1280"/>
      <c r="BJ102" s="1280"/>
      <c r="BK102" s="1280"/>
      <c r="BL102" s="1284"/>
      <c r="BM102" s="1280"/>
      <c r="BN102" s="1280"/>
      <c r="BO102" s="1280"/>
      <c r="BP102" s="1280"/>
      <c r="BQ102" s="1280"/>
      <c r="BR102" s="1280"/>
      <c r="BS102" s="1280"/>
      <c r="BT102" s="1280"/>
      <c r="BU102" s="1280"/>
      <c r="BV102" s="1280"/>
      <c r="BW102" s="1280"/>
      <c r="BX102" s="1280"/>
      <c r="BY102" s="1280"/>
      <c r="BZ102" s="1280"/>
      <c r="CA102" s="1280"/>
      <c r="CB102" s="1280"/>
      <c r="CC102" s="1280"/>
      <c r="CD102" s="1284"/>
      <c r="CE102" s="1285"/>
      <c r="CF102" s="1285"/>
      <c r="CG102" s="1285"/>
      <c r="CH102" s="1288"/>
      <c r="CI102" s="1281"/>
      <c r="CJ102" s="1281"/>
      <c r="CK102" s="1281"/>
      <c r="CL102" s="1281"/>
      <c r="CM102" s="1281"/>
      <c r="CN102" s="1281"/>
      <c r="CO102" s="1281"/>
      <c r="CP102" s="1281"/>
    </row>
    <row r="103" spans="1:94" ht="18.75" x14ac:dyDescent="0.25">
      <c r="B103" s="1280"/>
      <c r="C103" s="1280"/>
      <c r="D103" s="1573" t="s">
        <v>148</v>
      </c>
      <c r="E103" s="316">
        <v>1</v>
      </c>
      <c r="F103" s="316">
        <v>1</v>
      </c>
      <c r="G103" s="316">
        <v>1</v>
      </c>
      <c r="H103" s="316">
        <v>1</v>
      </c>
      <c r="I103" s="316">
        <v>1</v>
      </c>
      <c r="J103" s="316">
        <v>1</v>
      </c>
      <c r="K103" s="316">
        <v>1</v>
      </c>
      <c r="L103" s="316">
        <v>1</v>
      </c>
      <c r="M103" s="316">
        <v>1</v>
      </c>
      <c r="N103" s="316">
        <v>1</v>
      </c>
      <c r="O103" s="316">
        <v>1</v>
      </c>
      <c r="P103" s="316">
        <v>1</v>
      </c>
      <c r="Q103" s="316">
        <v>1</v>
      </c>
      <c r="R103" s="316">
        <v>1</v>
      </c>
      <c r="S103" s="316">
        <v>1</v>
      </c>
      <c r="T103" s="316">
        <v>1</v>
      </c>
      <c r="U103" s="316">
        <v>1</v>
      </c>
      <c r="V103" s="316">
        <v>1</v>
      </c>
      <c r="W103" s="316">
        <v>1</v>
      </c>
      <c r="X103" s="316">
        <v>1</v>
      </c>
      <c r="Y103" s="316"/>
      <c r="Z103" s="317" t="s">
        <v>2487</v>
      </c>
      <c r="AA103" s="317" t="s">
        <v>1625</v>
      </c>
      <c r="AB103" s="317" t="s">
        <v>1626</v>
      </c>
      <c r="AC103" s="316"/>
      <c r="AD103" s="316"/>
      <c r="AE103" s="316"/>
      <c r="AF103" s="316"/>
      <c r="AG103" s="316"/>
      <c r="AH103" s="316"/>
      <c r="AI103" s="316"/>
      <c r="AJ103" s="316"/>
      <c r="AK103" s="316">
        <v>-1</v>
      </c>
      <c r="AL103" s="316">
        <v>1</v>
      </c>
      <c r="AM103" s="316">
        <v>1</v>
      </c>
      <c r="AN103" s="316"/>
      <c r="AO103" s="316"/>
      <c r="AP103" s="316"/>
      <c r="AQ103" s="316"/>
      <c r="AR103" s="316"/>
      <c r="AS103" s="316"/>
      <c r="AT103" s="316"/>
      <c r="AU103" s="316" t="s">
        <v>1348</v>
      </c>
      <c r="AV103" s="316"/>
      <c r="AW103" s="316"/>
      <c r="AX103" s="316"/>
      <c r="AY103" s="316"/>
      <c r="AZ103" s="316"/>
      <c r="BA103" s="316"/>
      <c r="BB103" s="316"/>
      <c r="BC103" s="316"/>
      <c r="BD103" s="316"/>
      <c r="BE103" s="316"/>
      <c r="BF103" s="316"/>
      <c r="BG103" s="316"/>
      <c r="BH103" s="316"/>
      <c r="BI103" s="316"/>
      <c r="BJ103" s="316"/>
      <c r="BK103" s="316"/>
      <c r="BL103" s="1563"/>
      <c r="BM103" s="316"/>
      <c r="BN103" s="318" t="s">
        <v>1627</v>
      </c>
      <c r="BO103" s="318"/>
      <c r="BP103" s="1411"/>
      <c r="BQ103" s="2360"/>
      <c r="BR103" s="745"/>
      <c r="BS103" s="746" t="s">
        <v>3407</v>
      </c>
      <c r="BT103" s="746" t="s">
        <v>3407</v>
      </c>
      <c r="BU103" s="746" t="s">
        <v>1150</v>
      </c>
      <c r="BV103" s="745"/>
      <c r="BW103" s="746" t="s">
        <v>3408</v>
      </c>
      <c r="BX103" s="1564"/>
      <c r="BY103" s="1564" t="s">
        <v>3229</v>
      </c>
      <c r="BZ103" s="1564" t="s">
        <v>3229</v>
      </c>
      <c r="CA103" s="1564" t="s">
        <v>3230</v>
      </c>
      <c r="CB103" s="1564"/>
      <c r="CC103" s="1564" t="s">
        <v>3231</v>
      </c>
      <c r="CD103" s="1565"/>
      <c r="CE103" s="1285"/>
      <c r="CF103" s="1285"/>
      <c r="CG103" s="1285"/>
      <c r="CH103" s="1288"/>
      <c r="CI103" s="1281"/>
      <c r="CJ103" s="1281"/>
      <c r="CK103" s="1281"/>
      <c r="CL103" s="1281"/>
      <c r="CM103" s="1281"/>
      <c r="CN103" s="1281"/>
      <c r="CO103" s="1281"/>
      <c r="CP103" s="1281"/>
    </row>
    <row r="104" spans="1:94" ht="18.75" x14ac:dyDescent="0.25">
      <c r="B104" s="1280"/>
      <c r="C104" s="1280"/>
      <c r="D104" s="1574" t="s">
        <v>258</v>
      </c>
      <c r="E104" s="219" t="s">
        <v>1981</v>
      </c>
      <c r="F104" s="219" t="s">
        <v>1982</v>
      </c>
      <c r="G104" s="219" t="s">
        <v>1983</v>
      </c>
      <c r="H104" s="219" t="s">
        <v>1982</v>
      </c>
      <c r="I104" s="219" t="s">
        <v>1982</v>
      </c>
      <c r="J104" s="219" t="s">
        <v>1982</v>
      </c>
      <c r="K104" s="219" t="s">
        <v>1982</v>
      </c>
      <c r="L104" s="219" t="s">
        <v>1982</v>
      </c>
      <c r="M104" s="219" t="s">
        <v>1986</v>
      </c>
      <c r="N104" s="219" t="s">
        <v>2156</v>
      </c>
      <c r="O104" s="219" t="s">
        <v>1624</v>
      </c>
      <c r="P104" s="219" t="s">
        <v>1624</v>
      </c>
      <c r="Q104" s="219" t="s">
        <v>1624</v>
      </c>
      <c r="R104" s="219" t="s">
        <v>1624</v>
      </c>
      <c r="S104" s="219" t="s">
        <v>1624</v>
      </c>
      <c r="T104" s="219" t="s">
        <v>1624</v>
      </c>
      <c r="U104" s="219" t="s">
        <v>1624</v>
      </c>
      <c r="V104" s="219" t="s">
        <v>1624</v>
      </c>
      <c r="W104" s="219" t="s">
        <v>1624</v>
      </c>
      <c r="X104" s="219" t="s">
        <v>1624</v>
      </c>
      <c r="Y104" s="219"/>
      <c r="Z104" s="315"/>
      <c r="AA104" s="315"/>
      <c r="AB104" s="315"/>
      <c r="AC104" s="219"/>
      <c r="AD104" s="219"/>
      <c r="AE104" s="219"/>
      <c r="AF104" s="219"/>
      <c r="AG104" s="219"/>
      <c r="AH104" s="219"/>
      <c r="AI104" s="219"/>
      <c r="AJ104" s="219"/>
      <c r="AK104" s="219"/>
      <c r="AL104" s="219" t="s">
        <v>1980</v>
      </c>
      <c r="AM104" s="219"/>
      <c r="AN104" s="219">
        <v>1</v>
      </c>
      <c r="AO104" s="219"/>
      <c r="AP104" s="219"/>
      <c r="AQ104" s="219"/>
      <c r="AR104" s="219"/>
      <c r="AS104" s="219"/>
      <c r="AT104" s="219"/>
      <c r="AU104" s="219"/>
      <c r="AV104" s="219"/>
      <c r="AW104" s="219"/>
      <c r="AX104" s="219"/>
      <c r="AY104" s="219"/>
      <c r="AZ104" s="219"/>
      <c r="BA104" s="219"/>
      <c r="BB104" s="219"/>
      <c r="BC104" s="219"/>
      <c r="BD104" s="219"/>
      <c r="BE104" s="219"/>
      <c r="BF104" s="219"/>
      <c r="BG104" s="219"/>
      <c r="BH104" s="219"/>
      <c r="BI104" s="219"/>
      <c r="BJ104" s="219" t="s">
        <v>2514</v>
      </c>
      <c r="BK104" s="219"/>
      <c r="BL104" s="1566"/>
      <c r="BM104" s="219"/>
      <c r="BN104" s="220"/>
      <c r="BO104" s="220"/>
      <c r="BP104" s="1412"/>
      <c r="BQ104" s="2337"/>
      <c r="BR104" s="747" t="s">
        <v>3407</v>
      </c>
      <c r="BS104" s="748" t="s">
        <v>1980</v>
      </c>
      <c r="BT104" s="748"/>
      <c r="BU104" s="747"/>
      <c r="BV104" s="748"/>
      <c r="BW104" s="747"/>
      <c r="BX104" s="1567" t="s">
        <v>3229</v>
      </c>
      <c r="BY104" s="1567" t="s">
        <v>3232</v>
      </c>
      <c r="BZ104" s="1567"/>
      <c r="CA104" s="1567"/>
      <c r="CB104" s="1567"/>
      <c r="CC104" s="1567"/>
      <c r="CD104" s="1568"/>
      <c r="CE104" s="1285"/>
      <c r="CF104" s="1285"/>
      <c r="CG104" s="1285"/>
      <c r="CH104" s="1288"/>
      <c r="CI104" s="1281"/>
      <c r="CJ104" s="1281"/>
      <c r="CK104" s="1281"/>
      <c r="CL104" s="1281"/>
      <c r="CM104" s="1281"/>
      <c r="CN104" s="1281"/>
      <c r="CO104" s="1281"/>
      <c r="CP104" s="1281"/>
    </row>
    <row r="105" spans="1:94" ht="18.75" x14ac:dyDescent="0.25">
      <c r="B105" s="1280"/>
      <c r="C105" s="1280"/>
      <c r="D105" s="1574" t="s">
        <v>254</v>
      </c>
      <c r="E105" s="219"/>
      <c r="F105" s="219"/>
      <c r="G105" s="219"/>
      <c r="H105" s="219" t="s">
        <v>1123</v>
      </c>
      <c r="I105" s="219"/>
      <c r="J105" s="219" t="s">
        <v>1124</v>
      </c>
      <c r="K105" s="219" t="s">
        <v>1058</v>
      </c>
      <c r="L105" s="219"/>
      <c r="M105" s="219"/>
      <c r="N105" s="219"/>
      <c r="O105" s="219" t="s">
        <v>2182</v>
      </c>
      <c r="P105" s="219" t="s">
        <v>2182</v>
      </c>
      <c r="Q105" s="219" t="s">
        <v>1628</v>
      </c>
      <c r="R105" s="219" t="s">
        <v>1628</v>
      </c>
      <c r="S105" s="219" t="s">
        <v>1628</v>
      </c>
      <c r="T105" s="219" t="s">
        <v>1628</v>
      </c>
      <c r="U105" s="219" t="s">
        <v>1628</v>
      </c>
      <c r="V105" s="219" t="s">
        <v>1628</v>
      </c>
      <c r="W105" s="219" t="s">
        <v>1628</v>
      </c>
      <c r="X105" s="219" t="s">
        <v>1628</v>
      </c>
      <c r="Y105" s="219">
        <v>1</v>
      </c>
      <c r="Z105" s="219">
        <v>1</v>
      </c>
      <c r="AA105" s="219">
        <v>1</v>
      </c>
      <c r="AB105" s="219">
        <v>1</v>
      </c>
      <c r="AC105" s="219">
        <v>1</v>
      </c>
      <c r="AD105" s="219">
        <v>1</v>
      </c>
      <c r="AE105" s="219">
        <v>1</v>
      </c>
      <c r="AF105" s="219"/>
      <c r="AG105" s="219"/>
      <c r="AH105" s="219"/>
      <c r="AI105" s="219"/>
      <c r="AJ105" s="219"/>
      <c r="AK105" s="219"/>
      <c r="AL105" s="219"/>
      <c r="AM105" s="219"/>
      <c r="AN105" s="219"/>
      <c r="AO105" s="219"/>
      <c r="AP105" s="219"/>
      <c r="AQ105" s="219"/>
      <c r="AR105" s="219"/>
      <c r="AS105" s="219"/>
      <c r="AT105" s="219"/>
      <c r="AU105" s="219"/>
      <c r="AV105" s="219"/>
      <c r="AW105" s="219"/>
      <c r="AX105" s="219"/>
      <c r="AY105" s="219"/>
      <c r="AZ105" s="219"/>
      <c r="BA105" s="219"/>
      <c r="BB105" s="219"/>
      <c r="BC105" s="219"/>
      <c r="BD105" s="219"/>
      <c r="BE105" s="219"/>
      <c r="BF105" s="219"/>
      <c r="BG105" s="219"/>
      <c r="BH105" s="219"/>
      <c r="BI105" s="219"/>
      <c r="BJ105" s="219"/>
      <c r="BK105" s="219"/>
      <c r="BL105" s="1566"/>
      <c r="BM105" s="219" t="s">
        <v>1629</v>
      </c>
      <c r="BN105" s="219"/>
      <c r="BO105" s="219"/>
      <c r="BP105" s="1413"/>
      <c r="BQ105" s="2361"/>
      <c r="BR105" s="748"/>
      <c r="BS105" s="748"/>
      <c r="BT105" s="748"/>
      <c r="BU105" s="748"/>
      <c r="BV105" s="747" t="s">
        <v>3407</v>
      </c>
      <c r="BW105" s="747" t="s">
        <v>3407</v>
      </c>
      <c r="BX105" s="704"/>
      <c r="BY105" s="704"/>
      <c r="BZ105" s="704"/>
      <c r="CA105" s="704"/>
      <c r="CB105" s="704" t="s">
        <v>3229</v>
      </c>
      <c r="CC105" s="704" t="s">
        <v>3229</v>
      </c>
      <c r="CD105" s="319"/>
      <c r="CE105" s="1285"/>
      <c r="CF105" s="1285"/>
      <c r="CG105" s="1285"/>
      <c r="CH105" s="1288"/>
      <c r="CI105" s="1281"/>
      <c r="CJ105" s="1281"/>
      <c r="CK105" s="1281"/>
      <c r="CL105" s="1281"/>
      <c r="CM105" s="1281"/>
      <c r="CN105" s="1281"/>
      <c r="CO105" s="1281"/>
      <c r="CP105" s="1281"/>
    </row>
    <row r="106" spans="1:94" ht="18" x14ac:dyDescent="0.25">
      <c r="B106" s="1280"/>
      <c r="C106" s="1280"/>
      <c r="D106" s="1574" t="s">
        <v>255</v>
      </c>
      <c r="E106" s="219"/>
      <c r="F106" s="219"/>
      <c r="G106" s="219"/>
      <c r="H106" s="219" t="s">
        <v>1059</v>
      </c>
      <c r="I106" s="219"/>
      <c r="J106" s="219" t="s">
        <v>1061</v>
      </c>
      <c r="K106" s="219" t="s">
        <v>1060</v>
      </c>
      <c r="L106" s="219"/>
      <c r="M106" s="219"/>
      <c r="N106" s="219"/>
      <c r="O106" s="219" t="s">
        <v>1630</v>
      </c>
      <c r="P106" s="219" t="s">
        <v>1630</v>
      </c>
      <c r="Q106" s="219" t="s">
        <v>1630</v>
      </c>
      <c r="R106" s="219" t="s">
        <v>1630</v>
      </c>
      <c r="S106" s="219" t="s">
        <v>1630</v>
      </c>
      <c r="T106" s="219" t="s">
        <v>1630</v>
      </c>
      <c r="U106" s="219" t="s">
        <v>1630</v>
      </c>
      <c r="V106" s="219" t="s">
        <v>1630</v>
      </c>
      <c r="W106" s="219" t="s">
        <v>1630</v>
      </c>
      <c r="X106" s="219" t="s">
        <v>1630</v>
      </c>
      <c r="Y106" s="219"/>
      <c r="Z106" s="219"/>
      <c r="AA106" s="219"/>
      <c r="AB106" s="219"/>
      <c r="AC106" s="219"/>
      <c r="AD106" s="219"/>
      <c r="AE106" s="219"/>
      <c r="AF106" s="219">
        <v>1</v>
      </c>
      <c r="AG106" s="219">
        <v>1</v>
      </c>
      <c r="AH106" s="219">
        <v>1</v>
      </c>
      <c r="AI106" s="219">
        <v>1</v>
      </c>
      <c r="AJ106" s="219">
        <v>1</v>
      </c>
      <c r="AK106" s="219"/>
      <c r="AL106" s="219"/>
      <c r="AM106" s="219"/>
      <c r="AN106" s="219"/>
      <c r="AO106" s="219"/>
      <c r="AP106" s="219"/>
      <c r="AQ106" s="219"/>
      <c r="AR106" s="219"/>
      <c r="AS106" s="219"/>
      <c r="AT106" s="219"/>
      <c r="AU106" s="220"/>
      <c r="AV106" s="219"/>
      <c r="AW106" s="219"/>
      <c r="AX106" s="220"/>
      <c r="AY106" s="1566" t="s">
        <v>4053</v>
      </c>
      <c r="AZ106" s="1566" t="s">
        <v>4054</v>
      </c>
      <c r="BA106" s="1566" t="s">
        <v>4053</v>
      </c>
      <c r="BB106" s="1566" t="s">
        <v>4054</v>
      </c>
      <c r="BC106" s="219"/>
      <c r="BD106" s="219"/>
      <c r="BE106" s="220"/>
      <c r="BF106" s="1413" t="s">
        <v>4068</v>
      </c>
      <c r="BG106" s="1413" t="s">
        <v>4069</v>
      </c>
      <c r="BH106" s="1413" t="s">
        <v>4068</v>
      </c>
      <c r="BI106" s="1413" t="s">
        <v>4069</v>
      </c>
      <c r="BJ106" s="220"/>
      <c r="BK106" s="219" t="s">
        <v>1631</v>
      </c>
      <c r="BL106" s="1566" t="s">
        <v>3884</v>
      </c>
      <c r="BM106" s="219" t="s">
        <v>1632</v>
      </c>
      <c r="BN106" s="220" t="s">
        <v>1633</v>
      </c>
      <c r="BO106" s="220"/>
      <c r="BP106" s="1412"/>
      <c r="BQ106" s="2337"/>
      <c r="BR106" s="748"/>
      <c r="BS106" s="748"/>
      <c r="BT106" s="748"/>
      <c r="BU106" s="748"/>
      <c r="BV106" s="748"/>
      <c r="BW106" s="748"/>
      <c r="BX106" s="704"/>
      <c r="BY106" s="704"/>
      <c r="BZ106" s="704"/>
      <c r="CA106" s="704"/>
      <c r="CB106" s="704"/>
      <c r="CC106" s="704"/>
      <c r="CD106" s="319"/>
      <c r="CE106" s="1285"/>
      <c r="CF106" s="1285"/>
      <c r="CG106" s="1285"/>
      <c r="CH106" s="1288"/>
      <c r="CI106" s="1281"/>
      <c r="CJ106" s="1281"/>
      <c r="CK106" s="1281"/>
      <c r="CL106" s="1281"/>
      <c r="CM106" s="1281"/>
      <c r="CN106" s="1281"/>
      <c r="CO106" s="1281"/>
      <c r="CP106" s="1281"/>
    </row>
    <row r="107" spans="1:94" ht="18" x14ac:dyDescent="0.25">
      <c r="B107" s="1280"/>
      <c r="C107" s="1280"/>
      <c r="D107" s="1574" t="s">
        <v>1114</v>
      </c>
      <c r="E107" s="219"/>
      <c r="F107" s="219"/>
      <c r="G107" s="219"/>
      <c r="H107" s="219"/>
      <c r="I107" s="219"/>
      <c r="J107" s="219"/>
      <c r="K107" s="219"/>
      <c r="L107" s="219"/>
      <c r="M107" s="219"/>
      <c r="N107" s="219"/>
      <c r="O107" s="219"/>
      <c r="P107" s="219"/>
      <c r="Q107" s="219"/>
      <c r="R107" s="219"/>
      <c r="S107" s="219"/>
      <c r="T107" s="219"/>
      <c r="U107" s="219"/>
      <c r="V107" s="219"/>
      <c r="W107" s="219"/>
      <c r="X107" s="219"/>
      <c r="Y107" s="219"/>
      <c r="Z107" s="219"/>
      <c r="AA107" s="219"/>
      <c r="AB107" s="219"/>
      <c r="AC107" s="219"/>
      <c r="AD107" s="219"/>
      <c r="AE107" s="219"/>
      <c r="AF107" s="219"/>
      <c r="AG107" s="219"/>
      <c r="AH107" s="219"/>
      <c r="AI107" s="219"/>
      <c r="AJ107" s="219"/>
      <c r="AK107" s="219"/>
      <c r="AL107" s="219"/>
      <c r="AM107" s="219"/>
      <c r="AN107" s="219"/>
      <c r="AO107" s="1569" t="s">
        <v>3697</v>
      </c>
      <c r="AP107" s="219">
        <v>1</v>
      </c>
      <c r="AQ107" s="219"/>
      <c r="AR107" s="219"/>
      <c r="AS107" s="219"/>
      <c r="AT107" s="219"/>
      <c r="AU107" s="220"/>
      <c r="AV107" s="219"/>
      <c r="AW107" s="219"/>
      <c r="AX107" s="220"/>
      <c r="AY107" s="220"/>
      <c r="AZ107" s="219"/>
      <c r="BA107" s="220"/>
      <c r="BB107" s="220"/>
      <c r="BC107" s="219"/>
      <c r="BD107" s="219"/>
      <c r="BE107" s="220"/>
      <c r="BF107" s="220"/>
      <c r="BG107" s="219"/>
      <c r="BH107" s="220"/>
      <c r="BI107" s="220"/>
      <c r="BJ107" s="220"/>
      <c r="BK107" s="220"/>
      <c r="BL107" s="1570"/>
      <c r="BM107" s="219"/>
      <c r="BN107" s="220"/>
      <c r="BO107" s="220"/>
      <c r="BP107" s="1412"/>
      <c r="BQ107" s="2337"/>
      <c r="BR107" s="748"/>
      <c r="BS107" s="748"/>
      <c r="BT107" s="748"/>
      <c r="BU107" s="748"/>
      <c r="BV107" s="748"/>
      <c r="BW107" s="748"/>
      <c r="BX107" s="704"/>
      <c r="BY107" s="704"/>
      <c r="BZ107" s="704"/>
      <c r="CA107" s="704"/>
      <c r="CB107" s="704"/>
      <c r="CC107" s="704"/>
      <c r="CD107" s="319"/>
      <c r="CE107" s="1285"/>
      <c r="CF107" s="1285"/>
      <c r="CG107" s="1285"/>
      <c r="CH107" s="1288"/>
      <c r="CI107" s="1281"/>
      <c r="CJ107" s="1281"/>
      <c r="CK107" s="1281"/>
      <c r="CL107" s="1281"/>
      <c r="CM107" s="1281"/>
      <c r="CN107" s="1281"/>
      <c r="CO107" s="1281"/>
      <c r="CP107" s="1281"/>
    </row>
    <row r="108" spans="1:94" ht="18" x14ac:dyDescent="0.25">
      <c r="B108" s="1280"/>
      <c r="C108" s="1280"/>
      <c r="D108" s="1574" t="s">
        <v>474</v>
      </c>
      <c r="E108" s="219"/>
      <c r="F108" s="219"/>
      <c r="G108" s="219"/>
      <c r="H108" s="219"/>
      <c r="I108" s="219"/>
      <c r="J108" s="219"/>
      <c r="K108" s="219"/>
      <c r="L108" s="219"/>
      <c r="M108" s="219"/>
      <c r="N108" s="219"/>
      <c r="O108" s="219"/>
      <c r="P108" s="219"/>
      <c r="Q108" s="219"/>
      <c r="R108" s="219"/>
      <c r="S108" s="219"/>
      <c r="T108" s="219"/>
      <c r="U108" s="219"/>
      <c r="V108" s="219"/>
      <c r="W108" s="219"/>
      <c r="X108" s="219"/>
      <c r="Y108" s="219"/>
      <c r="Z108" s="219"/>
      <c r="AA108" s="219"/>
      <c r="AB108" s="219"/>
      <c r="AC108" s="219"/>
      <c r="AD108" s="219"/>
      <c r="AE108" s="219"/>
      <c r="AF108" s="219"/>
      <c r="AG108" s="219" t="s">
        <v>1634</v>
      </c>
      <c r="AH108" s="219"/>
      <c r="AI108" s="219"/>
      <c r="AJ108" s="219"/>
      <c r="AK108" s="219"/>
      <c r="AL108" s="219"/>
      <c r="AM108" s="219"/>
      <c r="AN108" s="219"/>
      <c r="AO108" s="1569"/>
      <c r="AP108" s="219"/>
      <c r="AQ108" s="219"/>
      <c r="AR108" s="219"/>
      <c r="AS108" s="219"/>
      <c r="AT108" s="219">
        <v>1</v>
      </c>
      <c r="AU108" s="219"/>
      <c r="AV108" s="219"/>
      <c r="AW108" s="219"/>
      <c r="AX108" s="219"/>
      <c r="AY108" s="219"/>
      <c r="AZ108" s="219"/>
      <c r="BA108" s="219"/>
      <c r="BB108" s="219"/>
      <c r="BC108" s="219"/>
      <c r="BD108" s="219"/>
      <c r="BE108" s="219"/>
      <c r="BF108" s="219"/>
      <c r="BG108" s="219"/>
      <c r="BH108" s="219"/>
      <c r="BI108" s="219"/>
      <c r="BJ108" s="219"/>
      <c r="BK108" s="219"/>
      <c r="BL108" s="1566"/>
      <c r="BM108" s="219"/>
      <c r="BN108" s="219"/>
      <c r="BO108" s="219"/>
      <c r="BP108" s="1413"/>
      <c r="BQ108" s="2361"/>
      <c r="BR108" s="219"/>
      <c r="BS108" s="219"/>
      <c r="BT108" s="219"/>
      <c r="BU108" s="219"/>
      <c r="BV108" s="219"/>
      <c r="BW108" s="319"/>
      <c r="BX108" s="704"/>
      <c r="BY108" s="704"/>
      <c r="BZ108" s="704"/>
      <c r="CA108" s="704"/>
      <c r="CB108" s="704"/>
      <c r="CC108" s="704"/>
      <c r="CD108" s="319"/>
      <c r="CE108" s="1285"/>
      <c r="CF108" s="1285"/>
      <c r="CG108" s="1285"/>
      <c r="CH108" s="1288"/>
      <c r="CI108" s="1281"/>
      <c r="CJ108" s="1281"/>
      <c r="CK108" s="1281"/>
      <c r="CL108" s="1281"/>
      <c r="CM108" s="1281"/>
      <c r="CN108" s="1281"/>
      <c r="CO108" s="1281"/>
      <c r="CP108" s="1281"/>
    </row>
    <row r="109" spans="1:94" ht="18" x14ac:dyDescent="0.25">
      <c r="B109" s="1280"/>
      <c r="C109" s="1280"/>
      <c r="D109" s="1574" t="s">
        <v>987</v>
      </c>
      <c r="E109" s="219"/>
      <c r="F109" s="219"/>
      <c r="G109" s="219"/>
      <c r="H109" s="219"/>
      <c r="I109" s="219"/>
      <c r="J109" s="219"/>
      <c r="K109" s="219"/>
      <c r="L109" s="219"/>
      <c r="M109" s="219"/>
      <c r="N109" s="219"/>
      <c r="O109" s="219"/>
      <c r="P109" s="219"/>
      <c r="Q109" s="219"/>
      <c r="R109" s="219"/>
      <c r="S109" s="219"/>
      <c r="T109" s="219"/>
      <c r="U109" s="219"/>
      <c r="V109" s="219"/>
      <c r="W109" s="219"/>
      <c r="X109" s="219"/>
      <c r="Y109" s="219"/>
      <c r="Z109" s="219"/>
      <c r="AA109" s="219"/>
      <c r="AB109" s="219"/>
      <c r="AC109" s="219"/>
      <c r="AD109" s="219"/>
      <c r="AE109" s="219"/>
      <c r="AF109" s="219"/>
      <c r="AG109" s="219" t="s">
        <v>1635</v>
      </c>
      <c r="AH109" s="219"/>
      <c r="AI109" s="219"/>
      <c r="AJ109" s="219"/>
      <c r="AK109" s="219"/>
      <c r="AL109" s="219"/>
      <c r="AM109" s="219"/>
      <c r="AN109" s="219"/>
      <c r="AO109" s="1569" t="s">
        <v>3679</v>
      </c>
      <c r="AP109" s="219"/>
      <c r="AQ109" s="219"/>
      <c r="AR109" s="219">
        <v>1</v>
      </c>
      <c r="AS109" s="219"/>
      <c r="AT109" s="219"/>
      <c r="AU109" s="219"/>
      <c r="AV109" s="219"/>
      <c r="AW109" s="219"/>
      <c r="AX109" s="219"/>
      <c r="AY109" s="219"/>
      <c r="AZ109" s="219"/>
      <c r="BA109" s="219"/>
      <c r="BB109" s="219"/>
      <c r="BC109" s="219"/>
      <c r="BD109" s="219"/>
      <c r="BE109" s="219"/>
      <c r="BF109" s="219"/>
      <c r="BG109" s="219"/>
      <c r="BH109" s="219"/>
      <c r="BI109" s="219"/>
      <c r="BJ109" s="219" t="s">
        <v>1636</v>
      </c>
      <c r="BK109" s="219" t="s">
        <v>1637</v>
      </c>
      <c r="BL109" s="1566" t="s">
        <v>3885</v>
      </c>
      <c r="BM109" s="219"/>
      <c r="BN109" s="219"/>
      <c r="BO109" s="219"/>
      <c r="BP109" s="1413"/>
      <c r="BQ109" s="2361"/>
      <c r="BR109" s="219"/>
      <c r="BS109" s="219"/>
      <c r="BT109" s="219"/>
      <c r="BU109" s="219"/>
      <c r="BV109" s="219"/>
      <c r="BW109" s="319"/>
      <c r="BX109" s="704"/>
      <c r="BY109" s="704"/>
      <c r="BZ109" s="704"/>
      <c r="CA109" s="704"/>
      <c r="CB109" s="704"/>
      <c r="CC109" s="704"/>
      <c r="CD109" s="319"/>
      <c r="CE109" s="1285"/>
      <c r="CF109" s="1285"/>
      <c r="CG109" s="1285"/>
      <c r="CH109" s="1288"/>
      <c r="CI109" s="1281"/>
      <c r="CJ109" s="1281"/>
      <c r="CK109" s="1281"/>
      <c r="CL109" s="1281"/>
      <c r="CM109" s="1281"/>
      <c r="CN109" s="1281"/>
      <c r="CO109" s="1281"/>
      <c r="CP109" s="1281"/>
    </row>
    <row r="110" spans="1:94" ht="18" x14ac:dyDescent="0.25">
      <c r="B110" s="1280"/>
      <c r="C110" s="1280"/>
      <c r="D110" s="1574" t="s">
        <v>988</v>
      </c>
      <c r="E110" s="219"/>
      <c r="F110" s="219"/>
      <c r="G110" s="219"/>
      <c r="H110" s="219"/>
      <c r="I110" s="219"/>
      <c r="J110" s="219"/>
      <c r="K110" s="219"/>
      <c r="L110" s="219"/>
      <c r="M110" s="219"/>
      <c r="N110" s="219"/>
      <c r="O110" s="219"/>
      <c r="P110" s="219"/>
      <c r="Q110" s="219"/>
      <c r="R110" s="219"/>
      <c r="S110" s="219"/>
      <c r="T110" s="219"/>
      <c r="U110" s="219"/>
      <c r="V110" s="219"/>
      <c r="W110" s="219"/>
      <c r="X110" s="219"/>
      <c r="Y110" s="219"/>
      <c r="Z110" s="219"/>
      <c r="AA110" s="219"/>
      <c r="AB110" s="219"/>
      <c r="AC110" s="219"/>
      <c r="AD110" s="219"/>
      <c r="AE110" s="219"/>
      <c r="AF110" s="219"/>
      <c r="AG110" s="219" t="s">
        <v>1638</v>
      </c>
      <c r="AH110" s="219"/>
      <c r="AI110" s="219"/>
      <c r="AJ110" s="219"/>
      <c r="AK110" s="219"/>
      <c r="AL110" s="219"/>
      <c r="AM110" s="219"/>
      <c r="AN110" s="219"/>
      <c r="AO110" s="1569" t="s">
        <v>3682</v>
      </c>
      <c r="AP110" s="219"/>
      <c r="AQ110" s="219"/>
      <c r="AR110" s="219"/>
      <c r="AS110" s="219">
        <v>1</v>
      </c>
      <c r="AT110" s="219"/>
      <c r="AU110" s="219"/>
      <c r="AV110" s="219"/>
      <c r="AW110" s="219"/>
      <c r="AX110" s="219"/>
      <c r="AY110" s="219"/>
      <c r="AZ110" s="219"/>
      <c r="BA110" s="219"/>
      <c r="BB110" s="219"/>
      <c r="BC110" s="219"/>
      <c r="BD110" s="219"/>
      <c r="BE110" s="219"/>
      <c r="BF110" s="219"/>
      <c r="BG110" s="219"/>
      <c r="BH110" s="219"/>
      <c r="BI110" s="219"/>
      <c r="BJ110" s="219"/>
      <c r="BK110" s="219"/>
      <c r="BL110" s="1566"/>
      <c r="BM110" s="219" t="s">
        <v>1639</v>
      </c>
      <c r="BN110" s="219"/>
      <c r="BO110" s="219"/>
      <c r="BP110" s="1413"/>
      <c r="BQ110" s="2361"/>
      <c r="BR110" s="219"/>
      <c r="BS110" s="219"/>
      <c r="BT110" s="219"/>
      <c r="BU110" s="219"/>
      <c r="BV110" s="219"/>
      <c r="BW110" s="319"/>
      <c r="BX110" s="704"/>
      <c r="BY110" s="704"/>
      <c r="BZ110" s="704"/>
      <c r="CA110" s="704"/>
      <c r="CB110" s="704"/>
      <c r="CC110" s="704"/>
      <c r="CD110" s="319"/>
      <c r="CE110" s="1285"/>
      <c r="CF110" s="1285"/>
      <c r="CG110" s="1285"/>
      <c r="CH110" s="1288"/>
      <c r="CI110" s="1281"/>
      <c r="CJ110" s="1281"/>
      <c r="CK110" s="1281"/>
      <c r="CL110" s="1281"/>
      <c r="CM110" s="1281"/>
      <c r="CN110" s="1281"/>
      <c r="CO110" s="1281"/>
      <c r="CP110" s="1281"/>
    </row>
    <row r="111" spans="1:94" ht="18" x14ac:dyDescent="0.25">
      <c r="B111" s="1280"/>
      <c r="C111" s="1280"/>
      <c r="D111" s="1574" t="s">
        <v>142</v>
      </c>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c r="AA111" s="219"/>
      <c r="AB111" s="219"/>
      <c r="AC111" s="219"/>
      <c r="AD111" s="219"/>
      <c r="AE111" s="219"/>
      <c r="AF111" s="219"/>
      <c r="AG111" s="219"/>
      <c r="AH111" s="219"/>
      <c r="AI111" s="219"/>
      <c r="AJ111" s="219"/>
      <c r="AK111" s="219"/>
      <c r="AL111" s="219"/>
      <c r="AM111" s="219"/>
      <c r="AN111" s="219"/>
      <c r="AO111" s="1569" t="s">
        <v>3698</v>
      </c>
      <c r="AP111" s="219"/>
      <c r="AQ111" s="219">
        <v>1</v>
      </c>
      <c r="AR111" s="219"/>
      <c r="AS111" s="219"/>
      <c r="AT111" s="219"/>
      <c r="AU111" s="219"/>
      <c r="AV111" s="219"/>
      <c r="AW111" s="219"/>
      <c r="AX111" s="219"/>
      <c r="AY111" s="219"/>
      <c r="AZ111" s="219"/>
      <c r="BA111" s="219"/>
      <c r="BB111" s="219"/>
      <c r="BC111" s="219"/>
      <c r="BD111" s="219"/>
      <c r="BE111" s="219"/>
      <c r="BF111" s="219"/>
      <c r="BG111" s="219"/>
      <c r="BH111" s="219"/>
      <c r="BI111" s="219"/>
      <c r="BJ111" s="219"/>
      <c r="BK111" s="219"/>
      <c r="BL111" s="1566"/>
      <c r="BM111" s="219"/>
      <c r="BN111" s="219"/>
      <c r="BO111" s="219"/>
      <c r="BP111" s="1413"/>
      <c r="BQ111" s="2361"/>
      <c r="BR111" s="219"/>
      <c r="BS111" s="219"/>
      <c r="BT111" s="219"/>
      <c r="BU111" s="219"/>
      <c r="BV111" s="219"/>
      <c r="BW111" s="319"/>
      <c r="BX111" s="704"/>
      <c r="BY111" s="704"/>
      <c r="BZ111" s="704"/>
      <c r="CA111" s="704"/>
      <c r="CB111" s="704"/>
      <c r="CC111" s="704"/>
      <c r="CD111" s="319"/>
      <c r="CE111" s="1285"/>
      <c r="CF111" s="1285"/>
      <c r="CG111" s="1285"/>
      <c r="CH111" s="1288"/>
      <c r="CI111" s="1281"/>
      <c r="CJ111" s="1281"/>
      <c r="CK111" s="1281"/>
      <c r="CL111" s="1281"/>
      <c r="CM111" s="1281"/>
      <c r="CN111" s="1281"/>
      <c r="CO111" s="1281"/>
      <c r="CP111" s="1281"/>
    </row>
    <row r="112" spans="1:94" ht="18" x14ac:dyDescent="0.25">
      <c r="B112" s="1280"/>
      <c r="C112" s="1280"/>
      <c r="D112" s="1574" t="s">
        <v>3060</v>
      </c>
      <c r="E112" s="219"/>
      <c r="F112" s="219"/>
      <c r="G112" s="219"/>
      <c r="H112" s="219"/>
      <c r="I112" s="219"/>
      <c r="J112" s="219"/>
      <c r="K112" s="219"/>
      <c r="L112" s="219"/>
      <c r="M112" s="219"/>
      <c r="N112" s="219"/>
      <c r="O112" s="219"/>
      <c r="P112" s="219"/>
      <c r="Q112" s="219"/>
      <c r="R112" s="219"/>
      <c r="S112" s="219"/>
      <c r="T112" s="219"/>
      <c r="U112" s="219"/>
      <c r="V112" s="219"/>
      <c r="W112" s="219"/>
      <c r="X112" s="219"/>
      <c r="Y112" s="219"/>
      <c r="Z112" s="219"/>
      <c r="AA112" s="219"/>
      <c r="AB112" s="219"/>
      <c r="AC112" s="219"/>
      <c r="AD112" s="219"/>
      <c r="AE112" s="219"/>
      <c r="AF112" s="219"/>
      <c r="AG112" s="219"/>
      <c r="AH112" s="219"/>
      <c r="AI112" s="219"/>
      <c r="AJ112" s="219"/>
      <c r="AK112" s="219"/>
      <c r="AL112" s="219"/>
      <c r="AM112" s="219"/>
      <c r="AN112" s="219"/>
      <c r="AO112" s="219"/>
      <c r="AP112" s="219"/>
      <c r="AQ112" s="219"/>
      <c r="AR112" s="219"/>
      <c r="AS112" s="219"/>
      <c r="AT112" s="219"/>
      <c r="AU112" s="219">
        <v>1</v>
      </c>
      <c r="AV112" s="219">
        <v>1</v>
      </c>
      <c r="AW112" s="219">
        <v>1</v>
      </c>
      <c r="AX112" s="219">
        <v>1</v>
      </c>
      <c r="AY112" s="219">
        <v>1</v>
      </c>
      <c r="AZ112" s="219">
        <v>1</v>
      </c>
      <c r="BA112" s="219">
        <v>1</v>
      </c>
      <c r="BB112" s="219">
        <v>1</v>
      </c>
      <c r="BC112" s="219">
        <v>1</v>
      </c>
      <c r="BD112" s="219">
        <v>1</v>
      </c>
      <c r="BE112" s="219">
        <v>1</v>
      </c>
      <c r="BF112" s="219">
        <v>1</v>
      </c>
      <c r="BG112" s="219">
        <v>1</v>
      </c>
      <c r="BH112" s="219">
        <v>1</v>
      </c>
      <c r="BI112" s="219">
        <v>1</v>
      </c>
      <c r="BJ112" s="219"/>
      <c r="BK112" s="219"/>
      <c r="BL112" s="1566"/>
      <c r="BM112" s="219"/>
      <c r="BN112" s="219" t="s">
        <v>1640</v>
      </c>
      <c r="BO112" s="219"/>
      <c r="BP112" s="1413"/>
      <c r="BQ112" s="2361"/>
      <c r="BR112" s="219"/>
      <c r="BS112" s="219"/>
      <c r="BT112" s="219"/>
      <c r="BU112" s="219"/>
      <c r="BV112" s="219"/>
      <c r="BW112" s="319"/>
      <c r="BX112" s="704"/>
      <c r="BY112" s="704"/>
      <c r="BZ112" s="704"/>
      <c r="CA112" s="704"/>
      <c r="CB112" s="704"/>
      <c r="CC112" s="704"/>
      <c r="CD112" s="319"/>
      <c r="CE112" s="1285"/>
      <c r="CF112" s="1285"/>
      <c r="CG112" s="1285"/>
      <c r="CH112" s="1288"/>
      <c r="CI112" s="1281"/>
      <c r="CJ112" s="1281"/>
      <c r="CK112" s="1281"/>
      <c r="CL112" s="1281"/>
      <c r="CM112" s="1281"/>
      <c r="CN112" s="1281"/>
      <c r="CO112" s="1281"/>
      <c r="CP112" s="1281"/>
    </row>
    <row r="113" spans="2:94" ht="15.75" thickBot="1" x14ac:dyDescent="0.3">
      <c r="B113" s="1280"/>
      <c r="C113" s="1280"/>
      <c r="D113" s="1575" t="s">
        <v>3061</v>
      </c>
      <c r="E113" s="273"/>
      <c r="F113" s="273"/>
      <c r="G113" s="273"/>
      <c r="H113" s="273"/>
      <c r="I113" s="273"/>
      <c r="J113" s="273"/>
      <c r="K113" s="273"/>
      <c r="L113" s="273"/>
      <c r="M113" s="273"/>
      <c r="N113" s="273"/>
      <c r="O113" s="273"/>
      <c r="P113" s="273"/>
      <c r="Q113" s="273"/>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c r="AO113" s="273"/>
      <c r="AP113" s="273"/>
      <c r="AQ113" s="273"/>
      <c r="AR113" s="273"/>
      <c r="AS113" s="273"/>
      <c r="AT113" s="273"/>
      <c r="AU113" s="274"/>
      <c r="AV113" s="273"/>
      <c r="AW113" s="273"/>
      <c r="AX113" s="274"/>
      <c r="AY113" s="274"/>
      <c r="AZ113" s="273"/>
      <c r="BA113" s="274"/>
      <c r="BB113" s="274"/>
      <c r="BC113" s="273"/>
      <c r="BD113" s="273"/>
      <c r="BE113" s="274"/>
      <c r="BF113" s="274"/>
      <c r="BG113" s="273"/>
      <c r="BH113" s="274"/>
      <c r="BI113" s="274"/>
      <c r="BJ113" s="274"/>
      <c r="BK113" s="274"/>
      <c r="BL113" s="1571"/>
      <c r="BM113" s="273"/>
      <c r="BN113" s="274"/>
      <c r="BO113" s="274"/>
      <c r="BP113" s="1414"/>
      <c r="BQ113" s="2362"/>
      <c r="BR113" s="273"/>
      <c r="BS113" s="273"/>
      <c r="BT113" s="273"/>
      <c r="BU113" s="273"/>
      <c r="BV113" s="273"/>
      <c r="BW113" s="320"/>
      <c r="BX113" s="705"/>
      <c r="BY113" s="705"/>
      <c r="BZ113" s="705"/>
      <c r="CA113" s="705"/>
      <c r="CB113" s="705"/>
      <c r="CC113" s="705"/>
      <c r="CD113" s="320"/>
      <c r="CE113" s="1285"/>
      <c r="CF113" s="1285"/>
      <c r="CG113" s="1285"/>
      <c r="CH113" s="1288"/>
      <c r="CI113" s="1281"/>
      <c r="CJ113" s="1281"/>
      <c r="CK113" s="1281"/>
      <c r="CL113" s="1281"/>
      <c r="CM113" s="1281"/>
      <c r="CN113" s="1281"/>
      <c r="CO113" s="1281"/>
      <c r="CP113" s="1281"/>
    </row>
    <row r="114" spans="2:94" x14ac:dyDescent="0.25">
      <c r="B114" s="1280"/>
      <c r="C114" s="1280"/>
      <c r="D114" s="1281"/>
      <c r="E114" s="1281"/>
      <c r="F114" s="1281"/>
      <c r="G114" s="1281"/>
      <c r="H114" s="1281"/>
      <c r="I114" s="1281"/>
      <c r="J114" s="1281"/>
      <c r="K114" s="1281"/>
      <c r="L114" s="1281"/>
      <c r="M114" s="1281"/>
      <c r="N114" s="1281"/>
      <c r="O114" s="1281"/>
      <c r="P114" s="1281"/>
      <c r="Q114" s="1281"/>
      <c r="R114" s="1281"/>
      <c r="S114" s="1281"/>
      <c r="T114" s="1281"/>
      <c r="U114" s="1281"/>
      <c r="V114" s="1281"/>
      <c r="W114" s="1281"/>
      <c r="X114" s="1281"/>
      <c r="Y114" s="1281"/>
      <c r="Z114" s="1281"/>
      <c r="AA114" s="1281"/>
      <c r="AB114" s="1281"/>
      <c r="AC114" s="1281"/>
      <c r="AD114" s="1281"/>
      <c r="AE114" s="1281"/>
      <c r="AF114" s="1281"/>
      <c r="AG114" s="1281"/>
      <c r="AH114" s="1281"/>
      <c r="AI114" s="1281"/>
      <c r="AJ114" s="1281"/>
      <c r="AK114" s="1281"/>
      <c r="AL114" s="1281"/>
      <c r="AM114" s="1281"/>
      <c r="AN114" s="1281"/>
      <c r="AO114" s="1282"/>
      <c r="AP114" s="1282"/>
      <c r="AQ114" s="1282"/>
      <c r="AR114" s="1282"/>
      <c r="AS114" s="1282"/>
      <c r="AT114" s="1281"/>
      <c r="AU114" s="1281"/>
      <c r="AV114" s="1281"/>
      <c r="AW114" s="1281"/>
      <c r="AX114" s="1281"/>
      <c r="AY114" s="1281"/>
      <c r="AZ114" s="1281"/>
      <c r="BA114" s="1281"/>
      <c r="BB114" s="1281"/>
      <c r="BC114" s="1281"/>
      <c r="BD114" s="1281"/>
      <c r="BE114" s="1281"/>
      <c r="BF114" s="1281"/>
      <c r="BG114" s="1281"/>
      <c r="BH114" s="1281"/>
      <c r="BI114" s="1281"/>
      <c r="BJ114" s="1281"/>
      <c r="BK114" s="1281"/>
      <c r="BL114" s="1283"/>
      <c r="BM114" s="1281"/>
      <c r="BN114" s="1281"/>
      <c r="BO114" s="1281"/>
      <c r="BP114" s="1281"/>
      <c r="BQ114" s="1281"/>
      <c r="BR114" s="1281"/>
      <c r="BS114" s="1281"/>
      <c r="BT114" s="1281"/>
      <c r="BU114" s="1281"/>
      <c r="BV114" s="1281"/>
      <c r="BW114" s="1281"/>
      <c r="BX114" s="1281"/>
      <c r="BY114" s="1281"/>
      <c r="BZ114" s="1281"/>
      <c r="CA114" s="1281"/>
      <c r="CB114" s="1281"/>
      <c r="CC114" s="1281"/>
      <c r="CD114" s="1283"/>
      <c r="CE114" s="1285"/>
      <c r="CF114" s="1285"/>
      <c r="CG114" s="1285"/>
      <c r="CH114" s="1288"/>
      <c r="CI114" s="1281"/>
      <c r="CJ114" s="1281"/>
      <c r="CK114" s="1281"/>
      <c r="CL114" s="1281"/>
      <c r="CM114" s="1281"/>
      <c r="CN114" s="1281"/>
      <c r="CO114" s="1281"/>
      <c r="CP114" s="1281"/>
    </row>
    <row r="115" spans="2:94" x14ac:dyDescent="0.25">
      <c r="B115" s="1280"/>
      <c r="C115" s="1280"/>
      <c r="D115" s="1281"/>
      <c r="E115" s="1281"/>
      <c r="F115" s="1281"/>
      <c r="G115" s="1281"/>
      <c r="H115" s="1281"/>
      <c r="I115" s="1281"/>
      <c r="J115" s="1281"/>
      <c r="K115" s="1281"/>
      <c r="L115" s="1281"/>
      <c r="M115" s="1281"/>
      <c r="N115" s="1281"/>
      <c r="O115" s="1281"/>
      <c r="P115" s="1281"/>
      <c r="Q115" s="1281"/>
      <c r="R115" s="1281"/>
      <c r="S115" s="1281"/>
      <c r="T115" s="1281"/>
      <c r="U115" s="1281"/>
      <c r="V115" s="1281"/>
      <c r="W115" s="1281"/>
      <c r="X115" s="1281"/>
      <c r="Y115" s="1281"/>
      <c r="Z115" s="1281"/>
      <c r="AA115" s="1281"/>
      <c r="AB115" s="1281"/>
      <c r="AC115" s="1281"/>
      <c r="AD115" s="1281"/>
      <c r="AE115" s="1281"/>
      <c r="AF115" s="1281"/>
      <c r="AG115" s="1281"/>
      <c r="AH115" s="1281"/>
      <c r="AI115" s="1281"/>
      <c r="AJ115" s="1281"/>
      <c r="AK115" s="1281"/>
      <c r="AL115" s="1281"/>
      <c r="AM115" s="1281"/>
      <c r="AN115" s="1281"/>
      <c r="AO115" s="1282"/>
      <c r="AP115" s="1282"/>
      <c r="AQ115" s="1282"/>
      <c r="AR115" s="1282"/>
      <c r="AS115" s="1282"/>
      <c r="AT115" s="1281"/>
      <c r="AU115" s="1281"/>
      <c r="AV115" s="1281"/>
      <c r="AW115" s="1281"/>
      <c r="AX115" s="1281"/>
      <c r="AY115" s="1281"/>
      <c r="AZ115" s="1281"/>
      <c r="BA115" s="1281"/>
      <c r="BB115" s="1281"/>
      <c r="BC115" s="1281"/>
      <c r="BD115" s="1281"/>
      <c r="BE115" s="1281"/>
      <c r="BF115" s="1281"/>
      <c r="BG115" s="1281"/>
      <c r="BH115" s="1281"/>
      <c r="BI115" s="1281"/>
      <c r="BJ115" s="1281"/>
      <c r="BK115" s="1281"/>
      <c r="BL115" s="1283"/>
      <c r="BM115" s="1281"/>
      <c r="BN115" s="1281"/>
      <c r="BO115" s="1281"/>
      <c r="BP115" s="1281"/>
      <c r="BQ115" s="1281"/>
      <c r="BR115" s="1281"/>
      <c r="BS115" s="1281"/>
      <c r="BT115" s="1281"/>
      <c r="BU115" s="1281"/>
      <c r="BV115" s="1281"/>
      <c r="BW115" s="1281"/>
      <c r="BX115" s="1281"/>
      <c r="BY115" s="1281"/>
      <c r="BZ115" s="1281"/>
      <c r="CA115" s="1281"/>
      <c r="CB115" s="1281"/>
      <c r="CC115" s="1281"/>
      <c r="CD115" s="1283"/>
      <c r="CE115" s="1285"/>
      <c r="CF115" s="1285"/>
      <c r="CG115" s="1285"/>
      <c r="CH115" s="1288"/>
      <c r="CI115" s="1281"/>
      <c r="CJ115" s="1281"/>
      <c r="CK115" s="1281"/>
      <c r="CL115" s="1281"/>
      <c r="CM115" s="1281"/>
      <c r="CN115" s="1281"/>
      <c r="CO115" s="1281"/>
      <c r="CP115" s="1281"/>
    </row>
    <row r="116" spans="2:94" x14ac:dyDescent="0.25">
      <c r="B116" s="1280"/>
      <c r="C116" s="1280"/>
      <c r="D116" s="1281"/>
      <c r="E116" s="1281"/>
      <c r="F116" s="1281"/>
      <c r="G116" s="1281"/>
      <c r="H116" s="1281"/>
      <c r="I116" s="1281"/>
      <c r="J116" s="1281"/>
      <c r="K116" s="1281"/>
      <c r="L116" s="1281"/>
      <c r="M116" s="1281"/>
      <c r="N116" s="1281"/>
      <c r="O116" s="1281"/>
      <c r="P116" s="1281"/>
      <c r="Q116" s="1281"/>
      <c r="R116" s="1281"/>
      <c r="S116" s="1281"/>
      <c r="T116" s="1281"/>
      <c r="U116" s="1281"/>
      <c r="V116" s="1281"/>
      <c r="W116" s="1281"/>
      <c r="X116" s="1281"/>
      <c r="Y116" s="1281"/>
      <c r="Z116" s="1281"/>
      <c r="AA116" s="1281"/>
      <c r="AB116" s="1281"/>
      <c r="AC116" s="1281"/>
      <c r="AD116" s="1281"/>
      <c r="AE116" s="1281"/>
      <c r="AF116" s="1281"/>
      <c r="AG116" s="1281"/>
      <c r="AH116" s="1281"/>
      <c r="AI116" s="1281"/>
      <c r="AJ116" s="1281"/>
      <c r="AK116" s="1281"/>
      <c r="AL116" s="1281"/>
      <c r="AM116" s="1281"/>
      <c r="AN116" s="1281"/>
      <c r="AO116" s="1282"/>
      <c r="AP116" s="1282"/>
      <c r="AQ116" s="1282"/>
      <c r="AR116" s="1282"/>
      <c r="AS116" s="1282"/>
      <c r="AT116" s="1281"/>
      <c r="AU116" s="1281"/>
      <c r="AV116" s="1281"/>
      <c r="AW116" s="1281"/>
      <c r="AX116" s="1281"/>
      <c r="AY116" s="1281"/>
      <c r="AZ116" s="1281"/>
      <c r="BA116" s="1281"/>
      <c r="BB116" s="1281"/>
      <c r="BC116" s="1281"/>
      <c r="BD116" s="1281"/>
      <c r="BE116" s="1281"/>
      <c r="BF116" s="1281"/>
      <c r="BG116" s="1281"/>
      <c r="BH116" s="1281"/>
      <c r="BI116" s="1281"/>
      <c r="BJ116" s="1281"/>
      <c r="BK116" s="1281"/>
      <c r="BL116" s="1283"/>
      <c r="BM116" s="1281"/>
      <c r="BN116" s="1281"/>
      <c r="BO116" s="1281"/>
      <c r="BP116" s="1281"/>
      <c r="BQ116" s="1281"/>
      <c r="BR116" s="1281"/>
      <c r="BS116" s="1281"/>
      <c r="BT116" s="1281"/>
      <c r="BU116" s="1281"/>
      <c r="BV116" s="1281"/>
      <c r="BW116" s="1281"/>
      <c r="BX116" s="1281"/>
      <c r="BY116" s="1281"/>
      <c r="BZ116" s="1281"/>
      <c r="CA116" s="1281"/>
      <c r="CB116" s="1281"/>
      <c r="CC116" s="1281"/>
      <c r="CD116" s="1281"/>
      <c r="CE116" s="1285"/>
      <c r="CF116" s="1285"/>
      <c r="CG116" s="1285"/>
      <c r="CH116" s="1288"/>
      <c r="CI116" s="1281"/>
      <c r="CJ116" s="1281"/>
      <c r="CK116" s="1281"/>
      <c r="CL116" s="1281"/>
      <c r="CM116" s="1281"/>
      <c r="CN116" s="1281"/>
      <c r="CO116" s="1281"/>
      <c r="CP116" s="1281"/>
    </row>
    <row r="118" spans="2:94" ht="15.75" thickBot="1" x14ac:dyDescent="0.3">
      <c r="CF118" s="4" t="s">
        <v>4214</v>
      </c>
    </row>
    <row r="119" spans="2:94" ht="19.5" thickBot="1" x14ac:dyDescent="0.3">
      <c r="B119" s="608" t="s">
        <v>93</v>
      </c>
      <c r="C119" s="609"/>
      <c r="D119" s="612" t="s">
        <v>1</v>
      </c>
      <c r="E119" s="610" t="s">
        <v>803</v>
      </c>
      <c r="F119" s="610" t="s">
        <v>804</v>
      </c>
      <c r="G119" s="610" t="s">
        <v>805</v>
      </c>
      <c r="H119" s="610" t="s">
        <v>806</v>
      </c>
      <c r="I119" s="610" t="s">
        <v>807</v>
      </c>
      <c r="J119" s="610" t="s">
        <v>808</v>
      </c>
      <c r="K119" s="610" t="s">
        <v>809</v>
      </c>
      <c r="L119" s="610" t="s">
        <v>810</v>
      </c>
      <c r="M119" s="610" t="s">
        <v>811</v>
      </c>
      <c r="N119" s="610" t="s">
        <v>2138</v>
      </c>
      <c r="O119" s="610" t="s">
        <v>812</v>
      </c>
      <c r="P119" s="610" t="s">
        <v>1743</v>
      </c>
      <c r="Q119" s="610" t="s">
        <v>813</v>
      </c>
      <c r="R119" s="610" t="s">
        <v>4245</v>
      </c>
      <c r="S119" s="610" t="s">
        <v>814</v>
      </c>
      <c r="T119" s="610" t="s">
        <v>2250</v>
      </c>
      <c r="U119" s="610" t="s">
        <v>2249</v>
      </c>
      <c r="V119" s="610" t="s">
        <v>2269</v>
      </c>
      <c r="W119" s="610" t="s">
        <v>815</v>
      </c>
      <c r="X119" s="610" t="s">
        <v>816</v>
      </c>
      <c r="Y119" s="610" t="s">
        <v>817</v>
      </c>
      <c r="Z119" s="610" t="s">
        <v>2247</v>
      </c>
      <c r="AA119" s="610" t="s">
        <v>2248</v>
      </c>
      <c r="AB119" s="610" t="s">
        <v>818</v>
      </c>
      <c r="AC119" s="610" t="s">
        <v>819</v>
      </c>
      <c r="AD119" s="610" t="s">
        <v>821</v>
      </c>
      <c r="AE119" s="610" t="s">
        <v>822</v>
      </c>
      <c r="AF119" s="610" t="s">
        <v>823</v>
      </c>
      <c r="AG119" s="610" t="s">
        <v>2137</v>
      </c>
      <c r="AH119" s="610" t="s">
        <v>824</v>
      </c>
      <c r="AI119" s="610" t="s">
        <v>825</v>
      </c>
      <c r="AJ119" s="610" t="s">
        <v>826</v>
      </c>
      <c r="AK119" s="610" t="s">
        <v>827</v>
      </c>
      <c r="AL119" s="610" t="s">
        <v>829</v>
      </c>
      <c r="AM119" s="610" t="s">
        <v>830</v>
      </c>
      <c r="AN119" s="610" t="s">
        <v>831</v>
      </c>
      <c r="AO119" s="610" t="s">
        <v>832</v>
      </c>
      <c r="AP119" s="610" t="s">
        <v>1161</v>
      </c>
      <c r="AQ119" s="610" t="s">
        <v>1162</v>
      </c>
      <c r="AR119" s="610" t="s">
        <v>999</v>
      </c>
      <c r="AS119" s="610" t="s">
        <v>1641</v>
      </c>
      <c r="AT119" s="610" t="s">
        <v>1045</v>
      </c>
      <c r="AU119" s="610" t="s">
        <v>1601</v>
      </c>
      <c r="AV119" s="610" t="s">
        <v>1642</v>
      </c>
      <c r="AW119" s="610" t="s">
        <v>1643</v>
      </c>
      <c r="AX119" s="610" t="s">
        <v>1644</v>
      </c>
      <c r="AY119" s="610" t="s">
        <v>1645</v>
      </c>
      <c r="AZ119" s="610" t="s">
        <v>1646</v>
      </c>
      <c r="BA119" s="610" t="s">
        <v>1647</v>
      </c>
      <c r="BB119" s="610" t="s">
        <v>1648</v>
      </c>
      <c r="BC119" s="1075" t="s">
        <v>3876</v>
      </c>
      <c r="BD119" s="1075" t="s">
        <v>3877</v>
      </c>
      <c r="BE119" s="1075" t="s">
        <v>3878</v>
      </c>
      <c r="BF119" s="1075" t="s">
        <v>3879</v>
      </c>
      <c r="BG119" s="1075" t="s">
        <v>3880</v>
      </c>
      <c r="BH119" s="1075" t="s">
        <v>3881</v>
      </c>
      <c r="BI119" s="1075" t="s">
        <v>3882</v>
      </c>
      <c r="BJ119" s="611" t="s">
        <v>1001</v>
      </c>
      <c r="BK119" s="611" t="s">
        <v>1133</v>
      </c>
      <c r="BL119" s="1080" t="s">
        <v>3883</v>
      </c>
      <c r="BM119" s="611" t="s">
        <v>354</v>
      </c>
      <c r="BN119" s="610" t="s">
        <v>1115</v>
      </c>
      <c r="BO119" s="610" t="s">
        <v>135</v>
      </c>
      <c r="BP119" s="1435" t="s">
        <v>4240</v>
      </c>
      <c r="BQ119" s="2384" t="s">
        <v>4800</v>
      </c>
      <c r="BR119" s="609" t="s">
        <v>1649</v>
      </c>
      <c r="BS119" s="609" t="s">
        <v>1650</v>
      </c>
      <c r="BT119" s="609" t="s">
        <v>1651</v>
      </c>
      <c r="BU119" s="609" t="s">
        <v>1652</v>
      </c>
      <c r="BV119" s="609" t="s">
        <v>1052</v>
      </c>
      <c r="BW119" s="609" t="s">
        <v>1653</v>
      </c>
      <c r="BX119" s="609" t="s">
        <v>3192</v>
      </c>
      <c r="BY119" s="609" t="s">
        <v>3193</v>
      </c>
      <c r="BZ119" s="609" t="s">
        <v>3194</v>
      </c>
      <c r="CA119" s="609" t="s">
        <v>3195</v>
      </c>
      <c r="CB119" s="609" t="s">
        <v>3196</v>
      </c>
      <c r="CC119" s="609" t="s">
        <v>3197</v>
      </c>
      <c r="CD119" s="612" t="s">
        <v>1223</v>
      </c>
      <c r="CF119" s="1645" t="s">
        <v>148</v>
      </c>
      <c r="CG119" s="1645" t="s">
        <v>258</v>
      </c>
      <c r="CH119" s="1645" t="s">
        <v>254</v>
      </c>
      <c r="CI119" s="1645" t="s">
        <v>255</v>
      </c>
      <c r="CJ119" s="1645" t="s">
        <v>1114</v>
      </c>
      <c r="CK119" s="1645" t="s">
        <v>474</v>
      </c>
      <c r="CL119" s="1645" t="s">
        <v>987</v>
      </c>
      <c r="CM119" s="1645" t="s">
        <v>988</v>
      </c>
      <c r="CN119" s="1645" t="s">
        <v>142</v>
      </c>
      <c r="CO119" s="1645" t="s">
        <v>3060</v>
      </c>
      <c r="CP119" s="1645" t="s">
        <v>3061</v>
      </c>
    </row>
    <row r="120" spans="2:94" ht="18" x14ac:dyDescent="0.25">
      <c r="B120" s="1582">
        <v>1</v>
      </c>
      <c r="C120" s="1522" t="s">
        <v>223</v>
      </c>
      <c r="D120" s="464" t="s">
        <v>1654</v>
      </c>
      <c r="E120" s="970">
        <f>-1/Y_OHO_VFA_ox</f>
        <v>-1.6666666666666667</v>
      </c>
      <c r="F120" s="991">
        <f>0</f>
        <v>0</v>
      </c>
      <c r="G120" s="991">
        <f>0</f>
        <v>0</v>
      </c>
      <c r="H120" s="991">
        <f>0</f>
        <v>0</v>
      </c>
      <c r="I120" s="991">
        <f>0</f>
        <v>0</v>
      </c>
      <c r="J120" s="991">
        <f>0</f>
        <v>0</v>
      </c>
      <c r="K120" s="991">
        <f>0</f>
        <v>0</v>
      </c>
      <c r="L120" s="991">
        <f>0</f>
        <v>0</v>
      </c>
      <c r="M120" s="991">
        <f>0</f>
        <v>0</v>
      </c>
      <c r="N120" s="991">
        <f>0</f>
        <v>0</v>
      </c>
      <c r="O120" s="991">
        <f>0</f>
        <v>0</v>
      </c>
      <c r="P120" s="991">
        <f>0</f>
        <v>0</v>
      </c>
      <c r="Q120" s="991">
        <f>1</f>
        <v>1</v>
      </c>
      <c r="R120" s="991">
        <f>0</f>
        <v>0</v>
      </c>
      <c r="S120" s="991">
        <f>0</f>
        <v>0</v>
      </c>
      <c r="T120" s="991">
        <f>0</f>
        <v>0</v>
      </c>
      <c r="U120" s="991">
        <f>0</f>
        <v>0</v>
      </c>
      <c r="V120" s="991">
        <f>0</f>
        <v>0</v>
      </c>
      <c r="W120" s="991">
        <f>0</f>
        <v>0</v>
      </c>
      <c r="X120" s="991">
        <f>0</f>
        <v>0</v>
      </c>
      <c r="Y120" s="970">
        <f t="shared" ref="Y120:Y128" si="0">-i_N_BIO</f>
        <v>-7.0000000000000007E-2</v>
      </c>
      <c r="Z120" s="991">
        <f>0</f>
        <v>0</v>
      </c>
      <c r="AA120" s="991">
        <f>0</f>
        <v>0</v>
      </c>
      <c r="AB120" s="991">
        <f>0</f>
        <v>0</v>
      </c>
      <c r="AC120" s="991">
        <f>0</f>
        <v>0</v>
      </c>
      <c r="AD120" s="991">
        <f>0</f>
        <v>0</v>
      </c>
      <c r="AE120" s="991">
        <f>0</f>
        <v>0</v>
      </c>
      <c r="AF120" s="970">
        <f t="shared" ref="AF120:AF128" si="1">-i_P_BIO</f>
        <v>-0.02</v>
      </c>
      <c r="AG120" s="991">
        <f>0</f>
        <v>0</v>
      </c>
      <c r="AH120" s="991">
        <f>0</f>
        <v>0</v>
      </c>
      <c r="AI120" s="991">
        <f>0</f>
        <v>0</v>
      </c>
      <c r="AJ120" s="991">
        <f>0</f>
        <v>0</v>
      </c>
      <c r="AK120" s="970">
        <f>-(1-Y_OHO_VFA_ox)/Y_OHO_VFA_ox</f>
        <v>-0.66666666666666674</v>
      </c>
      <c r="AL120" s="970">
        <f>0</f>
        <v>0</v>
      </c>
      <c r="AM120" s="970">
        <f>0</f>
        <v>0</v>
      </c>
      <c r="AN120" s="970">
        <f>i_CIT_VFA/Y_OHO_VFA_ox-i_CIT_BIO</f>
        <v>0.27300000000000002</v>
      </c>
      <c r="AO120" s="998">
        <f t="shared" ref="AO120:AO128" si="2">i_INORG</f>
        <v>0.11</v>
      </c>
      <c r="AP120" s="998">
        <f t="shared" ref="AP120:AP128" si="3">-i_INORG*(1-i_Ca_INORG*(A_MCa+2*A_MCl)/A_MCa-i_Mg_INORG*(A_MMg+2*A_MCl)/A_MMg)*f_Na</f>
        <v>-2.8804303582798466E-2</v>
      </c>
      <c r="AQ120" s="998">
        <f t="shared" ref="AQ120:AQ128" si="4">-i_INORG*(i_Ca_INORG*(2*A_MCl)/A_MCa+i_Mg_INORG*(2*A_MCl)/A_MMg)-i_INORG*(1-i_Ca_INORG*(A_MCa+2*A_MCl)/A_MCa-i_Mg_INORG*(A_MMg+2*A_MCl)/A_MMg)*(1-f_Na)</f>
        <v>-7.0195696417201539E-2</v>
      </c>
      <c r="AR120" s="998">
        <f t="shared" ref="AR120:AR128" si="5">-i_INORG*i_Ca_INORG</f>
        <v>-5.5000000000000005E-3</v>
      </c>
      <c r="AS120" s="998">
        <f t="shared" ref="AS120:AS128" si="6">-i_INORG*i_Mg_INORG</f>
        <v>-5.5000000000000005E-3</v>
      </c>
      <c r="AT120" s="970">
        <f>0</f>
        <v>0</v>
      </c>
      <c r="AU120" s="970">
        <f>0</f>
        <v>0</v>
      </c>
      <c r="AV120" s="970">
        <f>0</f>
        <v>0</v>
      </c>
      <c r="AW120" s="970">
        <f>0</f>
        <v>0</v>
      </c>
      <c r="AX120" s="970">
        <f>0</f>
        <v>0</v>
      </c>
      <c r="AY120" s="970">
        <f>0</f>
        <v>0</v>
      </c>
      <c r="AZ120" s="970">
        <f>0</f>
        <v>0</v>
      </c>
      <c r="BA120" s="970">
        <f>0</f>
        <v>0</v>
      </c>
      <c r="BB120" s="970">
        <f>0</f>
        <v>0</v>
      </c>
      <c r="BC120" s="970">
        <f>0</f>
        <v>0</v>
      </c>
      <c r="BD120" s="970">
        <f>0</f>
        <v>0</v>
      </c>
      <c r="BE120" s="970">
        <f>0</f>
        <v>0</v>
      </c>
      <c r="BF120" s="970">
        <f>0</f>
        <v>0</v>
      </c>
      <c r="BG120" s="970">
        <f>0</f>
        <v>0</v>
      </c>
      <c r="BH120" s="970">
        <f>0</f>
        <v>0</v>
      </c>
      <c r="BI120" s="970">
        <f>0</f>
        <v>0</v>
      </c>
      <c r="BJ120" s="970">
        <f>0</f>
        <v>0</v>
      </c>
      <c r="BK120" s="970">
        <f>0</f>
        <v>0</v>
      </c>
      <c r="BL120" s="1633">
        <f>0</f>
        <v>0</v>
      </c>
      <c r="BM120" s="970">
        <f>0</f>
        <v>0</v>
      </c>
      <c r="BN120" s="970">
        <f>0</f>
        <v>0</v>
      </c>
      <c r="BO120" s="970">
        <f>0</f>
        <v>0</v>
      </c>
      <c r="BP120" s="970">
        <f>0</f>
        <v>0</v>
      </c>
      <c r="BQ120" s="2363">
        <f>0</f>
        <v>0</v>
      </c>
      <c r="BR120" s="970">
        <f>0</f>
        <v>0</v>
      </c>
      <c r="BS120" s="970">
        <f>0</f>
        <v>0</v>
      </c>
      <c r="BT120" s="970">
        <f>0</f>
        <v>0</v>
      </c>
      <c r="BU120" s="970">
        <f>0</f>
        <v>0</v>
      </c>
      <c r="BV120" s="970">
        <f>0</f>
        <v>0</v>
      </c>
      <c r="BW120" s="970">
        <f>0</f>
        <v>0</v>
      </c>
      <c r="BX120" s="970">
        <f>0</f>
        <v>0</v>
      </c>
      <c r="BY120" s="970">
        <f>0</f>
        <v>0</v>
      </c>
      <c r="BZ120" s="970">
        <f>0</f>
        <v>0</v>
      </c>
      <c r="CA120" s="970">
        <f>0</f>
        <v>0</v>
      </c>
      <c r="CB120" s="970">
        <f>0</f>
        <v>0</v>
      </c>
      <c r="CC120" s="970">
        <f>0</f>
        <v>0</v>
      </c>
      <c r="CD120" s="1649">
        <f>µ_OHO_T*X_OHO*M_satSVFA_KVFA*M_satSO2_KO2_OHO*M_satSNHx_KNHx_BIO*M_satSPO4_KPO4_BIO*M_satSCAT_KCAT*M_satSAN_KAN*M_satSCa_KCa*M_satSMg_KMg*B_ellinhpH</f>
        <v>36.025541576211332</v>
      </c>
      <c r="CF120" s="2385">
        <f>E220*E120+F220*F120+G220*G120+H220*H120+I220*I120+J220*J120+K220*K120+L220*L120+M220*M120+N220*N120+O220*O120+P220*P120+Q220*Q120+R220*R120+S220*S120+T220*T120+U220*U120+V220*V120+W220*W120+X220*X120+Y220*Y120+Z220*Z120+AA220*AA120+AB220*AB120+AC220*AC120+AD220*AD120+AE220*AE120+AF220*AF120+AG220*AG120+AH220*AH120+AI220*AI120+AJ220*AJ120+AK220*AK120+AL220*AL120+AM220*AM120+AN220*AN120+AO220*AO120+AP220*AP120+AQ220*AQ120+AR220*AR120+AS220*AS120+AT220*AT120+AU220*AU120+AV220*AV120+AW220*AW120+AX220*AX120+AY220*AY120+AZ220*AZ120+BA220*BA120+BB220*BB120+BC220*BC120+BD220*BD120+BE220*BE120+BF220*BF120+BG220*BG120+BH220*BH120+BI220*BI120+BJ220*BJ120+BK220*BK120+BL220*BL120+BM220*BM120+BN220*BN120+BO220*BO120+BP220*BP120+BQ220*BQ120+BR220*BR120+BS220*BS120+BT220*BT120+BU220*BU120+BV220*BV120+BW220*BW120+BX220*BX120+BY220*BY120+BZ220*BZ120+CA220*CA120+CB220*CB120+CC220*CC120</f>
        <v>0</v>
      </c>
      <c r="CG120" s="2385">
        <f>E221*E120+F221*F120+G221*G120+H221*H120+I221*I120+J221*J120+K221*K120+L221*L120+M221*M120+N221*N120+O221*O120+P221*P120+Q221*Q120+R221*R120+S221*S120+T221*T120+U221*U120+V221*V120+W221*W120+X221*X120+Y221*Y120+Z221*Z120+AA221*AA120+AB221*AB120+AC221*AC120+AD221*AD120+AE221*AE120+AF221*AF120+AG221*AG120+AH221*AH120+AI221*AI120+AJ221*AJ120+AK221*AK120+AL221*AL120+AM221*AM120+AN221*AN120+AO221*AO120+AP221*AP120+AQ221*AQ120+AR221*AR120+AS221*AS120+AT221*AT120+AU221*AU120+AV221*AV120+AW221*AW120+AX221*AX120+AY221*AY120+AZ221*AZ120+BA221*BA120+BB221*BB120+BC221*BC120+BD221*BD120+BE221*BE120+BF221*BF120+BG221*BG120+BH221*BH120+BI221*BI120+BJ221*BJ120+BK221*BK120+BL221*BL120+BM221*BM120+BN221*BN120+BO221*BO120+BP221*BP120+BQ221*BQ120+BR221*BR120+BS221*BS120+BT221*BT120+BU221*BU120+BV221*BV120+BW221*BW120+BX221*BX120+BY221*BY120+BZ221*BZ120+CA221*CA120+CB221*CB120+CC221*CC120</f>
        <v>0</v>
      </c>
      <c r="CH120" s="2386">
        <f>E222*E120+F222*F120+G222*G120+H222*H120+I222*I120+J222*J120+K222*K120+L222*L120+M222*M120+N222*N120+O222*O120+P222*P120+Q222*Q120+R222*R120+S222*S120+T222*T120+U222*U120+V222*V120+W222*W120+X222*X120+Y222*Y120+Z222*Z120+AA222*AA120+AB222*AB120+AC222*AC120+AD222*AD120+AE222*AE120+AF222*AF120+AG222*AG120+AH222*AH120+AI222*AI120+AJ222*AJ120+AK222*AK120+AL222*AL120+AM222*AM120+AN222*AN120+AO222*AO120+AP222*AP120+AQ222*AQ120+AR222*AR120+AS222*AS120+AT222*AT120+AU222*AU120+AV222*AV120+AW222*AW120+AX222*AX120+AY222*AY120+AZ222*AZ120+BA222*BA120+BB222*BB120+BC222*BC120+BD222*BD120+BE222*BE120+BF222*BF120+BG222*BG120+BH222*BH120+BI222*BI120+BJ222*BJ120+BK222*BK120+BL222*BL120+BM222*BM120+BN222*BN120+BO222*BO120+BP222*BP120+BQ222*BQ120+BR222*BR120+BS222*BS120+BT222*BT120+BU222*BU120+BV222*BV120+BW222*BW120+BX222*BX120+BY222*BY120+BZ222*BZ120+CA222*CA120+CB222*CB120+CC222*CC120</f>
        <v>0</v>
      </c>
      <c r="CI120" s="2387">
        <f>E223*E120+F223*F120+G223*G120+H223*H120+I223*I120+J223*J120+K223*K120+L223*L120+M223*M120+N223*N120+O223*O120+P223*P120+Q223*Q120+R223*R120+S223*S120+T223*T120+U223*U120+V223*V120+W223*W120+X223*X120+Y223*Y120+Z223*Z120+AA223*AA120+AB223*AB120+AC223*AC120+AD223*AD120+AE223*AE120+AF223*AF120+AG223*AG120+AH223*AH120+AI223*AI120+AJ223*AJ120+AK223*AK120+AL223*AL120+AM223*AM120+AN223*AN120+AO223*AO120+AP223*AP120+AQ223*AQ120+AR223*AR120+AS223*AS120+AT223*AT120+AU223*AU120+AV223*AV120+AW223*AW120+AX223*AX120+AY223*AY120+AZ223*AZ120+BA223*BA120+BB223*BB120+BC223*BC120+BD223*BD120+BE223*BE120+BF223*BF120+BG223*BG120+BH223*BH120+BI223*BI120+BJ223*BJ120+BK223*BK120+BL223*BL120+BM223*BM120+BN223*BN120+BO223*BO120+BP223*BP120+BQ223*BQ120+BR223*BR120+BS223*BS120+BT223*BT120+BU223*BU120+BV223*BV120+BW223*BW120+BX223*BX120+BY223*BY120+BZ223*BZ120+CA223*CA120+CB223*CB120+CC223*CC120</f>
        <v>0</v>
      </c>
      <c r="CJ120" s="2387">
        <f>E224*E120+F224*F120+G224*G120+H224*H120+I224*I120+J224*J120+K224*K120+L224*L120+M224*M120+N224*N120+O224*O120+P224*P120+Q224*Q120+R224*R120+S224*S120+T224*T120+U224*U120+V224*V120+W224*W120+X224*X120+Y224*Y120+Z224*Z120+AA224*AA120+AB224*AB120+AC224*AC120+AD224*AD120+AE224*AE120+AF224*AF120+AG224*AG120+AH224*AH120+AI224*AI120+AJ224*AJ120+AK224*AK120+AL224*AL120+AM224*AM120+AN224*AN120+AO224*AO120+AP224*AP120+AQ224*AQ120+AR224*AR120+AS224*AS120+AT224*AT120+AU224*AU120+AV224*AV120+AW224*AW120+AX224*AX120+AY224*AY120+AZ224*AZ120+BA224*BA120+BB224*BB120+BC224*BC120+BD224*BD120+BE224*BE120+BF224*BF120+BG224*BG120+BH224*BH120+BI224*BI120+BJ224*BJ120+BK224*BK120+BL224*BL120+BM224*BM120+BN224*BN120+BO224*BO120+BP224*BP120+BQ224*BQ120+BR224*BR120+BS224*BS120+BT224*BT120+BU224*BU120+BV224*BV120+BW224*BW120+BX224*BX120+BY224*BY120+BZ224*BZ120+CA224*CA120+CB224*CB120+CC224*CC120</f>
        <v>0</v>
      </c>
      <c r="CK120" s="2387">
        <f>E225*E120+F225*F120+G225*G120+H225*H120+I225*I120+J225*J120+K225*K120+L225*L120+M225*M120+N225*N120+O225*O120+P225*P120+Q225*Q120+R225*R120+S225*S120+T225*T120+U225*U120+V225*V120+W225*W120+X225*X120+Y225*Y120+Z225*Z120+AA225*AA120+AB225*AB120+AC225*AC120+AD225*AD120+AE225*AE120+AF225*AF120+AG225*AG120+AH225*AH120+AI225*AI120+AJ225*AJ120+AK225*AK120+AL225*AL120+AM225*AM120+AN225*AN120+AO225*AO120+AP225*AP120+AQ225*AQ120+AR225*AR120+AS225*AS120+AT225*AT120+AU225*AU120+AV225*AV120+AW225*AW120+AX225*AX120+AY225*AY120+AZ225*AZ120+BA225*BA120+BB225*BB120+BC225*BC120+BD225*BD120+BE225*BE120+BF225*BF120+BG225*BG120+BH225*BH120+BI225*BI120+BJ225*BJ120+BK225*BK120+BL225*BL120+BM225*BM120+BN225*BN120+BO225*BO120+BP225*BP120+BQ225*BQ120+BR225*BR120+BS225*BS120+BT225*BT120+BU225*BU120+BV225*BV120+BW225*BW120+BX225*BX120+BY225*BY120+BZ225*BZ120+CA225*CA120+CB225*CB120+CC225*CC120</f>
        <v>0</v>
      </c>
      <c r="CL120" s="2387">
        <f>E226*E120+F226*F120+G226*G120+H226*H120+I226*I120+J226*J120+K226*K120+L226*L120+M226*M120+N226*N120+O226*O120+P226*P120+Q226*Q120+R226*R120+S226*S120+T226*T120+U226*U120+V226*V120+W226*W120+X226*X120+Y226*Y120+Z226*Z120+AA226*AA120+AB226*AB120+AC226*AC120+AD226*AD120+AE226*AE120+AF226*AF120+AG226*AG120+AH226*AH120+AI226*AI120+AJ226*AJ120+AK226*AK120+AL226*AL120+AM226*AM120+AN226*AN120+AO226*AO120+AP226*AP120+AQ226*AQ120+AR226*AR120+AS226*AS120+AT226*AT120+AU226*AU120+AV226*AV120+AW226*AW120+AX226*AX120+AY226*AY120+AZ226*AZ120+BA226*BA120+BB226*BB120+BC226*BC120+BD226*BD120+BE226*BE120+BF226*BF120+BG226*BG120+BH226*BH120+BI226*BI120+BJ226*BJ120+BK226*BK120+BL226*BL120+BM226*BM120+BN226*BN120+BO226*BO120+BP226*BP120+BQ226*BQ120+BR226*BR120+BS226*BS120+BT226*BT120+BU226*BU120+BV226*BV120+BW226*BW120+BX226*BX120+BY226*BY120+BZ226*BZ120+CA226*CA120+CB226*CB120+CC226*CC120</f>
        <v>0</v>
      </c>
      <c r="CM120" s="2387">
        <f>E227*E120+F227*F120+G227*G120+H227*H120+I227*I120+J227*J120+K227*K120+L227*L120+M227*M120+N227*N120+O227*O120+P227*P120+Q227*Q120+R227*R120+S227*S120+T227*T120+U227*U120+V227*V120+W227*W120+X227*X120+Y227*Y120+Z227*Z120+AA227*AA120+AB227*AB120+AC227*AC120+AD227*AD120+AE227*AE120+AF227*AF120+AG227*AG120+AH227*AH120+AI227*AI120+AJ227*AJ120+AK227*AK120+AL227*AL120+AM227*AM120+AN227*AN120+AO227*AO120+AP227*AP120+AQ227*AQ120+AR227*AR120+AS227*AS120+AT227*AT120+AU227*AU120+AV227*AV120+AW227*AW120+AX227*AX120+AY227*AY120+AZ227*AZ120+BA227*BA120+BB227*BB120+BC227*BC120+BD227*BD120+BE227*BE120+BF227*BF120+BG227*BG120+BH227*BH120+BI227*BI120+BJ227*BJ120+BK227*BK120+BL227*BL120+BM227*BM120+BN227*BN120+BO227*BO120+BP227*BP120+BQ227*BQ120+BR227*BR120+BS227*BS120+BT227*BT120+BU227*BU120+BV227*BV120+BW227*BW120+BX227*BX120+BY227*BY120+BZ227*BZ120+CA227*CA120+CB227*CB120+CC227*CC120</f>
        <v>0</v>
      </c>
      <c r="CN120" s="2387">
        <f>E228*E120+F228*F120+G228*G120+H228*H120+I228*I120+J228*J120+K228*K120+L228*L120+M228*M120+N228*N120+O228*O120+P228*P120+Q228*Q120+R228*R120+S228*S120+T228*T120+U228*U120+V228*V120+W228*W120+X228*X120+Y228*Y120+Z228*Z120+AA228*AA120+AB228*AB120+AC228*AC120+AD228*AD120+AE228*AE120+AF228*AF120+AG228*AG120+AH228*AH120+AI228*AI120+AJ228*AJ120+AK228*AK120+AL228*AL120+AM228*AM120+AN228*AN120+AO228*AO120+AP228*AP120+AQ228*AQ120+AR228*AR120+AS228*AS120+AT228*AT120+AU228*AU120+AV228*AV120+AW228*AW120+AX228*AX120+AY228*AY120+AZ228*AZ120+BA228*BA120+BB228*BB120+BC228*BC120+BD228*BD120+BE228*BE120+BF228*BF120+BG228*BG120+BH228*BH120+BI228*BI120+BJ228*BJ120+BK228*BK120+BL228*BL120+BM228*BM120+BN228*BN120+BO228*BO120+BP228*BP120+BQ228*BQ120+BR228*BR120+BS228*BS120+BT228*BT120+BU228*BU120+BV228*BV120+BW228*BW120+BX228*BX120+BY228*BY120+BZ228*BZ120+CA228*CA120+CB228*CB120+CC228*CC120</f>
        <v>0</v>
      </c>
      <c r="CO120" s="2387">
        <f>E229*E120+F229*F120+G229*G120+H229*H120+I229*I120+J229*J120+K229*K120+L229*L120+M229*M120+N229*N120+O229*O120+P229*P120+Q229*Q120+R229*R120+S229*S120+T229*T120+U229*U120+V229*V120+W229*W120+X229*X120+Y229*Y120+Z229*Z120+AA229*AA120+AB229*AB120+AC229*AC120+AD229*AD120+AE229*AE120+AF229*AF120+AG229*AG120+AH229*AH120+AI229*AI120+AJ229*AJ120+AK229*AK120+AL229*AL120+AM229*AM120+AN229*AN120+AO229*AO120+AP229*AP120+AQ229*AQ120+AR229*AR120+AS229*AS120+AT229*AT120+AU229*AU120+AV229*AV120+AW229*AW120+AX229*AX120+AY229*AY120+AZ229*AZ120+BA229*BA120+BB229*BB120+BC229*BC120+BD229*BD120+BE229*BE120+BF229*BF120+BG229*BG120+BH229*BH120+BI229*BI120+BJ229*BJ120+BK229*BK120+BL229*BL120+BM229*BM120+BN229*BN120+BO229*BO120+BP229*BP120+BQ229*BQ120+BR229*BR120+BS229*BS120+BT229*BT120+BU229*BU120+BV229*BV120+BW229*BW120+BX229*BX120+BY229*BY120+BZ229*BZ120+CA229*CA120+CB229*CB120+CC229*CC120</f>
        <v>0</v>
      </c>
      <c r="CP120" s="2387">
        <f>E230*E120+F230*F120+G230*G120+H230*H120+I230*I120+J230*J120+K230*K120+L230*L120+M230*M120+N230*N120+O230*O120+P230*P120+Q230*Q120+R230*R120+S230*S120+T230*T120+U230*U120+V230*V120+W230*W120+X230*X120+Y230*Y120+Z230*Z120+AA230*AA120+AB230*AB120+AC230*AC120+AD230*AD120+AE230*AE120+AF230*AF120+AG230*AG120+AH230*AH120+AI230*AI120+AJ230*AJ120+AK230*AK120+AL230*AL120+AM230*AM120+AN230*AN120+AO230*AO120+AP230*AP120+AQ230*AQ120+AR230*AR120+AS230*AS120+AT230*AT120+AU230*AU120+AV230*AV120+AW230*AW120+AX230*AX120+AY230*AY120+AZ230*AZ120+BA230*BA120+BB230*BB120+BC230*BC120+BD230*BD120+BE230*BE120+BF230*BF120+BG230*BG120+BH230*BH120+BI230*BI120+BJ230*BJ120+BK230*BK120+BL230*BL120+BM230*BM120+BN230*BN120+BO230*BO120+BP230*BP120+BQ230*BQ120+BR230*BR120+BS230*BS120+BT230*BT120+BU230*BU120+BV230*BV120+BW230*BW120+BX230*BX120+BY230*BY120+BZ230*BZ120+CA230*CA120+CB230*CB120+CC230*CC120</f>
        <v>0</v>
      </c>
    </row>
    <row r="121" spans="2:94" ht="18" x14ac:dyDescent="0.25">
      <c r="B121" s="1583">
        <v>2</v>
      </c>
      <c r="C121" s="1523" t="s">
        <v>224</v>
      </c>
      <c r="D121" s="619" t="s">
        <v>2270</v>
      </c>
      <c r="E121" s="971">
        <f>-1/Y_OHO_VFA_anox</f>
        <v>-2.2222222222222223</v>
      </c>
      <c r="F121" s="991">
        <f>0</f>
        <v>0</v>
      </c>
      <c r="G121" s="991">
        <f>0</f>
        <v>0</v>
      </c>
      <c r="H121" s="991">
        <f>0</f>
        <v>0</v>
      </c>
      <c r="I121" s="991">
        <f>0</f>
        <v>0</v>
      </c>
      <c r="J121" s="991">
        <f>0</f>
        <v>0</v>
      </c>
      <c r="K121" s="991">
        <f>0</f>
        <v>0</v>
      </c>
      <c r="L121" s="991">
        <f>0</f>
        <v>0</v>
      </c>
      <c r="M121" s="991">
        <f>0</f>
        <v>0</v>
      </c>
      <c r="N121" s="991">
        <f>0</f>
        <v>0</v>
      </c>
      <c r="O121" s="991">
        <f>0</f>
        <v>0</v>
      </c>
      <c r="P121" s="991">
        <f>0</f>
        <v>0</v>
      </c>
      <c r="Q121" s="991">
        <f>1</f>
        <v>1</v>
      </c>
      <c r="R121" s="991">
        <f>0</f>
        <v>0</v>
      </c>
      <c r="S121" s="991">
        <f>0</f>
        <v>0</v>
      </c>
      <c r="T121" s="991">
        <f>0</f>
        <v>0</v>
      </c>
      <c r="U121" s="991">
        <f>0</f>
        <v>0</v>
      </c>
      <c r="V121" s="991">
        <f>0</f>
        <v>0</v>
      </c>
      <c r="W121" s="991">
        <f>0</f>
        <v>0</v>
      </c>
      <c r="X121" s="991">
        <f>0</f>
        <v>0</v>
      </c>
      <c r="Y121" s="970">
        <f t="shared" si="0"/>
        <v>-7.0000000000000007E-2</v>
      </c>
      <c r="Z121" s="971">
        <f>-(1-Y_OHO_VFA_anox)/(E_EQN2_NO2*Y_OHO_VFA_anox)</f>
        <v>-0.71333091657603842</v>
      </c>
      <c r="AA121" s="971">
        <f>0</f>
        <v>0</v>
      </c>
      <c r="AB121" s="971">
        <f>(1-Y_OHO_VFA_anox)/(E_EQN2_NO2*Y_OHO_VFA_anox)</f>
        <v>0.71333091657603842</v>
      </c>
      <c r="AC121" s="991">
        <f>0</f>
        <v>0</v>
      </c>
      <c r="AD121" s="991">
        <f>0</f>
        <v>0</v>
      </c>
      <c r="AE121" s="991">
        <f>0</f>
        <v>0</v>
      </c>
      <c r="AF121" s="971">
        <f t="shared" si="1"/>
        <v>-0.02</v>
      </c>
      <c r="AG121" s="991">
        <f>0</f>
        <v>0</v>
      </c>
      <c r="AH121" s="991">
        <f>0</f>
        <v>0</v>
      </c>
      <c r="AI121" s="991">
        <f>0</f>
        <v>0</v>
      </c>
      <c r="AJ121" s="991">
        <f>0</f>
        <v>0</v>
      </c>
      <c r="AK121" s="970">
        <f>0</f>
        <v>0</v>
      </c>
      <c r="AL121" s="970">
        <f>0</f>
        <v>0</v>
      </c>
      <c r="AM121" s="970">
        <f>0</f>
        <v>0</v>
      </c>
      <c r="AN121" s="971">
        <f>i_CIT_VFA/Y_OHO_VFA_anox-i_CIT_BIO</f>
        <v>0.48133333333333328</v>
      </c>
      <c r="AO121" s="999">
        <f t="shared" si="2"/>
        <v>0.11</v>
      </c>
      <c r="AP121" s="999">
        <f t="shared" si="3"/>
        <v>-2.8804303582798466E-2</v>
      </c>
      <c r="AQ121" s="999">
        <f t="shared" si="4"/>
        <v>-7.0195696417201539E-2</v>
      </c>
      <c r="AR121" s="999">
        <f t="shared" si="5"/>
        <v>-5.5000000000000005E-3</v>
      </c>
      <c r="AS121" s="999">
        <f t="shared" si="6"/>
        <v>-5.5000000000000005E-3</v>
      </c>
      <c r="AT121" s="970">
        <f>0</f>
        <v>0</v>
      </c>
      <c r="AU121" s="970">
        <f>0</f>
        <v>0</v>
      </c>
      <c r="AV121" s="970">
        <f>0</f>
        <v>0</v>
      </c>
      <c r="AW121" s="970">
        <f>0</f>
        <v>0</v>
      </c>
      <c r="AX121" s="970">
        <f>0</f>
        <v>0</v>
      </c>
      <c r="AY121" s="970">
        <f>0</f>
        <v>0</v>
      </c>
      <c r="AZ121" s="970">
        <f>0</f>
        <v>0</v>
      </c>
      <c r="BA121" s="970">
        <f>0</f>
        <v>0</v>
      </c>
      <c r="BB121" s="970">
        <f>0</f>
        <v>0</v>
      </c>
      <c r="BC121" s="970">
        <f>0</f>
        <v>0</v>
      </c>
      <c r="BD121" s="970">
        <f>0</f>
        <v>0</v>
      </c>
      <c r="BE121" s="970">
        <f>0</f>
        <v>0</v>
      </c>
      <c r="BF121" s="970">
        <f>0</f>
        <v>0</v>
      </c>
      <c r="BG121" s="970">
        <f>0</f>
        <v>0</v>
      </c>
      <c r="BH121" s="970">
        <f>0</f>
        <v>0</v>
      </c>
      <c r="BI121" s="970">
        <f>0</f>
        <v>0</v>
      </c>
      <c r="BJ121" s="970">
        <f>0</f>
        <v>0</v>
      </c>
      <c r="BK121" s="970">
        <f>0</f>
        <v>0</v>
      </c>
      <c r="BL121" s="1634">
        <f>0</f>
        <v>0</v>
      </c>
      <c r="BM121" s="970">
        <f>0</f>
        <v>0</v>
      </c>
      <c r="BN121" s="970">
        <f>0</f>
        <v>0</v>
      </c>
      <c r="BO121" s="970">
        <f>0</f>
        <v>0</v>
      </c>
      <c r="BP121" s="970">
        <f>0</f>
        <v>0</v>
      </c>
      <c r="BQ121" s="2363">
        <f>0</f>
        <v>0</v>
      </c>
      <c r="BR121" s="970">
        <f>0</f>
        <v>0</v>
      </c>
      <c r="BS121" s="970">
        <f>0</f>
        <v>0</v>
      </c>
      <c r="BT121" s="970">
        <f>0</f>
        <v>0</v>
      </c>
      <c r="BU121" s="970">
        <f>0</f>
        <v>0</v>
      </c>
      <c r="BV121" s="970">
        <f>0</f>
        <v>0</v>
      </c>
      <c r="BW121" s="970">
        <f>0</f>
        <v>0</v>
      </c>
      <c r="BX121" s="970">
        <f>0</f>
        <v>0</v>
      </c>
      <c r="BY121" s="970">
        <f>0</f>
        <v>0</v>
      </c>
      <c r="BZ121" s="970">
        <f>0</f>
        <v>0</v>
      </c>
      <c r="CA121" s="970">
        <f>0</f>
        <v>0</v>
      </c>
      <c r="CB121" s="970">
        <f>0</f>
        <v>0</v>
      </c>
      <c r="CC121" s="970">
        <f>0</f>
        <v>0</v>
      </c>
      <c r="CD121" s="1650">
        <f>µ_OHO_T*X_OHO*η_OHO_anox*M_satSVFA_KVFA*M_satSNO2_KNO2_OHO*M_inhSO2_KO2_OHO*M_satSNHx_KNHx_BIO*M_satSPO4_KPO4_BIO*M_satSCAT_KCAT*M_satSAN_KAN*M_satSCa_KCa*M_satSMg_KMg*B_ellinhpH</f>
        <v>1.0807662472863395</v>
      </c>
      <c r="CF121" s="2385">
        <f>E220*E121+F220*F121+G220*G121+H220*H121+I220*I121+J220*J121+K220*K121+L220*L121+M220*M121+N220*N121+O220*O121+P220*P121+Q220*Q121+R220*R121+S220*S121+T220*T121+U220*U121+V220*V121+W220*W121+X220*X121+Y220*Y121+Z220*Z121+AA220*AA121+AB220*AB121+AC220*AC121+AD220*AD121+AE220*AE121+AF220*AF121+AG220*AG121+AH220*AH121+AI220*AI121+AJ220*AJ121+AK220*AK121+AL220*AL121+AM220*AM121+AN220*AN121+AO220*AO121+AP220*AP121+AQ220*AQ121+AR220*AR121+AS220*AS121+AT220*AT121+AU220*AU121+AV220*AV121+AW220*AW121+AX220*AX121+AY220*AY121+AZ220*AZ121+BA220*BA121+BB220*BB121+BC220*BC121+BD220*BD121+BE220*BE121+BF220*BF121+BG220*BG121+BH220*BH121+BI220*BI121+BJ220*BJ121+BK220*BK121+BL220*BL121+BM220*BM121+BN220*BN121+BO220*BO121+BP220*BP121+BQ220*BQ121+BR220*BR121+BS220*BS121+BT220*BT121+BU220*BU121+BV220*BV121+BW220*BW121+BX220*BX121+BY220*BY121+BZ220*BZ121+CA220*CA121+CB220*CB121+CC220*CC121</f>
        <v>0</v>
      </c>
      <c r="CG121" s="2385">
        <f>E221*E121+F221*F121+G221*G121+H221*H121+I221*I121+J221*J121+K221*K121+L221*L121+M221*M121+N221*N121+O221*O121+P221*P121+Q221*Q121+R221*R121+S221*S121+T221*T121+U221*U121+V221*V121+W221*W121+X221*X121+Y221*Y121+Z221*Z121+AA221*AA121+AB221*AB121+AC221*AC121+AD221*AD121+AE221*AE121+AF221*AF121+AG221*AG121+AH221*AH121+AI221*AI121+AJ221*AJ121+AK221*AK121+AL221*AL121+AM221*AM121+AN221*AN121+AO221*AO121+AP221*AP121+AQ221*AQ121+AR221*AR121+AS221*AS121+AT221*AT121+AU221*AU121+AV221*AV121+AW221*AW121+AX221*AX121+AY221*AY121+AZ221*AZ121+BA221*BA121+BB221*BB121+BC221*BC121+BD221*BD121+BE221*BE121+BF221*BF121+BG221*BG121+BH221*BH121+BI221*BI121+BJ221*BJ121+BK221*BK121+BL221*BL121+BM221*BM121+BN221*BN121+BO221*BO121+BP221*BP121+BQ221*BQ121+BR221*BR121+BS221*BS121+BT221*BT121+BU221*BU121+BV221*BV121+BW221*BW121+BX221*BX121+BY221*BY121+BZ221*BZ121+CA221*CA121+CB221*CB121+CC221*CC121</f>
        <v>-1.1102230246251565E-16</v>
      </c>
      <c r="CH121" s="2386">
        <f>E222*E121+F222*F121+G222*G121+H222*H121+I222*I121+J222*J121+K222*K121+L222*L121+M222*M121+N222*N121+O222*O121+P222*P121+Q222*Q121+R222*R121+S222*S121+T222*T121+U222*U121+V222*V121+W222*W121+X222*X121+Y222*Y121+Z222*Z121+AA222*AA121+AB222*AB121+AC222*AC121+AD222*AD121+AE222*AE121+AF222*AF121+AG222*AG121+AH222*AH121+AI222*AI121+AJ222*AJ121+AK222*AK121+AL222*AL121+AM222*AM121+AN222*AN121+AO222*AO121+AP222*AP121+AQ222*AQ121+AR222*AR121+AS222*AS121+AT222*AT121+AU222*AU121+AV222*AV121+AW222*AW121+AX222*AX121+AY222*AY121+AZ222*AZ121+BA222*BA121+BB222*BB121+BC222*BC121+BD222*BD121+BE222*BE121+BF222*BF121+BG222*BG121+BH222*BH121+BI222*BI121+BJ222*BJ121+BK222*BK121+BL222*BL121+BM222*BM121+BN222*BN121+BO222*BO121+BP222*BP121+BQ222*BQ121+BR222*BR121+BS222*BS121+BT222*BT121+BU222*BU121+BV222*BV121+BW222*BW121+BX222*BX121+BY222*BY121+BZ222*BZ121+CA222*CA121+CB222*CB121+CC222*CC121</f>
        <v>0</v>
      </c>
      <c r="CI121" s="2387">
        <f>E223*E121+F223*F121+G223*G121+H223*H121+I223*I121+J223*J121+K223*K121+L223*L121+M223*M121+N223*N121+O223*O121+P223*P121+Q223*Q121+R223*R121+S223*S121+T223*T121+U223*U121+V223*V121+W223*W121+X223*X121+Y223*Y121+Z223*Z121+AA223*AA121+AB223*AB121+AC223*AC121+AD223*AD121+AE223*AE121+AF223*AF121+AG223*AG121+AH223*AH121+AI223*AI121+AJ223*AJ121+AK223*AK121+AL223*AL121+AM223*AM121+AN223*AN121+AO223*AO121+AP223*AP121+AQ223*AQ121+AR223*AR121+AS223*AS121+AT223*AT121+AU223*AU121+AV223*AV121+AW223*AW121+AX223*AX121+AY223*AY121+AZ223*AZ121+BA223*BA121+BB223*BB121+BC223*BC121+BD223*BD121+BE223*BE121+BF223*BF121+BG223*BG121+BH223*BH121+BI223*BI121+BJ223*BJ121+BK223*BK121+BL223*BL121+BM223*BM121+BN223*BN121+BO223*BO121+BP223*BP121+BQ223*BQ121+BR223*BR121+BS223*BS121+BT223*BT121+BU223*BU121+BV223*BV121+BW223*BW121+BX223*BX121+BY223*BY121+BZ223*BZ121+CA223*CA121+CB223*CB121+CC223*CC121</f>
        <v>0</v>
      </c>
      <c r="CJ121" s="2387">
        <f>E224*E121+F224*F121+G224*G121+H224*H121+I224*I121+J224*J121+K224*K121+L224*L121+M224*M121+N224*N121+O224*O121+P224*P121+Q224*Q121+R224*R121+S224*S121+T224*T121+U224*U121+V224*V121+W224*W121+X224*X121+Y224*Y121+Z224*Z121+AA224*AA121+AB224*AB121+AC224*AC121+AD224*AD121+AE224*AE121+AF224*AF121+AG224*AG121+AH224*AH121+AI224*AI121+AJ224*AJ121+AK224*AK121+AL224*AL121+AM224*AM121+AN224*AN121+AO224*AO121+AP224*AP121+AQ224*AQ121+AR224*AR121+AS224*AS121+AT224*AT121+AU224*AU121+AV224*AV121+AW224*AW121+AX224*AX121+AY224*AY121+AZ224*AZ121+BA224*BA121+BB224*BB121+BC224*BC121+BD224*BD121+BE224*BE121+BF224*BF121+BG224*BG121+BH224*BH121+BI224*BI121+BJ224*BJ121+BK224*BK121+BL224*BL121+BM224*BM121+BN224*BN121+BO224*BO121+BP224*BP121+BQ224*BQ121+BR224*BR121+BS224*BS121+BT224*BT121+BU224*BU121+BV224*BV121+BW224*BW121+BX224*BX121+BY224*BY121+BZ224*BZ121+CA224*CA121+CB224*CB121+CC224*CC121</f>
        <v>0</v>
      </c>
      <c r="CK121" s="2387">
        <f>E225*E121+F225*F121+G225*G121+H225*H121+I225*I121+J225*J121+K225*K121+L225*L121+M225*M121+N225*N121+O225*O121+P225*P121+Q225*Q121+R225*R121+S225*S121+T225*T121+U225*U121+V225*V121+W225*W121+X225*X121+Y225*Y121+Z225*Z121+AA225*AA121+AB225*AB121+AC225*AC121+AD225*AD121+AE225*AE121+AF225*AF121+AG225*AG121+AH225*AH121+AI225*AI121+AJ225*AJ121+AK225*AK121+AL225*AL121+AM225*AM121+AN225*AN121+AO225*AO121+AP225*AP121+AQ225*AQ121+AR225*AR121+AS225*AS121+AT225*AT121+AU225*AU121+AV225*AV121+AW225*AW121+AX225*AX121+AY225*AY121+AZ225*AZ121+BA225*BA121+BB225*BB121+BC225*BC121+BD225*BD121+BE225*BE121+BF225*BF121+BG225*BG121+BH225*BH121+BI225*BI121+BJ225*BJ121+BK225*BK121+BL225*BL121+BM225*BM121+BN225*BN121+BO225*BO121+BP225*BP121+BQ225*BQ121+BR225*BR121+BS225*BS121+BT225*BT121+BU225*BU121+BV225*BV121+BW225*BW121+BX225*BX121+BY225*BY121+BZ225*BZ121+CA225*CA121+CB225*CB121+CC225*CC121</f>
        <v>0</v>
      </c>
      <c r="CL121" s="2387">
        <f>E226*E121+F226*F121+G226*G121+H226*H121+I226*I121+J226*J121+K226*K121+L226*L121+M226*M121+N226*N121+O226*O121+P226*P121+Q226*Q121+R226*R121+S226*S121+T226*T121+U226*U121+V226*V121+W226*W121+X226*X121+Y226*Y121+Z226*Z121+AA226*AA121+AB226*AB121+AC226*AC121+AD226*AD121+AE226*AE121+AF226*AF121+AG226*AG121+AH226*AH121+AI226*AI121+AJ226*AJ121+AK226*AK121+AL226*AL121+AM226*AM121+AN226*AN121+AO226*AO121+AP226*AP121+AQ226*AQ121+AR226*AR121+AS226*AS121+AT226*AT121+AU226*AU121+AV226*AV121+AW226*AW121+AX226*AX121+AY226*AY121+AZ226*AZ121+BA226*BA121+BB226*BB121+BC226*BC121+BD226*BD121+BE226*BE121+BF226*BF121+BG226*BG121+BH226*BH121+BI226*BI121+BJ226*BJ121+BK226*BK121+BL226*BL121+BM226*BM121+BN226*BN121+BO226*BO121+BP226*BP121+BQ226*BQ121+BR226*BR121+BS226*BS121+BT226*BT121+BU226*BU121+BV226*BV121+BW226*BW121+BX226*BX121+BY226*BY121+BZ226*BZ121+CA226*CA121+CB226*CB121+CC226*CC121</f>
        <v>0</v>
      </c>
      <c r="CM121" s="2387">
        <f>E227*E121+F227*F121+G227*G121+H227*H121+I227*I121+J227*J121+K227*K121+L227*L121+M227*M121+N227*N121+O227*O121+P227*P121+Q227*Q121+R227*R121+S227*S121+T227*T121+U227*U121+V227*V121+W227*W121+X227*X121+Y227*Y121+Z227*Z121+AA227*AA121+AB227*AB121+AC227*AC121+AD227*AD121+AE227*AE121+AF227*AF121+AG227*AG121+AH227*AH121+AI227*AI121+AJ227*AJ121+AK227*AK121+AL227*AL121+AM227*AM121+AN227*AN121+AO227*AO121+AP227*AP121+AQ227*AQ121+AR227*AR121+AS227*AS121+AT227*AT121+AU227*AU121+AV227*AV121+AW227*AW121+AX227*AX121+AY227*AY121+AZ227*AZ121+BA227*BA121+BB227*BB121+BC227*BC121+BD227*BD121+BE227*BE121+BF227*BF121+BG227*BG121+BH227*BH121+BI227*BI121+BJ227*BJ121+BK227*BK121+BL227*BL121+BM227*BM121+BN227*BN121+BO227*BO121+BP227*BP121+BQ227*BQ121+BR227*BR121+BS227*BS121+BT227*BT121+BU227*BU121+BV227*BV121+BW227*BW121+BX227*BX121+BY227*BY121+BZ227*BZ121+CA227*CA121+CB227*CB121+CC227*CC121</f>
        <v>0</v>
      </c>
      <c r="CN121" s="2387">
        <f>E228*E121+F228*F121+G228*G121+H228*H121+I228*I121+J228*J121+K228*K121+L228*L121+M228*M121+N228*N121+O228*O121+P228*P121+Q228*Q121+R228*R121+S228*S121+T228*T121+U228*U121+V228*V121+W228*W121+X228*X121+Y228*Y121+Z228*Z121+AA228*AA121+AB228*AB121+AC228*AC121+AD228*AD121+AE228*AE121+AF228*AF121+AG228*AG121+AH228*AH121+AI228*AI121+AJ228*AJ121+AK228*AK121+AL228*AL121+AM228*AM121+AN228*AN121+AO228*AO121+AP228*AP121+AQ228*AQ121+AR228*AR121+AS228*AS121+AT228*AT121+AU228*AU121+AV228*AV121+AW228*AW121+AX228*AX121+AY228*AY121+AZ228*AZ121+BA228*BA121+BB228*BB121+BC228*BC121+BD228*BD121+BE228*BE121+BF228*BF121+BG228*BG121+BH228*BH121+BI228*BI121+BJ228*BJ121+BK228*BK121+BL228*BL121+BM228*BM121+BN228*BN121+BO228*BO121+BP228*BP121+BQ228*BQ121+BR228*BR121+BS228*BS121+BT228*BT121+BU228*BU121+BV228*BV121+BW228*BW121+BX228*BX121+BY228*BY121+BZ228*BZ121+CA228*CA121+CB228*CB121+CC228*CC121</f>
        <v>0</v>
      </c>
      <c r="CO121" s="2387">
        <f>E229*E121+F229*F121+G229*G121+H229*H121+I229*I121+J229*J121+K229*K121+L229*L121+M229*M121+N229*N121+O229*O121+P229*P121+Q229*Q121+R229*R121+S229*S121+T229*T121+U229*U121+V229*V121+W229*W121+X229*X121+Y229*Y121+Z229*Z121+AA229*AA121+AB229*AB121+AC229*AC121+AD229*AD121+AE229*AE121+AF229*AF121+AG229*AG121+AH229*AH121+AI229*AI121+AJ229*AJ121+AK229*AK121+AL229*AL121+AM229*AM121+AN229*AN121+AO229*AO121+AP229*AP121+AQ229*AQ121+AR229*AR121+AS229*AS121+AT229*AT121+AU229*AU121+AV229*AV121+AW229*AW121+AX229*AX121+AY229*AY121+AZ229*AZ121+BA229*BA121+BB229*BB121+BC229*BC121+BD229*BD121+BE229*BE121+BF229*BF121+BG229*BG121+BH229*BH121+BI229*BI121+BJ229*BJ121+BK229*BK121+BL229*BL121+BM229*BM121+BN229*BN121+BO229*BO121+BP229*BP121+BQ229*BQ121+BR229*BR121+BS229*BS121+BT229*BT121+BU229*BU121+BV229*BV121+BW229*BW121+BX229*BX121+BY229*BY121+BZ229*BZ121+CA229*CA121+CB229*CB121+CC229*CC121</f>
        <v>0</v>
      </c>
      <c r="CP121" s="2387">
        <f>E230*E121+F230*F121+G230*G121+H230*H121+I230*I121+J230*J121+K230*K121+L230*L121+M230*M121+N230*N121+O230*O121+P230*P121+Q230*Q121+R230*R121+S230*S121+T230*T121+U230*U121+V230*V121+W230*W121+X230*X121+Y230*Y121+Z230*Z121+AA230*AA121+AB230*AB121+AC230*AC121+AD230*AD121+AE230*AE121+AF230*AF121+AG230*AG121+AH230*AH121+AI230*AI121+AJ230*AJ121+AK230*AK121+AL230*AL121+AM230*AM121+AN230*AN121+AO230*AO121+AP230*AP121+AQ230*AQ121+AR230*AR121+AS230*AS121+AT230*AT121+AU230*AU121+AV230*AV121+AW230*AW121+AX230*AX121+AY230*AY121+AZ230*AZ121+BA230*BA121+BB230*BB121+BC230*BC121+BD230*BD121+BE230*BE121+BF230*BF121+BG230*BG121+BH230*BH121+BI230*BI121+BJ230*BJ121+BK230*BK121+BL230*BL121+BM230*BM121+BN230*BN121+BO230*BO121+BP230*BP121+BQ230*BQ121+BR230*BR121+BS230*BS121+BT230*BT121+BU230*BU121+BV230*BV121+BW230*BW121+BX230*BX121+BY230*BY121+BZ230*BZ121+CA230*CA121+CB230*CB121+CC230*CC121</f>
        <v>0</v>
      </c>
    </row>
    <row r="122" spans="2:94" ht="18" x14ac:dyDescent="0.25">
      <c r="B122" s="1583">
        <v>3</v>
      </c>
      <c r="C122" s="1523" t="s">
        <v>225</v>
      </c>
      <c r="D122" s="619" t="s">
        <v>1657</v>
      </c>
      <c r="E122" s="971">
        <f>-1/Y_OHO_VFA_anox</f>
        <v>-2.2222222222222223</v>
      </c>
      <c r="F122" s="972">
        <f>0</f>
        <v>0</v>
      </c>
      <c r="G122" s="972">
        <f>0</f>
        <v>0</v>
      </c>
      <c r="H122" s="972">
        <f>0</f>
        <v>0</v>
      </c>
      <c r="I122" s="972">
        <f>0</f>
        <v>0</v>
      </c>
      <c r="J122" s="972">
        <f>0</f>
        <v>0</v>
      </c>
      <c r="K122" s="972">
        <f>0</f>
        <v>0</v>
      </c>
      <c r="L122" s="972">
        <f>0</f>
        <v>0</v>
      </c>
      <c r="M122" s="972">
        <f>0</f>
        <v>0</v>
      </c>
      <c r="N122" s="972">
        <f>0</f>
        <v>0</v>
      </c>
      <c r="O122" s="972">
        <f>0</f>
        <v>0</v>
      </c>
      <c r="P122" s="972">
        <f>0</f>
        <v>0</v>
      </c>
      <c r="Q122" s="972">
        <f>1</f>
        <v>1</v>
      </c>
      <c r="R122" s="972">
        <f>0</f>
        <v>0</v>
      </c>
      <c r="S122" s="972">
        <f>0</f>
        <v>0</v>
      </c>
      <c r="T122" s="972">
        <f>0</f>
        <v>0</v>
      </c>
      <c r="U122" s="972">
        <f>0</f>
        <v>0</v>
      </c>
      <c r="V122" s="972">
        <f>0</f>
        <v>0</v>
      </c>
      <c r="W122" s="972">
        <f>0</f>
        <v>0</v>
      </c>
      <c r="X122" s="972">
        <f>0</f>
        <v>0</v>
      </c>
      <c r="Y122" s="971">
        <f t="shared" si="0"/>
        <v>-7.0000000000000007E-2</v>
      </c>
      <c r="Z122" s="971">
        <f>(1-Y_OHO_VFA_anox)/(E_EQNO2_NO3*Y_OHO_VFA_anox)</f>
        <v>1.0699963748640577</v>
      </c>
      <c r="AA122" s="971">
        <f>-(1-Y_OHO_VFA_anox)/(E_EQNO2_NO3*Y_OHO_VFA_anox)</f>
        <v>-1.0699963748640577</v>
      </c>
      <c r="AB122" s="971">
        <f>0</f>
        <v>0</v>
      </c>
      <c r="AC122" s="972">
        <f>0</f>
        <v>0</v>
      </c>
      <c r="AD122" s="972">
        <f>0</f>
        <v>0</v>
      </c>
      <c r="AE122" s="972">
        <f>0</f>
        <v>0</v>
      </c>
      <c r="AF122" s="971">
        <f t="shared" si="1"/>
        <v>-0.02</v>
      </c>
      <c r="AG122" s="972">
        <f>0</f>
        <v>0</v>
      </c>
      <c r="AH122" s="972">
        <f>0</f>
        <v>0</v>
      </c>
      <c r="AI122" s="972">
        <f>0</f>
        <v>0</v>
      </c>
      <c r="AJ122" s="972">
        <f>0</f>
        <v>0</v>
      </c>
      <c r="AK122" s="971">
        <f>0</f>
        <v>0</v>
      </c>
      <c r="AL122" s="971">
        <f>0</f>
        <v>0</v>
      </c>
      <c r="AM122" s="971">
        <f>0</f>
        <v>0</v>
      </c>
      <c r="AN122" s="971">
        <f>i_CIT_VFA/Y_OHO_VFA_anox-i_CIT_BIO</f>
        <v>0.48133333333333328</v>
      </c>
      <c r="AO122" s="999">
        <f t="shared" si="2"/>
        <v>0.11</v>
      </c>
      <c r="AP122" s="999">
        <f t="shared" si="3"/>
        <v>-2.8804303582798466E-2</v>
      </c>
      <c r="AQ122" s="999">
        <f t="shared" si="4"/>
        <v>-7.0195696417201539E-2</v>
      </c>
      <c r="AR122" s="999">
        <f t="shared" si="5"/>
        <v>-5.5000000000000005E-3</v>
      </c>
      <c r="AS122" s="999">
        <f t="shared" si="6"/>
        <v>-5.5000000000000005E-3</v>
      </c>
      <c r="AT122" s="971">
        <f>0</f>
        <v>0</v>
      </c>
      <c r="AU122" s="971">
        <f>0</f>
        <v>0</v>
      </c>
      <c r="AV122" s="971">
        <f>0</f>
        <v>0</v>
      </c>
      <c r="AW122" s="971">
        <f>0</f>
        <v>0</v>
      </c>
      <c r="AX122" s="971">
        <f>0</f>
        <v>0</v>
      </c>
      <c r="AY122" s="971">
        <f>0</f>
        <v>0</v>
      </c>
      <c r="AZ122" s="971">
        <f>0</f>
        <v>0</v>
      </c>
      <c r="BA122" s="971">
        <f>0</f>
        <v>0</v>
      </c>
      <c r="BB122" s="971">
        <f>0</f>
        <v>0</v>
      </c>
      <c r="BC122" s="971">
        <f>0</f>
        <v>0</v>
      </c>
      <c r="BD122" s="971">
        <f>0</f>
        <v>0</v>
      </c>
      <c r="BE122" s="971">
        <f>0</f>
        <v>0</v>
      </c>
      <c r="BF122" s="971">
        <f>0</f>
        <v>0</v>
      </c>
      <c r="BG122" s="971">
        <f>0</f>
        <v>0</v>
      </c>
      <c r="BH122" s="971">
        <f>0</f>
        <v>0</v>
      </c>
      <c r="BI122" s="971">
        <f>0</f>
        <v>0</v>
      </c>
      <c r="BJ122" s="971">
        <f>0</f>
        <v>0</v>
      </c>
      <c r="BK122" s="971">
        <f>0</f>
        <v>0</v>
      </c>
      <c r="BL122" s="1634">
        <f>0</f>
        <v>0</v>
      </c>
      <c r="BM122" s="971">
        <f>0</f>
        <v>0</v>
      </c>
      <c r="BN122" s="971">
        <f>0</f>
        <v>0</v>
      </c>
      <c r="BO122" s="971">
        <f>0</f>
        <v>0</v>
      </c>
      <c r="BP122" s="1415">
        <f>0</f>
        <v>0</v>
      </c>
      <c r="BQ122" s="2364">
        <f>0</f>
        <v>0</v>
      </c>
      <c r="BR122" s="971">
        <f>0</f>
        <v>0</v>
      </c>
      <c r="BS122" s="971">
        <f>0</f>
        <v>0</v>
      </c>
      <c r="BT122" s="971">
        <f>0</f>
        <v>0</v>
      </c>
      <c r="BU122" s="971">
        <f>0</f>
        <v>0</v>
      </c>
      <c r="BV122" s="971">
        <f>0</f>
        <v>0</v>
      </c>
      <c r="BW122" s="971">
        <f>0</f>
        <v>0</v>
      </c>
      <c r="BX122" s="971">
        <f>0</f>
        <v>0</v>
      </c>
      <c r="BY122" s="971">
        <f>0</f>
        <v>0</v>
      </c>
      <c r="BZ122" s="971">
        <f>0</f>
        <v>0</v>
      </c>
      <c r="CA122" s="971">
        <f>0</f>
        <v>0</v>
      </c>
      <c r="CB122" s="971">
        <f>0</f>
        <v>0</v>
      </c>
      <c r="CC122" s="971">
        <f>0</f>
        <v>0</v>
      </c>
      <c r="CD122" s="1650">
        <f>µ_OHO_T*X_OHO*η_OHO_anox*M_satSVFA_KVFA*M_satSNO3_KNO3_OHO*M_inhSO2_KO2_OHO*M_inhSNO2_KNO2_OHO*M_satSNHx_KNHx_BIO*M_satSPO4_KPO4_BIO*M_satSCAT_KCAT*M_satSAN_KAN*M_satSCa_KCa*M_satSMg_KMg*B_ellinhpH</f>
        <v>0.52978737612075477</v>
      </c>
      <c r="CF122" s="2385">
        <f>E220*E122+F220*F122+G220*G122+H220*H122+I220*I122+J220*J122+K220*K122+L220*L122+M220*M122+N220*N122+O220*O122+P220*P122+Q220*Q122+R220*R122+S220*S122+T220*T122+U220*U122+V220*V122+W220*W122+X220*X122+Y220*Y122+Z220*Z122+AA220*AA122+AB220*AB122+AC220*AC122+AD220*AD122+AE220*AE122+AF220*AF122+AG220*AG122+AH220*AH122+AI220*AI122+AJ220*AJ122+AK220*AK122+AL220*AL122+AM220*AM122+AN220*AN122+AO220*AO122+AP220*AP122+AQ220*AQ122+AR220*AR122+AS220*AS122+AT220*AT122+AU220*AU122+AV220*AV122+AW220*AW122+AX220*AX122+AY220*AY122+AZ220*AZ122+BA220*BA122+BB220*BB122+BC220*BC122+BD220*BD122+BE220*BE122+BF220*BF122+BG220*BG122+BH220*BH122+BI220*BI122+BJ220*BJ122+BK220*BK122+BL220*BL122+BM220*BM122+BN220*BN122+BO220*BO122+BP220*BP122+BQ220*BQ122+BR220*BR122+BS220*BS122+BT220*BT122+BU220*BU122+BV220*BV122+BW220*BW122+BX220*BX122+BY220*BY122+BZ220*BZ122+CA220*CA122+CB220*CB122+CC220*CC122</f>
        <v>8.8817841970012523E-16</v>
      </c>
      <c r="CG122" s="2385">
        <f>E221*E122+F221*F122+G221*G122+H221*H122+I221*I122+J221*J122+K221*K122+L221*L122+M221*M122+N221*N122+O221*O122+P221*P122+Q221*Q122+R221*R122+S221*S122+T221*T122+U221*U122+V221*V122+W221*W122+X221*X122+Y221*Y122+Z221*Z122+AA221*AA122+AB221*AB122+AC221*AC122+AD221*AD122+AE221*AE122+AF221*AF122+AG221*AG122+AH221*AH122+AI221*AI122+AJ221*AJ122+AK221*AK122+AL221*AL122+AM221*AM122+AN221*AN122+AO221*AO122+AP221*AP122+AQ221*AQ122+AR221*AR122+AS221*AS122+AT221*AT122+AU221*AU122+AV221*AV122+AW221*AW122+AX221*AX122+AY221*AY122+AZ221*AZ122+BA221*BA122+BB221*BB122+BC221*BC122+BD221*BD122+BE221*BE122+BF221*BF122+BG221*BG122+BH221*BH122+BI221*BI122+BJ221*BJ122+BK221*BK122+BL221*BL122+BM221*BM122+BN221*BN122+BO221*BO122+BP221*BP122+BQ221*BQ122+BR221*BR122+BS221*BS122+BT221*BT122+BU221*BU122+BV221*BV122+BW221*BW122+BX221*BX122+BY221*BY122+BZ221*BZ122+CA221*CA122+CB221*CB122+CC221*CC122</f>
        <v>-1.1102230246251565E-16</v>
      </c>
      <c r="CH122" s="2386">
        <f>E222*E122+F222*F122+G222*G122+H222*H122+I222*I122+J222*J122+K222*K122+L222*L122+M222*M122+N222*N122+O222*O122+P222*P122+Q222*Q122+R222*R122+S222*S122+T222*T122+U222*U122+V222*V122+W222*W122+X222*X122+Y222*Y122+Z222*Z122+AA222*AA122+AB222*AB122+AC222*AC122+AD222*AD122+AE222*AE122+AF222*AF122+AG222*AG122+AH222*AH122+AI222*AI122+AJ222*AJ122+AK222*AK122+AL222*AL122+AM222*AM122+AN222*AN122+AO222*AO122+AP222*AP122+AQ222*AQ122+AR222*AR122+AS222*AS122+AT222*AT122+AU222*AU122+AV222*AV122+AW222*AW122+AX222*AX122+AY222*AY122+AZ222*AZ122+BA222*BA122+BB222*BB122+BC222*BC122+BD222*BD122+BE222*BE122+BF222*BF122+BG222*BG122+BH222*BH122+BI222*BI122+BJ222*BJ122+BK222*BK122+BL222*BL122+BM222*BM122+BN222*BN122+BO222*BO122+BP222*BP122+BQ222*BQ122+BR222*BR122+BS222*BS122+BT222*BT122+BU222*BU122+BV222*BV122+BW222*BW122+BX222*BX122+BY222*BY122+BZ222*BZ122+CA222*CA122+CB222*CB122+CC222*CC122</f>
        <v>0</v>
      </c>
      <c r="CI122" s="2387">
        <f>E223*E122+F223*F122+G223*G122+H223*H122+I223*I122+J223*J122+K223*K122+L223*L122+M223*M122+N223*N122+O223*O122+P223*P122+Q223*Q122+R223*R122+S223*S122+T223*T122+U223*U122+V223*V122+W223*W122+X223*X122+Y223*Y122+Z223*Z122+AA223*AA122+AB223*AB122+AC223*AC122+AD223*AD122+AE223*AE122+AF223*AF122+AG223*AG122+AH223*AH122+AI223*AI122+AJ223*AJ122+AK223*AK122+AL223*AL122+AM223*AM122+AN223*AN122+AO223*AO122+AP223*AP122+AQ223*AQ122+AR223*AR122+AS223*AS122+AT223*AT122+AU223*AU122+AV223*AV122+AW223*AW122+AX223*AX122+AY223*AY122+AZ223*AZ122+BA223*BA122+BB223*BB122+BC223*BC122+BD223*BD122+BE223*BE122+BF223*BF122+BG223*BG122+BH223*BH122+BI223*BI122+BJ223*BJ122+BK223*BK122+BL223*BL122+BM223*BM122+BN223*BN122+BO223*BO122+BP223*BP122+BQ223*BQ122+BR223*BR122+BS223*BS122+BT223*BT122+BU223*BU122+BV223*BV122+BW223*BW122+BX223*BX122+BY223*BY122+BZ223*BZ122+CA223*CA122+CB223*CB122+CC223*CC122</f>
        <v>0</v>
      </c>
      <c r="CJ122" s="2387">
        <f>E224*E122+F224*F122+G224*G122+H224*H122+I224*I122+J224*J122+K224*K122+L224*L122+M224*M122+N224*N122+O224*O122+P224*P122+Q224*Q122+R224*R122+S224*S122+T224*T122+U224*U122+V224*V122+W224*W122+X224*X122+Y224*Y122+Z224*Z122+AA224*AA122+AB224*AB122+AC224*AC122+AD224*AD122+AE224*AE122+AF224*AF122+AG224*AG122+AH224*AH122+AI224*AI122+AJ224*AJ122+AK224*AK122+AL224*AL122+AM224*AM122+AN224*AN122+AO224*AO122+AP224*AP122+AQ224*AQ122+AR224*AR122+AS224*AS122+AT224*AT122+AU224*AU122+AV224*AV122+AW224*AW122+AX224*AX122+AY224*AY122+AZ224*AZ122+BA224*BA122+BB224*BB122+BC224*BC122+BD224*BD122+BE224*BE122+BF224*BF122+BG224*BG122+BH224*BH122+BI224*BI122+BJ224*BJ122+BK224*BK122+BL224*BL122+BM224*BM122+BN224*BN122+BO224*BO122+BP224*BP122+BQ224*BQ122+BR224*BR122+BS224*BS122+BT224*BT122+BU224*BU122+BV224*BV122+BW224*BW122+BX224*BX122+BY224*BY122+BZ224*BZ122+CA224*CA122+CB224*CB122+CC224*CC122</f>
        <v>0</v>
      </c>
      <c r="CK122" s="2387">
        <f>E225*E122+F225*F122+G225*G122+H225*H122+I225*I122+J225*J122+K225*K122+L225*L122+M225*M122+N225*N122+O225*O122+P225*P122+Q225*Q122+R225*R122+S225*S122+T225*T122+U225*U122+V225*V122+W225*W122+X225*X122+Y225*Y122+Z225*Z122+AA225*AA122+AB225*AB122+AC225*AC122+AD225*AD122+AE225*AE122+AF225*AF122+AG225*AG122+AH225*AH122+AI225*AI122+AJ225*AJ122+AK225*AK122+AL225*AL122+AM225*AM122+AN225*AN122+AO225*AO122+AP225*AP122+AQ225*AQ122+AR225*AR122+AS225*AS122+AT225*AT122+AU225*AU122+AV225*AV122+AW225*AW122+AX225*AX122+AY225*AY122+AZ225*AZ122+BA225*BA122+BB225*BB122+BC225*BC122+BD225*BD122+BE225*BE122+BF225*BF122+BG225*BG122+BH225*BH122+BI225*BI122+BJ225*BJ122+BK225*BK122+BL225*BL122+BM225*BM122+BN225*BN122+BO225*BO122+BP225*BP122+BQ225*BQ122+BR225*BR122+BS225*BS122+BT225*BT122+BU225*BU122+BV225*BV122+BW225*BW122+BX225*BX122+BY225*BY122+BZ225*BZ122+CA225*CA122+CB225*CB122+CC225*CC122</f>
        <v>0</v>
      </c>
      <c r="CL122" s="2387">
        <f>E226*E122+F226*F122+G226*G122+H226*H122+I226*I122+J226*J122+K226*K122+L226*L122+M226*M122+N226*N122+O226*O122+P226*P122+Q226*Q122+R226*R122+S226*S122+T226*T122+U226*U122+V226*V122+W226*W122+X226*X122+Y226*Y122+Z226*Z122+AA226*AA122+AB226*AB122+AC226*AC122+AD226*AD122+AE226*AE122+AF226*AF122+AG226*AG122+AH226*AH122+AI226*AI122+AJ226*AJ122+AK226*AK122+AL226*AL122+AM226*AM122+AN226*AN122+AO226*AO122+AP226*AP122+AQ226*AQ122+AR226*AR122+AS226*AS122+AT226*AT122+AU226*AU122+AV226*AV122+AW226*AW122+AX226*AX122+AY226*AY122+AZ226*AZ122+BA226*BA122+BB226*BB122+BC226*BC122+BD226*BD122+BE226*BE122+BF226*BF122+BG226*BG122+BH226*BH122+BI226*BI122+BJ226*BJ122+BK226*BK122+BL226*BL122+BM226*BM122+BN226*BN122+BO226*BO122+BP226*BP122+BQ226*BQ122+BR226*BR122+BS226*BS122+BT226*BT122+BU226*BU122+BV226*BV122+BW226*BW122+BX226*BX122+BY226*BY122+BZ226*BZ122+CA226*CA122+CB226*CB122+CC226*CC122</f>
        <v>0</v>
      </c>
      <c r="CM122" s="2387">
        <f>E227*E122+F227*F122+G227*G122+H227*H122+I227*I122+J227*J122+K227*K122+L227*L122+M227*M122+N227*N122+O227*O122+P227*P122+Q227*Q122+R227*R122+S227*S122+T227*T122+U227*U122+V227*V122+W227*W122+X227*X122+Y227*Y122+Z227*Z122+AA227*AA122+AB227*AB122+AC227*AC122+AD227*AD122+AE227*AE122+AF227*AF122+AG227*AG122+AH227*AH122+AI227*AI122+AJ227*AJ122+AK227*AK122+AL227*AL122+AM227*AM122+AN227*AN122+AO227*AO122+AP227*AP122+AQ227*AQ122+AR227*AR122+AS227*AS122+AT227*AT122+AU227*AU122+AV227*AV122+AW227*AW122+AX227*AX122+AY227*AY122+AZ227*AZ122+BA227*BA122+BB227*BB122+BC227*BC122+BD227*BD122+BE227*BE122+BF227*BF122+BG227*BG122+BH227*BH122+BI227*BI122+BJ227*BJ122+BK227*BK122+BL227*BL122+BM227*BM122+BN227*BN122+BO227*BO122+BP227*BP122+BQ227*BQ122+BR227*BR122+BS227*BS122+BT227*BT122+BU227*BU122+BV227*BV122+BW227*BW122+BX227*BX122+BY227*BY122+BZ227*BZ122+CA227*CA122+CB227*CB122+CC227*CC122</f>
        <v>0</v>
      </c>
      <c r="CN122" s="2387">
        <f>E228*E122+F228*F122+G228*G122+H228*H122+I228*I122+J228*J122+K228*K122+L228*L122+M228*M122+N228*N122+O228*O122+P228*P122+Q228*Q122+R228*R122+S228*S122+T228*T122+U228*U122+V228*V122+W228*W122+X228*X122+Y228*Y122+Z228*Z122+AA228*AA122+AB228*AB122+AC228*AC122+AD228*AD122+AE228*AE122+AF228*AF122+AG228*AG122+AH228*AH122+AI228*AI122+AJ228*AJ122+AK228*AK122+AL228*AL122+AM228*AM122+AN228*AN122+AO228*AO122+AP228*AP122+AQ228*AQ122+AR228*AR122+AS228*AS122+AT228*AT122+AU228*AU122+AV228*AV122+AW228*AW122+AX228*AX122+AY228*AY122+AZ228*AZ122+BA228*BA122+BB228*BB122+BC228*BC122+BD228*BD122+BE228*BE122+BF228*BF122+BG228*BG122+BH228*BH122+BI228*BI122+BJ228*BJ122+BK228*BK122+BL228*BL122+BM228*BM122+BN228*BN122+BO228*BO122+BP228*BP122+BQ228*BQ122+BR228*BR122+BS228*BS122+BT228*BT122+BU228*BU122+BV228*BV122+BW228*BW122+BX228*BX122+BY228*BY122+BZ228*BZ122+CA228*CA122+CB228*CB122+CC228*CC122</f>
        <v>0</v>
      </c>
      <c r="CO122" s="2387">
        <f>E229*E122+F229*F122+G229*G122+H229*H122+I229*I122+J229*J122+K229*K122+L229*L122+M229*M122+N229*N122+O229*O122+P229*P122+Q229*Q122+R229*R122+S229*S122+T229*T122+U229*U122+V229*V122+W229*W122+X229*X122+Y229*Y122+Z229*Z122+AA229*AA122+AB229*AB122+AC229*AC122+AD229*AD122+AE229*AE122+AF229*AF122+AG229*AG122+AH229*AH122+AI229*AI122+AJ229*AJ122+AK229*AK122+AL229*AL122+AM229*AM122+AN229*AN122+AO229*AO122+AP229*AP122+AQ229*AQ122+AR229*AR122+AS229*AS122+AT229*AT122+AU229*AU122+AV229*AV122+AW229*AW122+AX229*AX122+AY229*AY122+AZ229*AZ122+BA229*BA122+BB229*BB122+BC229*BC122+BD229*BD122+BE229*BE122+BF229*BF122+BG229*BG122+BH229*BH122+BI229*BI122+BJ229*BJ122+BK229*BK122+BL229*BL122+BM229*BM122+BN229*BN122+BO229*BO122+BP229*BP122+BQ229*BQ122+BR229*BR122+BS229*BS122+BT229*BT122+BU229*BU122+BV229*BV122+BW229*BW122+BX229*BX122+BY229*BY122+BZ229*BZ122+CA229*CA122+CB229*CB122+CC229*CC122</f>
        <v>0</v>
      </c>
      <c r="CP122" s="2387">
        <f>E230*E122+F230*F122+G230*G122+H230*H122+I230*I122+J230*J122+K230*K122+L230*L122+M230*M122+N230*N122+O230*O122+P230*P122+Q230*Q122+R230*R122+S230*S122+T230*T122+U230*U122+V230*V122+W230*W122+X230*X122+Y230*Y122+Z230*Z122+AA230*AA122+AB230*AB122+AC230*AC122+AD230*AD122+AE230*AE122+AF230*AF122+AG230*AG122+AH230*AH122+AI230*AI122+AJ230*AJ122+AK230*AK122+AL230*AL122+AM230*AM122+AN230*AN122+AO230*AO122+AP230*AP122+AQ230*AQ122+AR230*AR122+AS230*AS122+AT230*AT122+AU230*AU122+AV230*AV122+AW230*AW122+AX230*AX122+AY230*AY122+AZ230*AZ122+BA230*BA122+BB230*BB122+BC230*BC122+BD230*BD122+BE230*BE122+BF230*BF122+BG230*BG122+BH230*BH122+BI230*BI122+BJ230*BJ122+BK230*BK122+BL230*BL122+BM230*BM122+BN230*BN122+BO230*BO122+BP230*BP122+BQ230*BQ122+BR230*BR122+BS230*BS122+BT230*BT122+BU230*BU122+BV230*BV122+BW230*BW122+BX230*BX122+BY230*BY122+BZ230*BZ122+CA230*CA122+CB230*CB122+CC230*CC122</f>
        <v>0</v>
      </c>
    </row>
    <row r="123" spans="2:94" ht="18" x14ac:dyDescent="0.25">
      <c r="B123" s="1583">
        <v>4</v>
      </c>
      <c r="C123" s="1523" t="s">
        <v>226</v>
      </c>
      <c r="D123" s="619" t="s">
        <v>1658</v>
      </c>
      <c r="E123" s="972">
        <f>0</f>
        <v>0</v>
      </c>
      <c r="F123" s="971">
        <f>-1/Y_OHO_SB_ox</f>
        <v>-1.4925373134328357</v>
      </c>
      <c r="G123" s="972">
        <f>0</f>
        <v>0</v>
      </c>
      <c r="H123" s="972">
        <f>0</f>
        <v>0</v>
      </c>
      <c r="I123" s="972">
        <f>0</f>
        <v>0</v>
      </c>
      <c r="J123" s="972">
        <f>0</f>
        <v>0</v>
      </c>
      <c r="K123" s="972">
        <f>0</f>
        <v>0</v>
      </c>
      <c r="L123" s="972">
        <f>0</f>
        <v>0</v>
      </c>
      <c r="M123" s="972">
        <f>0</f>
        <v>0</v>
      </c>
      <c r="N123" s="972">
        <f>0</f>
        <v>0</v>
      </c>
      <c r="O123" s="972">
        <f>0</f>
        <v>0</v>
      </c>
      <c r="P123" s="972">
        <f>0</f>
        <v>0</v>
      </c>
      <c r="Q123" s="972">
        <f>1</f>
        <v>1</v>
      </c>
      <c r="R123" s="972">
        <f>0</f>
        <v>0</v>
      </c>
      <c r="S123" s="972">
        <f>0</f>
        <v>0</v>
      </c>
      <c r="T123" s="972">
        <f>0</f>
        <v>0</v>
      </c>
      <c r="U123" s="972">
        <f>0</f>
        <v>0</v>
      </c>
      <c r="V123" s="972">
        <f>0</f>
        <v>0</v>
      </c>
      <c r="W123" s="972">
        <f>0</f>
        <v>0</v>
      </c>
      <c r="X123" s="972">
        <f>0</f>
        <v>0</v>
      </c>
      <c r="Y123" s="971">
        <f t="shared" si="0"/>
        <v>-7.0000000000000007E-2</v>
      </c>
      <c r="Z123" s="971">
        <f>0</f>
        <v>0</v>
      </c>
      <c r="AA123" s="971">
        <f>0</f>
        <v>0</v>
      </c>
      <c r="AB123" s="972">
        <f>0</f>
        <v>0</v>
      </c>
      <c r="AC123" s="972">
        <f>0</f>
        <v>0</v>
      </c>
      <c r="AD123" s="972">
        <f>0</f>
        <v>0</v>
      </c>
      <c r="AE123" s="972">
        <f>0</f>
        <v>0</v>
      </c>
      <c r="AF123" s="971">
        <f t="shared" si="1"/>
        <v>-0.02</v>
      </c>
      <c r="AG123" s="972">
        <f>0</f>
        <v>0</v>
      </c>
      <c r="AH123" s="972">
        <f>0</f>
        <v>0</v>
      </c>
      <c r="AI123" s="972">
        <f>0</f>
        <v>0</v>
      </c>
      <c r="AJ123" s="972">
        <f>0</f>
        <v>0</v>
      </c>
      <c r="AK123" s="971">
        <f>-(1-Y_OHO_SB_ox)/Y_OHO_SB_ox</f>
        <v>-0.49253731343283574</v>
      </c>
      <c r="AL123" s="971">
        <f>0</f>
        <v>0</v>
      </c>
      <c r="AM123" s="971">
        <f>0</f>
        <v>0</v>
      </c>
      <c r="AN123" s="971">
        <f>i_CIT_SB/Y_OHO_SB_ox-i_CIT_BIO</f>
        <v>7.4865671641791032E-2</v>
      </c>
      <c r="AO123" s="999">
        <f t="shared" si="2"/>
        <v>0.11</v>
      </c>
      <c r="AP123" s="999">
        <f t="shared" si="3"/>
        <v>-2.8804303582798466E-2</v>
      </c>
      <c r="AQ123" s="999">
        <f t="shared" si="4"/>
        <v>-7.0195696417201539E-2</v>
      </c>
      <c r="AR123" s="999">
        <f t="shared" si="5"/>
        <v>-5.5000000000000005E-3</v>
      </c>
      <c r="AS123" s="999">
        <f t="shared" si="6"/>
        <v>-5.5000000000000005E-3</v>
      </c>
      <c r="AT123" s="971">
        <f>0</f>
        <v>0</v>
      </c>
      <c r="AU123" s="971">
        <f>0</f>
        <v>0</v>
      </c>
      <c r="AV123" s="971">
        <f>0</f>
        <v>0</v>
      </c>
      <c r="AW123" s="971">
        <f>0</f>
        <v>0</v>
      </c>
      <c r="AX123" s="971">
        <f>0</f>
        <v>0</v>
      </c>
      <c r="AY123" s="971">
        <f>0</f>
        <v>0</v>
      </c>
      <c r="AZ123" s="971">
        <f>0</f>
        <v>0</v>
      </c>
      <c r="BA123" s="971">
        <f>0</f>
        <v>0</v>
      </c>
      <c r="BB123" s="971">
        <f>0</f>
        <v>0</v>
      </c>
      <c r="BC123" s="971">
        <f>0</f>
        <v>0</v>
      </c>
      <c r="BD123" s="971">
        <f>0</f>
        <v>0</v>
      </c>
      <c r="BE123" s="971">
        <f>0</f>
        <v>0</v>
      </c>
      <c r="BF123" s="971">
        <f>0</f>
        <v>0</v>
      </c>
      <c r="BG123" s="971">
        <f>0</f>
        <v>0</v>
      </c>
      <c r="BH123" s="971">
        <f>0</f>
        <v>0</v>
      </c>
      <c r="BI123" s="971">
        <f>0</f>
        <v>0</v>
      </c>
      <c r="BJ123" s="971">
        <f>0</f>
        <v>0</v>
      </c>
      <c r="BK123" s="971">
        <f>0</f>
        <v>0</v>
      </c>
      <c r="BL123" s="1634">
        <f>0</f>
        <v>0</v>
      </c>
      <c r="BM123" s="971">
        <f>0</f>
        <v>0</v>
      </c>
      <c r="BN123" s="971">
        <f>0</f>
        <v>0</v>
      </c>
      <c r="BO123" s="971">
        <f>0</f>
        <v>0</v>
      </c>
      <c r="BP123" s="1415">
        <f>0</f>
        <v>0</v>
      </c>
      <c r="BQ123" s="2364">
        <f>0</f>
        <v>0</v>
      </c>
      <c r="BR123" s="971">
        <f>0</f>
        <v>0</v>
      </c>
      <c r="BS123" s="971">
        <f>0</f>
        <v>0</v>
      </c>
      <c r="BT123" s="971">
        <f>0</f>
        <v>0</v>
      </c>
      <c r="BU123" s="971">
        <f>0</f>
        <v>0</v>
      </c>
      <c r="BV123" s="971">
        <f>0</f>
        <v>0</v>
      </c>
      <c r="BW123" s="971">
        <f>0</f>
        <v>0</v>
      </c>
      <c r="BX123" s="971">
        <f>0</f>
        <v>0</v>
      </c>
      <c r="BY123" s="971">
        <f>0</f>
        <v>0</v>
      </c>
      <c r="BZ123" s="971">
        <f>0</f>
        <v>0</v>
      </c>
      <c r="CA123" s="971">
        <f>0</f>
        <v>0</v>
      </c>
      <c r="CB123" s="971">
        <f>0</f>
        <v>0</v>
      </c>
      <c r="CC123" s="971">
        <f>0</f>
        <v>0</v>
      </c>
      <c r="CD123" s="1650">
        <f>µ_OHO_T*X_OHO*M_satSB_KSB*M_inhSVFA_KVFA*M_satSO2_KO2_OHO*M_satSNHx_KNHx_BIO*M_satSPO4_KPO4_BIO*M_satSCAT_KCAT*M_satSAN_KAN*M_satSCa_KCa*M_satSMg_KMg*B_ellinhpH</f>
        <v>300.21284646842776</v>
      </c>
      <c r="CF123" s="2385">
        <f>E220*E123+F220*F123+G220*G123+H220*H123+I220*I123+J220*J123+K220*K123+L220*L123+M220*M123+N220*N123+O220*O123+P220*P123+Q220*Q123+R220*R123+S220*S123+T220*T123+U220*U123+V220*V123+W220*W123+X220*X123+Y220*Y123+Z220*Z123+AA220*AA123+AB220*AB123+AC220*AC123+AD220*AD123+AE220*AE123+AF220*AF123+AG220*AG123+AH220*AH123+AI220*AI123+AJ220*AJ123+AK220*AK123+AL220*AL123+AM220*AM123+AN220*AN123+AO220*AO123+AP220*AP123+AQ220*AQ123+AR220*AR123+AS220*AS123+AT220*AT123+AU220*AU123+AV220*AV123+AW220*AW123+AX220*AX123+AY220*AY123+AZ220*AZ123+BA220*BA123+BB220*BB123+BC220*BC123+BD220*BD123+BE220*BE123+BF220*BF123+BG220*BG123+BH220*BH123+BI220*BI123+BJ220*BJ123+BK220*BK123+BL220*BL123+BM220*BM123+BN220*BN123+BO220*BO123+BP220*BP123+BQ220*BQ123+BR220*BR123+BS220*BS123+BT220*BT123+BU220*BU123+BV220*BV123+BW220*BW123+BX220*BX123+BY220*BY123+BZ220*BZ123+CA220*CA123+CB220*CB123+CC220*CC123</f>
        <v>5.5511151231257827E-17</v>
      </c>
      <c r="CG123" s="2385">
        <f>E221*E123+F221*F123+G221*G123+H221*H123+I221*I123+J221*J123+K221*K123+L221*L123+M221*M123+N221*N123+O221*O123+P221*P123+Q221*Q123+R221*R123+S221*S123+T221*T123+U221*U123+V221*V123+W221*W123+X221*X123+Y221*Y123+Z221*Z123+AA221*AA123+AB221*AB123+AC221*AC123+AD221*AD123+AE221*AE123+AF221*AF123+AG221*AG123+AH221*AH123+AI221*AI123+AJ221*AJ123+AK221*AK123+AL221*AL123+AM221*AM123+AN221*AN123+AO221*AO123+AP221*AP123+AQ221*AQ123+AR221*AR123+AS221*AS123+AT221*AT123+AU221*AU123+AV221*AV123+AW221*AW123+AX221*AX123+AY221*AY123+AZ221*AZ123+BA221*BA123+BB221*BB123+BC221*BC123+BD221*BD123+BE221*BE123+BF221*BF123+BG221*BG123+BH221*BH123+BI221*BI123+BJ221*BJ123+BK221*BK123+BL221*BL123+BM221*BM123+BN221*BN123+BO221*BO123+BP221*BP123+BQ221*BQ123+BR221*BR123+BS221*BS123+BT221*BT123+BU221*BU123+BV221*BV123+BW221*BW123+BX221*BX123+BY221*BY123+BZ221*BZ123+CA221*CA123+CB221*CB123+CC221*CC123</f>
        <v>5.5511151231257827E-17</v>
      </c>
      <c r="CH123" s="2386">
        <f>E222*E123+F222*F123+G222*G123+H222*H123+I222*I123+J222*J123+K222*K123+L222*L123+M222*M123+N222*N123+O222*O123+P222*P123+Q222*Q123+R222*R123+S222*S123+T222*T123+U222*U123+V222*V123+W222*W123+X222*X123+Y222*Y123+Z222*Z123+AA222*AA123+AB222*AB123+AC222*AC123+AD222*AD123+AE222*AE123+AF222*AF123+AG222*AG123+AH222*AH123+AI222*AI123+AJ222*AJ123+AK222*AK123+AL222*AL123+AM222*AM123+AN222*AN123+AO222*AO123+AP222*AP123+AQ222*AQ123+AR222*AR123+AS222*AS123+AT222*AT123+AU222*AU123+AV222*AV123+AW222*AW123+AX222*AX123+AY222*AY123+AZ222*AZ123+BA222*BA123+BB222*BB123+BC222*BC123+BD222*BD123+BE222*BE123+BF222*BF123+BG222*BG123+BH222*BH123+BI222*BI123+BJ222*BJ123+BK222*BK123+BL222*BL123+BM222*BM123+BN222*BN123+BO222*BO123+BP222*BP123+BQ222*BQ123+BR222*BR123+BS222*BS123+BT222*BT123+BU222*BU123+BV222*BV123+BW222*BW123+BX222*BX123+BY222*BY123+BZ222*BZ123+CA222*CA123+CB222*CB123+CC222*CC123</f>
        <v>0</v>
      </c>
      <c r="CI123" s="2387">
        <f>E223*E123+F223*F123+G223*G123+H223*H123+I223*I123+J223*J123+K223*K123+L223*L123+M223*M123+N223*N123+O223*O123+P223*P123+Q223*Q123+R223*R123+S223*S123+T223*T123+U223*U123+V223*V123+W223*W123+X223*X123+Y223*Y123+Z223*Z123+AA223*AA123+AB223*AB123+AC223*AC123+AD223*AD123+AE223*AE123+AF223*AF123+AG223*AG123+AH223*AH123+AI223*AI123+AJ223*AJ123+AK223*AK123+AL223*AL123+AM223*AM123+AN223*AN123+AO223*AO123+AP223*AP123+AQ223*AQ123+AR223*AR123+AS223*AS123+AT223*AT123+AU223*AU123+AV223*AV123+AW223*AW123+AX223*AX123+AY223*AY123+AZ223*AZ123+BA223*BA123+BB223*BB123+BC223*BC123+BD223*BD123+BE223*BE123+BF223*BF123+BG223*BG123+BH223*BH123+BI223*BI123+BJ223*BJ123+BK223*BK123+BL223*BL123+BM223*BM123+BN223*BN123+BO223*BO123+BP223*BP123+BQ223*BQ123+BR223*BR123+BS223*BS123+BT223*BT123+BU223*BU123+BV223*BV123+BW223*BW123+BX223*BX123+BY223*BY123+BZ223*BZ123+CA223*CA123+CB223*CB123+CC223*CC123</f>
        <v>0</v>
      </c>
      <c r="CJ123" s="2387">
        <f>E224*E123+F224*F123+G224*G123+H224*H123+I224*I123+J224*J123+K224*K123+L224*L123+M224*M123+N224*N123+O224*O123+P224*P123+Q224*Q123+R224*R123+S224*S123+T224*T123+U224*U123+V224*V123+W224*W123+X224*X123+Y224*Y123+Z224*Z123+AA224*AA123+AB224*AB123+AC224*AC123+AD224*AD123+AE224*AE123+AF224*AF123+AG224*AG123+AH224*AH123+AI224*AI123+AJ224*AJ123+AK224*AK123+AL224*AL123+AM224*AM123+AN224*AN123+AO224*AO123+AP224*AP123+AQ224*AQ123+AR224*AR123+AS224*AS123+AT224*AT123+AU224*AU123+AV224*AV123+AW224*AW123+AX224*AX123+AY224*AY123+AZ224*AZ123+BA224*BA123+BB224*BB123+BC224*BC123+BD224*BD123+BE224*BE123+BF224*BF123+BG224*BG123+BH224*BH123+BI224*BI123+BJ224*BJ123+BK224*BK123+BL224*BL123+BM224*BM123+BN224*BN123+BO224*BO123+BP224*BP123+BQ224*BQ123+BR224*BR123+BS224*BS123+BT224*BT123+BU224*BU123+BV224*BV123+BW224*BW123+BX224*BX123+BY224*BY123+BZ224*BZ123+CA224*CA123+CB224*CB123+CC224*CC123</f>
        <v>0</v>
      </c>
      <c r="CK123" s="2387">
        <f>E225*E123+F225*F123+G225*G123+H225*H123+I225*I123+J225*J123+K225*K123+L225*L123+M225*M123+N225*N123+O225*O123+P225*P123+Q225*Q123+R225*R123+S225*S123+T225*T123+U225*U123+V225*V123+W225*W123+X225*X123+Y225*Y123+Z225*Z123+AA225*AA123+AB225*AB123+AC225*AC123+AD225*AD123+AE225*AE123+AF225*AF123+AG225*AG123+AH225*AH123+AI225*AI123+AJ225*AJ123+AK225*AK123+AL225*AL123+AM225*AM123+AN225*AN123+AO225*AO123+AP225*AP123+AQ225*AQ123+AR225*AR123+AS225*AS123+AT225*AT123+AU225*AU123+AV225*AV123+AW225*AW123+AX225*AX123+AY225*AY123+AZ225*AZ123+BA225*BA123+BB225*BB123+BC225*BC123+BD225*BD123+BE225*BE123+BF225*BF123+BG225*BG123+BH225*BH123+BI225*BI123+BJ225*BJ123+BK225*BK123+BL225*BL123+BM225*BM123+BN225*BN123+BO225*BO123+BP225*BP123+BQ225*BQ123+BR225*BR123+BS225*BS123+BT225*BT123+BU225*BU123+BV225*BV123+BW225*BW123+BX225*BX123+BY225*BY123+BZ225*BZ123+CA225*CA123+CB225*CB123+CC225*CC123</f>
        <v>0</v>
      </c>
      <c r="CL123" s="2387">
        <f>E226*E123+F226*F123+G226*G123+H226*H123+I226*I123+J226*J123+K226*K123+L226*L123+M226*M123+N226*N123+O226*O123+P226*P123+Q226*Q123+R226*R123+S226*S123+T226*T123+U226*U123+V226*V123+W226*W123+X226*X123+Y226*Y123+Z226*Z123+AA226*AA123+AB226*AB123+AC226*AC123+AD226*AD123+AE226*AE123+AF226*AF123+AG226*AG123+AH226*AH123+AI226*AI123+AJ226*AJ123+AK226*AK123+AL226*AL123+AM226*AM123+AN226*AN123+AO226*AO123+AP226*AP123+AQ226*AQ123+AR226*AR123+AS226*AS123+AT226*AT123+AU226*AU123+AV226*AV123+AW226*AW123+AX226*AX123+AY226*AY123+AZ226*AZ123+BA226*BA123+BB226*BB123+BC226*BC123+BD226*BD123+BE226*BE123+BF226*BF123+BG226*BG123+BH226*BH123+BI226*BI123+BJ226*BJ123+BK226*BK123+BL226*BL123+BM226*BM123+BN226*BN123+BO226*BO123+BP226*BP123+BQ226*BQ123+BR226*BR123+BS226*BS123+BT226*BT123+BU226*BU123+BV226*BV123+BW226*BW123+BX226*BX123+BY226*BY123+BZ226*BZ123+CA226*CA123+CB226*CB123+CC226*CC123</f>
        <v>0</v>
      </c>
      <c r="CM123" s="2387">
        <f>E227*E123+F227*F123+G227*G123+H227*H123+I227*I123+J227*J123+K227*K123+L227*L123+M227*M123+N227*N123+O227*O123+P227*P123+Q227*Q123+R227*R123+S227*S123+T227*T123+U227*U123+V227*V123+W227*W123+X227*X123+Y227*Y123+Z227*Z123+AA227*AA123+AB227*AB123+AC227*AC123+AD227*AD123+AE227*AE123+AF227*AF123+AG227*AG123+AH227*AH123+AI227*AI123+AJ227*AJ123+AK227*AK123+AL227*AL123+AM227*AM123+AN227*AN123+AO227*AO123+AP227*AP123+AQ227*AQ123+AR227*AR123+AS227*AS123+AT227*AT123+AU227*AU123+AV227*AV123+AW227*AW123+AX227*AX123+AY227*AY123+AZ227*AZ123+BA227*BA123+BB227*BB123+BC227*BC123+BD227*BD123+BE227*BE123+BF227*BF123+BG227*BG123+BH227*BH123+BI227*BI123+BJ227*BJ123+BK227*BK123+BL227*BL123+BM227*BM123+BN227*BN123+BO227*BO123+BP227*BP123+BQ227*BQ123+BR227*BR123+BS227*BS123+BT227*BT123+BU227*BU123+BV227*BV123+BW227*BW123+BX227*BX123+BY227*BY123+BZ227*BZ123+CA227*CA123+CB227*CB123+CC227*CC123</f>
        <v>0</v>
      </c>
      <c r="CN123" s="2387">
        <f>E228*E123+F228*F123+G228*G123+H228*H123+I228*I123+J228*J123+K228*K123+L228*L123+M228*M123+N228*N123+O228*O123+P228*P123+Q228*Q123+R228*R123+S228*S123+T228*T123+U228*U123+V228*V123+W228*W123+X228*X123+Y228*Y123+Z228*Z123+AA228*AA123+AB228*AB123+AC228*AC123+AD228*AD123+AE228*AE123+AF228*AF123+AG228*AG123+AH228*AH123+AI228*AI123+AJ228*AJ123+AK228*AK123+AL228*AL123+AM228*AM123+AN228*AN123+AO228*AO123+AP228*AP123+AQ228*AQ123+AR228*AR123+AS228*AS123+AT228*AT123+AU228*AU123+AV228*AV123+AW228*AW123+AX228*AX123+AY228*AY123+AZ228*AZ123+BA228*BA123+BB228*BB123+BC228*BC123+BD228*BD123+BE228*BE123+BF228*BF123+BG228*BG123+BH228*BH123+BI228*BI123+BJ228*BJ123+BK228*BK123+BL228*BL123+BM228*BM123+BN228*BN123+BO228*BO123+BP228*BP123+BQ228*BQ123+BR228*BR123+BS228*BS123+BT228*BT123+BU228*BU123+BV228*BV123+BW228*BW123+BX228*BX123+BY228*BY123+BZ228*BZ123+CA228*CA123+CB228*CB123+CC228*CC123</f>
        <v>0</v>
      </c>
      <c r="CO123" s="2387">
        <f>E229*E123+F229*F123+G229*G123+H229*H123+I229*I123+J229*J123+K229*K123+L229*L123+M229*M123+N229*N123+O229*O123+P229*P123+Q229*Q123+R229*R123+S229*S123+T229*T123+U229*U123+V229*V123+W229*W123+X229*X123+Y229*Y123+Z229*Z123+AA229*AA123+AB229*AB123+AC229*AC123+AD229*AD123+AE229*AE123+AF229*AF123+AG229*AG123+AH229*AH123+AI229*AI123+AJ229*AJ123+AK229*AK123+AL229*AL123+AM229*AM123+AN229*AN123+AO229*AO123+AP229*AP123+AQ229*AQ123+AR229*AR123+AS229*AS123+AT229*AT123+AU229*AU123+AV229*AV123+AW229*AW123+AX229*AX123+AY229*AY123+AZ229*AZ123+BA229*BA123+BB229*BB123+BC229*BC123+BD229*BD123+BE229*BE123+BF229*BF123+BG229*BG123+BH229*BH123+BI229*BI123+BJ229*BJ123+BK229*BK123+BL229*BL123+BM229*BM123+BN229*BN123+BO229*BO123+BP229*BP123+BQ229*BQ123+BR229*BR123+BS229*BS123+BT229*BT123+BU229*BU123+BV229*BV123+BW229*BW123+BX229*BX123+BY229*BY123+BZ229*BZ123+CA229*CA123+CB229*CB123+CC229*CC123</f>
        <v>0</v>
      </c>
      <c r="CP123" s="2387">
        <f>E230*E123+F230*F123+G230*G123+H230*H123+I230*I123+J230*J123+K230*K123+L230*L123+M230*M123+N230*N123+O230*O123+P230*P123+Q230*Q123+R230*R123+S230*S123+T230*T123+U230*U123+V230*V123+W230*W123+X230*X123+Y230*Y123+Z230*Z123+AA230*AA123+AB230*AB123+AC230*AC123+AD230*AD123+AE230*AE123+AF230*AF123+AG230*AG123+AH230*AH123+AI230*AI123+AJ230*AJ123+AK230*AK123+AL230*AL123+AM230*AM123+AN230*AN123+AO230*AO123+AP230*AP123+AQ230*AQ123+AR230*AR123+AS230*AS123+AT230*AT123+AU230*AU123+AV230*AV123+AW230*AW123+AX230*AX123+AY230*AY123+AZ230*AZ123+BA230*BA123+BB230*BB123+BC230*BC123+BD230*BD123+BE230*BE123+BF230*BF123+BG230*BG123+BH230*BH123+BI230*BI123+BJ230*BJ123+BK230*BK123+BL230*BL123+BM230*BM123+BN230*BN123+BO230*BO123+BP230*BP123+BQ230*BQ123+BR230*BR123+BS230*BS123+BT230*BT123+BU230*BU123+BV230*BV123+BW230*BW123+BX230*BX123+BY230*BY123+BZ230*BZ123+CA230*CA123+CB230*CB123+CC230*CC123</f>
        <v>0</v>
      </c>
    </row>
    <row r="124" spans="2:94" ht="18" x14ac:dyDescent="0.25">
      <c r="B124" s="1583">
        <v>5</v>
      </c>
      <c r="C124" s="1523" t="s">
        <v>227</v>
      </c>
      <c r="D124" s="619" t="s">
        <v>2271</v>
      </c>
      <c r="E124" s="972">
        <f>0</f>
        <v>0</v>
      </c>
      <c r="F124" s="971">
        <f>-1/Y_OHO_SB_anox</f>
        <v>-1.8518518518518516</v>
      </c>
      <c r="G124" s="972">
        <f>0</f>
        <v>0</v>
      </c>
      <c r="H124" s="972">
        <f>0</f>
        <v>0</v>
      </c>
      <c r="I124" s="972">
        <f>0</f>
        <v>0</v>
      </c>
      <c r="J124" s="972">
        <f>0</f>
        <v>0</v>
      </c>
      <c r="K124" s="972">
        <f>0</f>
        <v>0</v>
      </c>
      <c r="L124" s="972">
        <f>0</f>
        <v>0</v>
      </c>
      <c r="M124" s="972">
        <f>0</f>
        <v>0</v>
      </c>
      <c r="N124" s="972">
        <f>0</f>
        <v>0</v>
      </c>
      <c r="O124" s="972">
        <f>0</f>
        <v>0</v>
      </c>
      <c r="P124" s="972">
        <f>0</f>
        <v>0</v>
      </c>
      <c r="Q124" s="972">
        <f>1</f>
        <v>1</v>
      </c>
      <c r="R124" s="972">
        <f>0</f>
        <v>0</v>
      </c>
      <c r="S124" s="972">
        <f>0</f>
        <v>0</v>
      </c>
      <c r="T124" s="972">
        <f>0</f>
        <v>0</v>
      </c>
      <c r="U124" s="972">
        <f>0</f>
        <v>0</v>
      </c>
      <c r="V124" s="972">
        <f>0</f>
        <v>0</v>
      </c>
      <c r="W124" s="972">
        <f>0</f>
        <v>0</v>
      </c>
      <c r="X124" s="972">
        <f>0</f>
        <v>0</v>
      </c>
      <c r="Y124" s="970">
        <f t="shared" si="0"/>
        <v>-7.0000000000000007E-2</v>
      </c>
      <c r="Z124" s="971">
        <f>-(1-Y_OHO_SB_anox)/(E_EQN2_NO2*Y_OHO_SB_anox)</f>
        <v>-0.49717003276511756</v>
      </c>
      <c r="AA124" s="971">
        <f>0</f>
        <v>0</v>
      </c>
      <c r="AB124" s="971">
        <f>(1-Y_OHO_SB_anox)/(E_EQN2_NO2*Y_OHO_SB_anox)</f>
        <v>0.49717003276511756</v>
      </c>
      <c r="AC124" s="972">
        <f>0</f>
        <v>0</v>
      </c>
      <c r="AD124" s="972">
        <f>0</f>
        <v>0</v>
      </c>
      <c r="AE124" s="972">
        <f>0</f>
        <v>0</v>
      </c>
      <c r="AF124" s="971">
        <f t="shared" si="1"/>
        <v>-0.02</v>
      </c>
      <c r="AG124" s="972">
        <f>0</f>
        <v>0</v>
      </c>
      <c r="AH124" s="972">
        <f>0</f>
        <v>0</v>
      </c>
      <c r="AI124" s="972">
        <f>0</f>
        <v>0</v>
      </c>
      <c r="AJ124" s="972">
        <f>0</f>
        <v>0</v>
      </c>
      <c r="AK124" s="971">
        <f>0</f>
        <v>0</v>
      </c>
      <c r="AL124" s="971">
        <f>0</f>
        <v>0</v>
      </c>
      <c r="AM124" s="971">
        <f>0</f>
        <v>0</v>
      </c>
      <c r="AN124" s="971">
        <f>i_CIT_SB/Y_OHO_SB_anox-i_CIT_BIO</f>
        <v>0.17762962962962958</v>
      </c>
      <c r="AO124" s="1000">
        <f t="shared" si="2"/>
        <v>0.11</v>
      </c>
      <c r="AP124" s="999">
        <f t="shared" si="3"/>
        <v>-2.8804303582798466E-2</v>
      </c>
      <c r="AQ124" s="999">
        <f t="shared" si="4"/>
        <v>-7.0195696417201539E-2</v>
      </c>
      <c r="AR124" s="999">
        <f t="shared" si="5"/>
        <v>-5.5000000000000005E-3</v>
      </c>
      <c r="AS124" s="999">
        <f t="shared" si="6"/>
        <v>-5.5000000000000005E-3</v>
      </c>
      <c r="AT124" s="971">
        <f>0</f>
        <v>0</v>
      </c>
      <c r="AU124" s="971">
        <f>0</f>
        <v>0</v>
      </c>
      <c r="AV124" s="971">
        <f>0</f>
        <v>0</v>
      </c>
      <c r="AW124" s="971">
        <f>0</f>
        <v>0</v>
      </c>
      <c r="AX124" s="971">
        <f>0</f>
        <v>0</v>
      </c>
      <c r="AY124" s="971">
        <f>0</f>
        <v>0</v>
      </c>
      <c r="AZ124" s="971">
        <f>0</f>
        <v>0</v>
      </c>
      <c r="BA124" s="971">
        <f>0</f>
        <v>0</v>
      </c>
      <c r="BB124" s="971">
        <f>0</f>
        <v>0</v>
      </c>
      <c r="BC124" s="971">
        <f>0</f>
        <v>0</v>
      </c>
      <c r="BD124" s="971">
        <f>0</f>
        <v>0</v>
      </c>
      <c r="BE124" s="971">
        <f>0</f>
        <v>0</v>
      </c>
      <c r="BF124" s="971">
        <f>0</f>
        <v>0</v>
      </c>
      <c r="BG124" s="971">
        <f>0</f>
        <v>0</v>
      </c>
      <c r="BH124" s="971">
        <f>0</f>
        <v>0</v>
      </c>
      <c r="BI124" s="971">
        <f>0</f>
        <v>0</v>
      </c>
      <c r="BJ124" s="971">
        <f>0</f>
        <v>0</v>
      </c>
      <c r="BK124" s="971">
        <f>0</f>
        <v>0</v>
      </c>
      <c r="BL124" s="1634">
        <f>0</f>
        <v>0</v>
      </c>
      <c r="BM124" s="971">
        <f>0</f>
        <v>0</v>
      </c>
      <c r="BN124" s="971">
        <f>0</f>
        <v>0</v>
      </c>
      <c r="BO124" s="971">
        <f>0</f>
        <v>0</v>
      </c>
      <c r="BP124" s="1415">
        <f>0</f>
        <v>0</v>
      </c>
      <c r="BQ124" s="2364">
        <f>0</f>
        <v>0</v>
      </c>
      <c r="BR124" s="971">
        <f>0</f>
        <v>0</v>
      </c>
      <c r="BS124" s="971">
        <f>0</f>
        <v>0</v>
      </c>
      <c r="BT124" s="971">
        <f>0</f>
        <v>0</v>
      </c>
      <c r="BU124" s="971">
        <f>0</f>
        <v>0</v>
      </c>
      <c r="BV124" s="971">
        <f>0</f>
        <v>0</v>
      </c>
      <c r="BW124" s="971">
        <f>0</f>
        <v>0</v>
      </c>
      <c r="BX124" s="971">
        <f>0</f>
        <v>0</v>
      </c>
      <c r="BY124" s="971">
        <f>0</f>
        <v>0</v>
      </c>
      <c r="BZ124" s="971">
        <f>0</f>
        <v>0</v>
      </c>
      <c r="CA124" s="971">
        <f>0</f>
        <v>0</v>
      </c>
      <c r="CB124" s="971">
        <f>0</f>
        <v>0</v>
      </c>
      <c r="CC124" s="971">
        <f>0</f>
        <v>0</v>
      </c>
      <c r="CD124" s="1650">
        <f>µ_OHO_T*X_OHO*η_OHO_anox*M_satSB_KSB*M_inhSVFA_KVFA*M_satSNO2_KNO2_OHO*M_inhSO2_KO2_OHO*M_satSNHx_KNHx_BIO*M_satSPO4_KPO4_BIO*M_satSCAT_KCAT*M_satSAN_KAN*M_satSCa_KCa*M_satSMg_KMg*B_ellinhpH</f>
        <v>9.0063853940528311</v>
      </c>
      <c r="CF124" s="2385">
        <f>E220*E124+F220*F124+G220*G124+H220*H124+I220*I124+J220*J124+K220*K124+L220*L124+M220*M124+N220*N124+O220*O124+P220*P124+Q220*Q124+R220*R124+S220*S124+T220*T124+U220*U124+V220*V124+W220*W124+X220*X124+Y220*Y124+Z220*Z124+AA220*AA124+AB220*AB124+AC220*AC124+AD220*AD124+AE220*AE124+AF220*AF124+AG220*AG124+AH220*AH124+AI220*AI124+AJ220*AJ124+AK220*AK124+AL220*AL124+AM220*AM124+AN220*AN124+AO220*AO124+AP220*AP124+AQ220*AQ124+AR220*AR124+AS220*AS124+AT220*AT124+AU220*AU124+AV220*AV124+AW220*AW124+AX220*AX124+AY220*AY124+AZ220*AZ124+BA220*BA124+BB220*BB124+BC220*BC124+BD220*BD124+BE220*BE124+BF220*BF124+BG220*BG124+BH220*BH124+BI220*BI124+BJ220*BJ124+BK220*BK124+BL220*BL124+BM220*BM124+BN220*BN124+BO220*BO124+BP220*BP124+BQ220*BQ124+BR220*BR124+BS220*BS124+BT220*BT124+BU220*BU124+BV220*BV124+BW220*BW124+BX220*BX124+BY220*BY124+BZ220*BZ124+CA220*CA124+CB220*CB124+CC220*CC124</f>
        <v>1.1102230246251565E-16</v>
      </c>
      <c r="CG124" s="2385">
        <f>E221*E124+F221*F124+G221*G124+H221*H124+I221*I124+J221*J124+K221*K124+L221*L124+M221*M124+N221*N124+O221*O124+P221*P124+Q221*Q124+R221*R124+S221*S124+T221*T124+U221*U124+V221*V124+W221*W124+X221*X124+Y221*Y124+Z221*Z124+AA221*AA124+AB221*AB124+AC221*AC124+AD221*AD124+AE221*AE124+AF221*AF124+AG221*AG124+AH221*AH124+AI221*AI124+AJ221*AJ124+AK221*AK124+AL221*AL124+AM221*AM124+AN221*AN124+AO221*AO124+AP221*AP124+AQ221*AQ124+AR221*AR124+AS221*AS124+AT221*AT124+AU221*AU124+AV221*AV124+AW221*AW124+AX221*AX124+AY221*AY124+AZ221*AZ124+BA221*BA124+BB221*BB124+BC221*BC124+BD221*BD124+BE221*BE124+BF221*BF124+BG221*BG124+BH221*BH124+BI221*BI124+BJ221*BJ124+BK221*BK124+BL221*BL124+BM221*BM124+BN221*BN124+BO221*BO124+BP221*BP124+BQ221*BQ124+BR221*BR124+BS221*BS124+BT221*BT124+BU221*BU124+BV221*BV124+BW221*BW124+BX221*BX124+BY221*BY124+BZ221*BZ124+CA221*CA124+CB221*CB124+CC221*CC124</f>
        <v>0</v>
      </c>
      <c r="CH124" s="2386">
        <f>E222*E124+F222*F124+G222*G124+H222*H124+I222*I124+J222*J124+K222*K124+L222*L124+M222*M124+N222*N124+O222*O124+P222*P124+Q222*Q124+R222*R124+S222*S124+T222*T124+U222*U124+V222*V124+W222*W124+X222*X124+Y222*Y124+Z222*Z124+AA222*AA124+AB222*AB124+AC222*AC124+AD222*AD124+AE222*AE124+AF222*AF124+AG222*AG124+AH222*AH124+AI222*AI124+AJ222*AJ124+AK222*AK124+AL222*AL124+AM222*AM124+AN222*AN124+AO222*AO124+AP222*AP124+AQ222*AQ124+AR222*AR124+AS222*AS124+AT222*AT124+AU222*AU124+AV222*AV124+AW222*AW124+AX222*AX124+AY222*AY124+AZ222*AZ124+BA222*BA124+BB222*BB124+BC222*BC124+BD222*BD124+BE222*BE124+BF222*BF124+BG222*BG124+BH222*BH124+BI222*BI124+BJ222*BJ124+BK222*BK124+BL222*BL124+BM222*BM124+BN222*BN124+BO222*BO124+BP222*BP124+BQ222*BQ124+BR222*BR124+BS222*BS124+BT222*BT124+BU222*BU124+BV222*BV124+BW222*BW124+BX222*BX124+BY222*BY124+BZ222*BZ124+CA222*CA124+CB222*CB124+CC222*CC124</f>
        <v>0</v>
      </c>
      <c r="CI124" s="2387">
        <f>E223*E124+F223*F124+G223*G124+H223*H124+I223*I124+J223*J124+K223*K124+L223*L124+M223*M124+N223*N124+O223*O124+P223*P124+Q223*Q124+R223*R124+S223*S124+T223*T124+U223*U124+V223*V124+W223*W124+X223*X124+Y223*Y124+Z223*Z124+AA223*AA124+AB223*AB124+AC223*AC124+AD223*AD124+AE223*AE124+AF223*AF124+AG223*AG124+AH223*AH124+AI223*AI124+AJ223*AJ124+AK223*AK124+AL223*AL124+AM223*AM124+AN223*AN124+AO223*AO124+AP223*AP124+AQ223*AQ124+AR223*AR124+AS223*AS124+AT223*AT124+AU223*AU124+AV223*AV124+AW223*AW124+AX223*AX124+AY223*AY124+AZ223*AZ124+BA223*BA124+BB223*BB124+BC223*BC124+BD223*BD124+BE223*BE124+BF223*BF124+BG223*BG124+BH223*BH124+BI223*BI124+BJ223*BJ124+BK223*BK124+BL223*BL124+BM223*BM124+BN223*BN124+BO223*BO124+BP223*BP124+BQ223*BQ124+BR223*BR124+BS223*BS124+BT223*BT124+BU223*BU124+BV223*BV124+BW223*BW124+BX223*BX124+BY223*BY124+BZ223*BZ124+CA223*CA124+CB223*CB124+CC223*CC124</f>
        <v>0</v>
      </c>
      <c r="CJ124" s="2387">
        <f>E224*E124+F224*F124+G224*G124+H224*H124+I224*I124+J224*J124+K224*K124+L224*L124+M224*M124+N224*N124+O224*O124+P224*P124+Q224*Q124+R224*R124+S224*S124+T224*T124+U224*U124+V224*V124+W224*W124+X224*X124+Y224*Y124+Z224*Z124+AA224*AA124+AB224*AB124+AC224*AC124+AD224*AD124+AE224*AE124+AF224*AF124+AG224*AG124+AH224*AH124+AI224*AI124+AJ224*AJ124+AK224*AK124+AL224*AL124+AM224*AM124+AN224*AN124+AO224*AO124+AP224*AP124+AQ224*AQ124+AR224*AR124+AS224*AS124+AT224*AT124+AU224*AU124+AV224*AV124+AW224*AW124+AX224*AX124+AY224*AY124+AZ224*AZ124+BA224*BA124+BB224*BB124+BC224*BC124+BD224*BD124+BE224*BE124+BF224*BF124+BG224*BG124+BH224*BH124+BI224*BI124+BJ224*BJ124+BK224*BK124+BL224*BL124+BM224*BM124+BN224*BN124+BO224*BO124+BP224*BP124+BQ224*BQ124+BR224*BR124+BS224*BS124+BT224*BT124+BU224*BU124+BV224*BV124+BW224*BW124+BX224*BX124+BY224*BY124+BZ224*BZ124+CA224*CA124+CB224*CB124+CC224*CC124</f>
        <v>0</v>
      </c>
      <c r="CK124" s="2387">
        <f>E225*E124+F225*F124+G225*G124+H225*H124+I225*I124+J225*J124+K225*K124+L225*L124+M225*M124+N225*N124+O225*O124+P225*P124+Q225*Q124+R225*R124+S225*S124+T225*T124+U225*U124+V225*V124+W225*W124+X225*X124+Y225*Y124+Z225*Z124+AA225*AA124+AB225*AB124+AC225*AC124+AD225*AD124+AE225*AE124+AF225*AF124+AG225*AG124+AH225*AH124+AI225*AI124+AJ225*AJ124+AK225*AK124+AL225*AL124+AM225*AM124+AN225*AN124+AO225*AO124+AP225*AP124+AQ225*AQ124+AR225*AR124+AS225*AS124+AT225*AT124+AU225*AU124+AV225*AV124+AW225*AW124+AX225*AX124+AY225*AY124+AZ225*AZ124+BA225*BA124+BB225*BB124+BC225*BC124+BD225*BD124+BE225*BE124+BF225*BF124+BG225*BG124+BH225*BH124+BI225*BI124+BJ225*BJ124+BK225*BK124+BL225*BL124+BM225*BM124+BN225*BN124+BO225*BO124+BP225*BP124+BQ225*BQ124+BR225*BR124+BS225*BS124+BT225*BT124+BU225*BU124+BV225*BV124+BW225*BW124+BX225*BX124+BY225*BY124+BZ225*BZ124+CA225*CA124+CB225*CB124+CC225*CC124</f>
        <v>0</v>
      </c>
      <c r="CL124" s="2387">
        <f>E226*E124+F226*F124+G226*G124+H226*H124+I226*I124+J226*J124+K226*K124+L226*L124+M226*M124+N226*N124+O226*O124+P226*P124+Q226*Q124+R226*R124+S226*S124+T226*T124+U226*U124+V226*V124+W226*W124+X226*X124+Y226*Y124+Z226*Z124+AA226*AA124+AB226*AB124+AC226*AC124+AD226*AD124+AE226*AE124+AF226*AF124+AG226*AG124+AH226*AH124+AI226*AI124+AJ226*AJ124+AK226*AK124+AL226*AL124+AM226*AM124+AN226*AN124+AO226*AO124+AP226*AP124+AQ226*AQ124+AR226*AR124+AS226*AS124+AT226*AT124+AU226*AU124+AV226*AV124+AW226*AW124+AX226*AX124+AY226*AY124+AZ226*AZ124+BA226*BA124+BB226*BB124+BC226*BC124+BD226*BD124+BE226*BE124+BF226*BF124+BG226*BG124+BH226*BH124+BI226*BI124+BJ226*BJ124+BK226*BK124+BL226*BL124+BM226*BM124+BN226*BN124+BO226*BO124+BP226*BP124+BQ226*BQ124+BR226*BR124+BS226*BS124+BT226*BT124+BU226*BU124+BV226*BV124+BW226*BW124+BX226*BX124+BY226*BY124+BZ226*BZ124+CA226*CA124+CB226*CB124+CC226*CC124</f>
        <v>0</v>
      </c>
      <c r="CM124" s="2387">
        <f>E227*E124+F227*F124+G227*G124+H227*H124+I227*I124+J227*J124+K227*K124+L227*L124+M227*M124+N227*N124+O227*O124+P227*P124+Q227*Q124+R227*R124+S227*S124+T227*T124+U227*U124+V227*V124+W227*W124+X227*X124+Y227*Y124+Z227*Z124+AA227*AA124+AB227*AB124+AC227*AC124+AD227*AD124+AE227*AE124+AF227*AF124+AG227*AG124+AH227*AH124+AI227*AI124+AJ227*AJ124+AK227*AK124+AL227*AL124+AM227*AM124+AN227*AN124+AO227*AO124+AP227*AP124+AQ227*AQ124+AR227*AR124+AS227*AS124+AT227*AT124+AU227*AU124+AV227*AV124+AW227*AW124+AX227*AX124+AY227*AY124+AZ227*AZ124+BA227*BA124+BB227*BB124+BC227*BC124+BD227*BD124+BE227*BE124+BF227*BF124+BG227*BG124+BH227*BH124+BI227*BI124+BJ227*BJ124+BK227*BK124+BL227*BL124+BM227*BM124+BN227*BN124+BO227*BO124+BP227*BP124+BQ227*BQ124+BR227*BR124+BS227*BS124+BT227*BT124+BU227*BU124+BV227*BV124+BW227*BW124+BX227*BX124+BY227*BY124+BZ227*BZ124+CA227*CA124+CB227*CB124+CC227*CC124</f>
        <v>0</v>
      </c>
      <c r="CN124" s="2387">
        <f>E228*E124+F228*F124+G228*G124+H228*H124+I228*I124+J228*J124+K228*K124+L228*L124+M228*M124+N228*N124+O228*O124+P228*P124+Q228*Q124+R228*R124+S228*S124+T228*T124+U228*U124+V228*V124+W228*W124+X228*X124+Y228*Y124+Z228*Z124+AA228*AA124+AB228*AB124+AC228*AC124+AD228*AD124+AE228*AE124+AF228*AF124+AG228*AG124+AH228*AH124+AI228*AI124+AJ228*AJ124+AK228*AK124+AL228*AL124+AM228*AM124+AN228*AN124+AO228*AO124+AP228*AP124+AQ228*AQ124+AR228*AR124+AS228*AS124+AT228*AT124+AU228*AU124+AV228*AV124+AW228*AW124+AX228*AX124+AY228*AY124+AZ228*AZ124+BA228*BA124+BB228*BB124+BC228*BC124+BD228*BD124+BE228*BE124+BF228*BF124+BG228*BG124+BH228*BH124+BI228*BI124+BJ228*BJ124+BK228*BK124+BL228*BL124+BM228*BM124+BN228*BN124+BO228*BO124+BP228*BP124+BQ228*BQ124+BR228*BR124+BS228*BS124+BT228*BT124+BU228*BU124+BV228*BV124+BW228*BW124+BX228*BX124+BY228*BY124+BZ228*BZ124+CA228*CA124+CB228*CB124+CC228*CC124</f>
        <v>0</v>
      </c>
      <c r="CO124" s="2387">
        <f>E229*E124+F229*F124+G229*G124+H229*H124+I229*I124+J229*J124+K229*K124+L229*L124+M229*M124+N229*N124+O229*O124+P229*P124+Q229*Q124+R229*R124+S229*S124+T229*T124+U229*U124+V229*V124+W229*W124+X229*X124+Y229*Y124+Z229*Z124+AA229*AA124+AB229*AB124+AC229*AC124+AD229*AD124+AE229*AE124+AF229*AF124+AG229*AG124+AH229*AH124+AI229*AI124+AJ229*AJ124+AK229*AK124+AL229*AL124+AM229*AM124+AN229*AN124+AO229*AO124+AP229*AP124+AQ229*AQ124+AR229*AR124+AS229*AS124+AT229*AT124+AU229*AU124+AV229*AV124+AW229*AW124+AX229*AX124+AY229*AY124+AZ229*AZ124+BA229*BA124+BB229*BB124+BC229*BC124+BD229*BD124+BE229*BE124+BF229*BF124+BG229*BG124+BH229*BH124+BI229*BI124+BJ229*BJ124+BK229*BK124+BL229*BL124+BM229*BM124+BN229*BN124+BO229*BO124+BP229*BP124+BQ229*BQ124+BR229*BR124+BS229*BS124+BT229*BT124+BU229*BU124+BV229*BV124+BW229*BW124+BX229*BX124+BY229*BY124+BZ229*BZ124+CA229*CA124+CB229*CB124+CC229*CC124</f>
        <v>0</v>
      </c>
      <c r="CP124" s="2387">
        <f>E230*E124+F230*F124+G230*G124+H230*H124+I230*I124+J230*J124+K230*K124+L230*L124+M230*M124+N230*N124+O230*O124+P230*P124+Q230*Q124+R230*R124+S230*S124+T230*T124+U230*U124+V230*V124+W230*W124+X230*X124+Y230*Y124+Z230*Z124+AA230*AA124+AB230*AB124+AC230*AC124+AD230*AD124+AE230*AE124+AF230*AF124+AG230*AG124+AH230*AH124+AI230*AI124+AJ230*AJ124+AK230*AK124+AL230*AL124+AM230*AM124+AN230*AN124+AO230*AO124+AP230*AP124+AQ230*AQ124+AR230*AR124+AS230*AS124+AT230*AT124+AU230*AU124+AV230*AV124+AW230*AW124+AX230*AX124+AY230*AY124+AZ230*AZ124+BA230*BA124+BB230*BB124+BC230*BC124+BD230*BD124+BE230*BE124+BF230*BF124+BG230*BG124+BH230*BH124+BI230*BI124+BJ230*BJ124+BK230*BK124+BL230*BL124+BM230*BM124+BN230*BN124+BO230*BO124+BP230*BP124+BQ230*BQ124+BR230*BR124+BS230*BS124+BT230*BT124+BU230*BU124+BV230*BV124+BW230*BW124+BX230*BX124+BY230*BY124+BZ230*BZ124+CA230*CA124+CB230*CB124+CC230*CC124</f>
        <v>0</v>
      </c>
    </row>
    <row r="125" spans="2:94" ht="18" x14ac:dyDescent="0.25">
      <c r="B125" s="1583">
        <v>6</v>
      </c>
      <c r="C125" s="1523" t="s">
        <v>228</v>
      </c>
      <c r="D125" s="619" t="s">
        <v>1659</v>
      </c>
      <c r="E125" s="972">
        <f>0</f>
        <v>0</v>
      </c>
      <c r="F125" s="971">
        <f>-1/Y_OHO_SB_anox</f>
        <v>-1.8518518518518516</v>
      </c>
      <c r="G125" s="972">
        <f>0</f>
        <v>0</v>
      </c>
      <c r="H125" s="972">
        <f>0</f>
        <v>0</v>
      </c>
      <c r="I125" s="972">
        <f>0</f>
        <v>0</v>
      </c>
      <c r="J125" s="972">
        <f>0</f>
        <v>0</v>
      </c>
      <c r="K125" s="972">
        <f>0</f>
        <v>0</v>
      </c>
      <c r="L125" s="972">
        <f>0</f>
        <v>0</v>
      </c>
      <c r="M125" s="972">
        <f>0</f>
        <v>0</v>
      </c>
      <c r="N125" s="972">
        <f>0</f>
        <v>0</v>
      </c>
      <c r="O125" s="972">
        <f>0</f>
        <v>0</v>
      </c>
      <c r="P125" s="972">
        <f>0</f>
        <v>0</v>
      </c>
      <c r="Q125" s="972">
        <f>1</f>
        <v>1</v>
      </c>
      <c r="R125" s="972">
        <f>0</f>
        <v>0</v>
      </c>
      <c r="S125" s="972">
        <f>0</f>
        <v>0</v>
      </c>
      <c r="T125" s="972">
        <f>0</f>
        <v>0</v>
      </c>
      <c r="U125" s="972">
        <f>0</f>
        <v>0</v>
      </c>
      <c r="V125" s="972">
        <f>0</f>
        <v>0</v>
      </c>
      <c r="W125" s="972">
        <f>0</f>
        <v>0</v>
      </c>
      <c r="X125" s="972">
        <f>0</f>
        <v>0</v>
      </c>
      <c r="Y125" s="971">
        <f t="shared" si="0"/>
        <v>-7.0000000000000007E-2</v>
      </c>
      <c r="Z125" s="971">
        <f>(1-Y_OHO_SB_anox)/(E_EQNO2_NO3*Y_OHO_SB_anox)</f>
        <v>0.74575504914767643</v>
      </c>
      <c r="AA125" s="971">
        <f>-(1-Y_OHO_SB_anox)/(E_EQNO2_NO3*Y_OHO_SB_anox)</f>
        <v>-0.74575504914767643</v>
      </c>
      <c r="AB125" s="971">
        <f>0</f>
        <v>0</v>
      </c>
      <c r="AC125" s="972">
        <f>0</f>
        <v>0</v>
      </c>
      <c r="AD125" s="972">
        <f>0</f>
        <v>0</v>
      </c>
      <c r="AE125" s="972">
        <f>0</f>
        <v>0</v>
      </c>
      <c r="AF125" s="971">
        <f t="shared" si="1"/>
        <v>-0.02</v>
      </c>
      <c r="AG125" s="972">
        <f>0</f>
        <v>0</v>
      </c>
      <c r="AH125" s="972">
        <f>0</f>
        <v>0</v>
      </c>
      <c r="AI125" s="972">
        <f>0</f>
        <v>0</v>
      </c>
      <c r="AJ125" s="972">
        <f>0</f>
        <v>0</v>
      </c>
      <c r="AK125" s="972">
        <f>0</f>
        <v>0</v>
      </c>
      <c r="AL125" s="972">
        <f>0</f>
        <v>0</v>
      </c>
      <c r="AM125" s="972">
        <f>0</f>
        <v>0</v>
      </c>
      <c r="AN125" s="971">
        <f>i_CIT_SB/Y_OHO_SB_anox-i_CIT_BIO</f>
        <v>0.17762962962962958</v>
      </c>
      <c r="AO125" s="999">
        <f t="shared" si="2"/>
        <v>0.11</v>
      </c>
      <c r="AP125" s="999">
        <f t="shared" si="3"/>
        <v>-2.8804303582798466E-2</v>
      </c>
      <c r="AQ125" s="999">
        <f t="shared" si="4"/>
        <v>-7.0195696417201539E-2</v>
      </c>
      <c r="AR125" s="999">
        <f t="shared" si="5"/>
        <v>-5.5000000000000005E-3</v>
      </c>
      <c r="AS125" s="999">
        <f t="shared" si="6"/>
        <v>-5.5000000000000005E-3</v>
      </c>
      <c r="AT125" s="971">
        <f>0</f>
        <v>0</v>
      </c>
      <c r="AU125" s="971">
        <f>0</f>
        <v>0</v>
      </c>
      <c r="AV125" s="971">
        <f>0</f>
        <v>0</v>
      </c>
      <c r="AW125" s="971">
        <f>0</f>
        <v>0</v>
      </c>
      <c r="AX125" s="971">
        <f>0</f>
        <v>0</v>
      </c>
      <c r="AY125" s="971">
        <f>0</f>
        <v>0</v>
      </c>
      <c r="AZ125" s="971">
        <f>0</f>
        <v>0</v>
      </c>
      <c r="BA125" s="971">
        <f>0</f>
        <v>0</v>
      </c>
      <c r="BB125" s="971">
        <f>0</f>
        <v>0</v>
      </c>
      <c r="BC125" s="971">
        <f>0</f>
        <v>0</v>
      </c>
      <c r="BD125" s="971">
        <f>0</f>
        <v>0</v>
      </c>
      <c r="BE125" s="971">
        <f>0</f>
        <v>0</v>
      </c>
      <c r="BF125" s="971">
        <f>0</f>
        <v>0</v>
      </c>
      <c r="BG125" s="971">
        <f>0</f>
        <v>0</v>
      </c>
      <c r="BH125" s="971">
        <f>0</f>
        <v>0</v>
      </c>
      <c r="BI125" s="971">
        <f>0</f>
        <v>0</v>
      </c>
      <c r="BJ125" s="971">
        <f>0</f>
        <v>0</v>
      </c>
      <c r="BK125" s="971">
        <f>0</f>
        <v>0</v>
      </c>
      <c r="BL125" s="1634">
        <f>0</f>
        <v>0</v>
      </c>
      <c r="BM125" s="971">
        <f>0</f>
        <v>0</v>
      </c>
      <c r="BN125" s="971">
        <f>0</f>
        <v>0</v>
      </c>
      <c r="BO125" s="971">
        <f>0</f>
        <v>0</v>
      </c>
      <c r="BP125" s="1415">
        <f>0</f>
        <v>0</v>
      </c>
      <c r="BQ125" s="2364">
        <f>0</f>
        <v>0</v>
      </c>
      <c r="BR125" s="971">
        <f>0</f>
        <v>0</v>
      </c>
      <c r="BS125" s="971">
        <f>0</f>
        <v>0</v>
      </c>
      <c r="BT125" s="971">
        <f>0</f>
        <v>0</v>
      </c>
      <c r="BU125" s="971">
        <f>0</f>
        <v>0</v>
      </c>
      <c r="BV125" s="971">
        <f>0</f>
        <v>0</v>
      </c>
      <c r="BW125" s="971">
        <f>0</f>
        <v>0</v>
      </c>
      <c r="BX125" s="971">
        <f>0</f>
        <v>0</v>
      </c>
      <c r="BY125" s="971">
        <f>0</f>
        <v>0</v>
      </c>
      <c r="BZ125" s="971">
        <f>0</f>
        <v>0</v>
      </c>
      <c r="CA125" s="971">
        <f>0</f>
        <v>0</v>
      </c>
      <c r="CB125" s="971">
        <f>0</f>
        <v>0</v>
      </c>
      <c r="CC125" s="971">
        <f>0</f>
        <v>0</v>
      </c>
      <c r="CD125" s="1650">
        <f>µ_OHO_T*X_OHO*η_OHO_anox*M_satSB_KSB*M_inhSVFA_KVFA*M_satSNO3_KNO3_OHO*M_inhSO2_KO2_OHO*M_inhSNO2_KNO2_OHO*M_satSNHx_KNHx_BIO*M_satSPO4_KPO4_BIO*M_satSCAT_KCAT*M_satSAN_KAN*M_satSCa_KCa*M_satSMg_KMg*B_ellinhpH</f>
        <v>4.4148948010062901</v>
      </c>
      <c r="CF125" s="2385">
        <f>E220*E125+F220*F125+G220*G125+H220*H125+I220*I125+J220*J125+K220*K125+L220*L125+M220*M125+N220*N125+O220*O125+P220*P125+Q220*Q125+R220*R125+S220*S125+T220*T125+U220*U125+V220*V125+W220*W125+X220*X125+Y220*Y125+Z220*Z125+AA220*AA125+AB220*AB125+AC220*AC125+AD220*AD125+AE220*AE125+AF220*AF125+AG220*AG125+AH220*AH125+AI220*AI125+AJ220*AJ125+AK220*AK125+AL220*AL125+AM220*AM125+AN220*AN125+AO220*AO125+AP220*AP125+AQ220*AQ125+AR220*AR125+AS220*AS125+AT220*AT125+AU220*AU125+AV220*AV125+AW220*AW125+AX220*AX125+AY220*AY125+AZ220*AZ125+BA220*BA125+BB220*BB125+BC220*BC125+BD220*BD125+BE220*BE125+BF220*BF125+BG220*BG125+BH220*BH125+BI220*BI125+BJ220*BJ125+BK220*BK125+BL220*BL125+BM220*BM125+BN220*BN125+BO220*BO125+BP220*BP125+BQ220*BQ125+BR220*BR125+BS220*BS125+BT220*BT125+BU220*BU125+BV220*BV125+BW220*BW125+BX220*BX125+BY220*BY125+BZ220*BZ125+CA220*CA125+CB220*CB125+CC220*CC125</f>
        <v>0</v>
      </c>
      <c r="CG125" s="2385">
        <f>E221*E125+F221*F125+G221*G125+H221*H125+I221*I125+J221*J125+K221*K125+L221*L125+M221*M125+N221*N125+O221*O125+P221*P125+Q221*Q125+R221*R125+S221*S125+T221*T125+U221*U125+V221*V125+W221*W125+X221*X125+Y221*Y125+Z221*Z125+AA221*AA125+AB221*AB125+AC221*AC125+AD221*AD125+AE221*AE125+AF221*AF125+AG221*AG125+AH221*AH125+AI221*AI125+AJ221*AJ125+AK221*AK125+AL221*AL125+AM221*AM125+AN221*AN125+AO221*AO125+AP221*AP125+AQ221*AQ125+AR221*AR125+AS221*AS125+AT221*AT125+AU221*AU125+AV221*AV125+AW221*AW125+AX221*AX125+AY221*AY125+AZ221*AZ125+BA221*BA125+BB221*BB125+BC221*BC125+BD221*BD125+BE221*BE125+BF221*BF125+BG221*BG125+BH221*BH125+BI221*BI125+BJ221*BJ125+BK221*BK125+BL221*BL125+BM221*BM125+BN221*BN125+BO221*BO125+BP221*BP125+BQ221*BQ125+BR221*BR125+BS221*BS125+BT221*BT125+BU221*BU125+BV221*BV125+BW221*BW125+BX221*BX125+BY221*BY125+BZ221*BZ125+CA221*CA125+CB221*CB125+CC221*CC125</f>
        <v>0</v>
      </c>
      <c r="CH125" s="2386">
        <f>E222*E125+F222*F125+G222*G125+H222*H125+I222*I125+J222*J125+K222*K125+L222*L125+M222*M125+N222*N125+O222*O125+P222*P125+Q222*Q125+R222*R125+S222*S125+T222*T125+U222*U125+V222*V125+W222*W125+X222*X125+Y222*Y125+Z222*Z125+AA222*AA125+AB222*AB125+AC222*AC125+AD222*AD125+AE222*AE125+AF222*AF125+AG222*AG125+AH222*AH125+AI222*AI125+AJ222*AJ125+AK222*AK125+AL222*AL125+AM222*AM125+AN222*AN125+AO222*AO125+AP222*AP125+AQ222*AQ125+AR222*AR125+AS222*AS125+AT222*AT125+AU222*AU125+AV222*AV125+AW222*AW125+AX222*AX125+AY222*AY125+AZ222*AZ125+BA222*BA125+BB222*BB125+BC222*BC125+BD222*BD125+BE222*BE125+BF222*BF125+BG222*BG125+BH222*BH125+BI222*BI125+BJ222*BJ125+BK222*BK125+BL222*BL125+BM222*BM125+BN222*BN125+BO222*BO125+BP222*BP125+BQ222*BQ125+BR222*BR125+BS222*BS125+BT222*BT125+BU222*BU125+BV222*BV125+BW222*BW125+BX222*BX125+BY222*BY125+BZ222*BZ125+CA222*CA125+CB222*CB125+CC222*CC125</f>
        <v>0</v>
      </c>
      <c r="CI125" s="2387">
        <f>E223*E125+F223*F125+G223*G125+H223*H125+I223*I125+J223*J125+K223*K125+L223*L125+M223*M125+N223*N125+O223*O125+P223*P125+Q223*Q125+R223*R125+S223*S125+T223*T125+U223*U125+V223*V125+W223*W125+X223*X125+Y223*Y125+Z223*Z125+AA223*AA125+AB223*AB125+AC223*AC125+AD223*AD125+AE223*AE125+AF223*AF125+AG223*AG125+AH223*AH125+AI223*AI125+AJ223*AJ125+AK223*AK125+AL223*AL125+AM223*AM125+AN223*AN125+AO223*AO125+AP223*AP125+AQ223*AQ125+AR223*AR125+AS223*AS125+AT223*AT125+AU223*AU125+AV223*AV125+AW223*AW125+AX223*AX125+AY223*AY125+AZ223*AZ125+BA223*BA125+BB223*BB125+BC223*BC125+BD223*BD125+BE223*BE125+BF223*BF125+BG223*BG125+BH223*BH125+BI223*BI125+BJ223*BJ125+BK223*BK125+BL223*BL125+BM223*BM125+BN223*BN125+BO223*BO125+BP223*BP125+BQ223*BQ125+BR223*BR125+BS223*BS125+BT223*BT125+BU223*BU125+BV223*BV125+BW223*BW125+BX223*BX125+BY223*BY125+BZ223*BZ125+CA223*CA125+CB223*CB125+CC223*CC125</f>
        <v>0</v>
      </c>
      <c r="CJ125" s="2387">
        <f>E224*E125+F224*F125+G224*G125+H224*H125+I224*I125+J224*J125+K224*K125+L224*L125+M224*M125+N224*N125+O224*O125+P224*P125+Q224*Q125+R224*R125+S224*S125+T224*T125+U224*U125+V224*V125+W224*W125+X224*X125+Y224*Y125+Z224*Z125+AA224*AA125+AB224*AB125+AC224*AC125+AD224*AD125+AE224*AE125+AF224*AF125+AG224*AG125+AH224*AH125+AI224*AI125+AJ224*AJ125+AK224*AK125+AL224*AL125+AM224*AM125+AN224*AN125+AO224*AO125+AP224*AP125+AQ224*AQ125+AR224*AR125+AS224*AS125+AT224*AT125+AU224*AU125+AV224*AV125+AW224*AW125+AX224*AX125+AY224*AY125+AZ224*AZ125+BA224*BA125+BB224*BB125+BC224*BC125+BD224*BD125+BE224*BE125+BF224*BF125+BG224*BG125+BH224*BH125+BI224*BI125+BJ224*BJ125+BK224*BK125+BL224*BL125+BM224*BM125+BN224*BN125+BO224*BO125+BP224*BP125+BQ224*BQ125+BR224*BR125+BS224*BS125+BT224*BT125+BU224*BU125+BV224*BV125+BW224*BW125+BX224*BX125+BY224*BY125+BZ224*BZ125+CA224*CA125+CB224*CB125+CC224*CC125</f>
        <v>0</v>
      </c>
      <c r="CK125" s="2387">
        <f>E225*E125+F225*F125+G225*G125+H225*H125+I225*I125+J225*J125+K225*K125+L225*L125+M225*M125+N225*N125+O225*O125+P225*P125+Q225*Q125+R225*R125+S225*S125+T225*T125+U225*U125+V225*V125+W225*W125+X225*X125+Y225*Y125+Z225*Z125+AA225*AA125+AB225*AB125+AC225*AC125+AD225*AD125+AE225*AE125+AF225*AF125+AG225*AG125+AH225*AH125+AI225*AI125+AJ225*AJ125+AK225*AK125+AL225*AL125+AM225*AM125+AN225*AN125+AO225*AO125+AP225*AP125+AQ225*AQ125+AR225*AR125+AS225*AS125+AT225*AT125+AU225*AU125+AV225*AV125+AW225*AW125+AX225*AX125+AY225*AY125+AZ225*AZ125+BA225*BA125+BB225*BB125+BC225*BC125+BD225*BD125+BE225*BE125+BF225*BF125+BG225*BG125+BH225*BH125+BI225*BI125+BJ225*BJ125+BK225*BK125+BL225*BL125+BM225*BM125+BN225*BN125+BO225*BO125+BP225*BP125+BQ225*BQ125+BR225*BR125+BS225*BS125+BT225*BT125+BU225*BU125+BV225*BV125+BW225*BW125+BX225*BX125+BY225*BY125+BZ225*BZ125+CA225*CA125+CB225*CB125+CC225*CC125</f>
        <v>0</v>
      </c>
      <c r="CL125" s="2387">
        <f>E226*E125+F226*F125+G226*G125+H226*H125+I226*I125+J226*J125+K226*K125+L226*L125+M226*M125+N226*N125+O226*O125+P226*P125+Q226*Q125+R226*R125+S226*S125+T226*T125+U226*U125+V226*V125+W226*W125+X226*X125+Y226*Y125+Z226*Z125+AA226*AA125+AB226*AB125+AC226*AC125+AD226*AD125+AE226*AE125+AF226*AF125+AG226*AG125+AH226*AH125+AI226*AI125+AJ226*AJ125+AK226*AK125+AL226*AL125+AM226*AM125+AN226*AN125+AO226*AO125+AP226*AP125+AQ226*AQ125+AR226*AR125+AS226*AS125+AT226*AT125+AU226*AU125+AV226*AV125+AW226*AW125+AX226*AX125+AY226*AY125+AZ226*AZ125+BA226*BA125+BB226*BB125+BC226*BC125+BD226*BD125+BE226*BE125+BF226*BF125+BG226*BG125+BH226*BH125+BI226*BI125+BJ226*BJ125+BK226*BK125+BL226*BL125+BM226*BM125+BN226*BN125+BO226*BO125+BP226*BP125+BQ226*BQ125+BR226*BR125+BS226*BS125+BT226*BT125+BU226*BU125+BV226*BV125+BW226*BW125+BX226*BX125+BY226*BY125+BZ226*BZ125+CA226*CA125+CB226*CB125+CC226*CC125</f>
        <v>0</v>
      </c>
      <c r="CM125" s="2387">
        <f>E227*E125+F227*F125+G227*G125+H227*H125+I227*I125+J227*J125+K227*K125+L227*L125+M227*M125+N227*N125+O227*O125+P227*P125+Q227*Q125+R227*R125+S227*S125+T227*T125+U227*U125+V227*V125+W227*W125+X227*X125+Y227*Y125+Z227*Z125+AA227*AA125+AB227*AB125+AC227*AC125+AD227*AD125+AE227*AE125+AF227*AF125+AG227*AG125+AH227*AH125+AI227*AI125+AJ227*AJ125+AK227*AK125+AL227*AL125+AM227*AM125+AN227*AN125+AO227*AO125+AP227*AP125+AQ227*AQ125+AR227*AR125+AS227*AS125+AT227*AT125+AU227*AU125+AV227*AV125+AW227*AW125+AX227*AX125+AY227*AY125+AZ227*AZ125+BA227*BA125+BB227*BB125+BC227*BC125+BD227*BD125+BE227*BE125+BF227*BF125+BG227*BG125+BH227*BH125+BI227*BI125+BJ227*BJ125+BK227*BK125+BL227*BL125+BM227*BM125+BN227*BN125+BO227*BO125+BP227*BP125+BQ227*BQ125+BR227*BR125+BS227*BS125+BT227*BT125+BU227*BU125+BV227*BV125+BW227*BW125+BX227*BX125+BY227*BY125+BZ227*BZ125+CA227*CA125+CB227*CB125+CC227*CC125</f>
        <v>0</v>
      </c>
      <c r="CN125" s="2387">
        <f>E228*E125+F228*F125+G228*G125+H228*H125+I228*I125+J228*J125+K228*K125+L228*L125+M228*M125+N228*N125+O228*O125+P228*P125+Q228*Q125+R228*R125+S228*S125+T228*T125+U228*U125+V228*V125+W228*W125+X228*X125+Y228*Y125+Z228*Z125+AA228*AA125+AB228*AB125+AC228*AC125+AD228*AD125+AE228*AE125+AF228*AF125+AG228*AG125+AH228*AH125+AI228*AI125+AJ228*AJ125+AK228*AK125+AL228*AL125+AM228*AM125+AN228*AN125+AO228*AO125+AP228*AP125+AQ228*AQ125+AR228*AR125+AS228*AS125+AT228*AT125+AU228*AU125+AV228*AV125+AW228*AW125+AX228*AX125+AY228*AY125+AZ228*AZ125+BA228*BA125+BB228*BB125+BC228*BC125+BD228*BD125+BE228*BE125+BF228*BF125+BG228*BG125+BH228*BH125+BI228*BI125+BJ228*BJ125+BK228*BK125+BL228*BL125+BM228*BM125+BN228*BN125+BO228*BO125+BP228*BP125+BQ228*BQ125+BR228*BR125+BS228*BS125+BT228*BT125+BU228*BU125+BV228*BV125+BW228*BW125+BX228*BX125+BY228*BY125+BZ228*BZ125+CA228*CA125+CB228*CB125+CC228*CC125</f>
        <v>0</v>
      </c>
      <c r="CO125" s="2387">
        <f>E229*E125+F229*F125+G229*G125+H229*H125+I229*I125+J229*J125+K229*K125+L229*L125+M229*M125+N229*N125+O229*O125+P229*P125+Q229*Q125+R229*R125+S229*S125+T229*T125+U229*U125+V229*V125+W229*W125+X229*X125+Y229*Y125+Z229*Z125+AA229*AA125+AB229*AB125+AC229*AC125+AD229*AD125+AE229*AE125+AF229*AF125+AG229*AG125+AH229*AH125+AI229*AI125+AJ229*AJ125+AK229*AK125+AL229*AL125+AM229*AM125+AN229*AN125+AO229*AO125+AP229*AP125+AQ229*AQ125+AR229*AR125+AS229*AS125+AT229*AT125+AU229*AU125+AV229*AV125+AW229*AW125+AX229*AX125+AY229*AY125+AZ229*AZ125+BA229*BA125+BB229*BB125+BC229*BC125+BD229*BD125+BE229*BE125+BF229*BF125+BG229*BG125+BH229*BH125+BI229*BI125+BJ229*BJ125+BK229*BK125+BL229*BL125+BM229*BM125+BN229*BN125+BO229*BO125+BP229*BP125+BQ229*BQ125+BR229*BR125+BS229*BS125+BT229*BT125+BU229*BU125+BV229*BV125+BW229*BW125+BX229*BX125+BY229*BY125+BZ229*BZ125+CA229*CA125+CB229*CB125+CC229*CC125</f>
        <v>0</v>
      </c>
      <c r="CP125" s="2387">
        <f>E230*E125+F230*F125+G230*G125+H230*H125+I230*I125+J230*J125+K230*K125+L230*L125+M230*M125+N230*N125+O230*O125+P230*P125+Q230*Q125+R230*R125+S230*S125+T230*T125+U230*U125+V230*V125+W230*W125+X230*X125+Y230*Y125+Z230*Z125+AA230*AA125+AB230*AB125+AC230*AC125+AD230*AD125+AE230*AE125+AF230*AF125+AG230*AG125+AH230*AH125+AI230*AI125+AJ230*AJ125+AK230*AK125+AL230*AL125+AM230*AM125+AN230*AN125+AO230*AO125+AP230*AP125+AQ230*AQ125+AR230*AR125+AS230*AS125+AT230*AT125+AU230*AU125+AV230*AV125+AW230*AW125+AX230*AX125+AY230*AY125+AZ230*AZ125+BA230*BA125+BB230*BB125+BC230*BC125+BD230*BD125+BE230*BE125+BF230*BF125+BG230*BG125+BH230*BH125+BI230*BI125+BJ230*BJ125+BK230*BK125+BL230*BL125+BM230*BM125+BN230*BN125+BO230*BO125+BP230*BP125+BQ230*BQ125+BR230*BR125+BS230*BS125+BT230*BT125+BU230*BU125+BV230*BV125+BW230*BW125+BX230*BX125+BY230*BY125+BZ230*BZ125+CA230*CA125+CB230*CB125+CC230*CC125</f>
        <v>0</v>
      </c>
    </row>
    <row r="126" spans="2:94" ht="18" x14ac:dyDescent="0.25">
      <c r="B126" s="1583">
        <v>7</v>
      </c>
      <c r="C126" s="1523" t="s">
        <v>229</v>
      </c>
      <c r="D126" s="619" t="s">
        <v>2207</v>
      </c>
      <c r="E126" s="972">
        <f>(1-Y_OHO_SB_ana-Y_OHO_H2_ana_high)/Y_OHO_SB_ana</f>
        <v>5.5</v>
      </c>
      <c r="F126" s="971">
        <f>-1/Y_OHO_SB_ana</f>
        <v>-10</v>
      </c>
      <c r="G126" s="972">
        <f>0</f>
        <v>0</v>
      </c>
      <c r="H126" s="972">
        <f>0</f>
        <v>0</v>
      </c>
      <c r="I126" s="972">
        <f>0</f>
        <v>0</v>
      </c>
      <c r="J126" s="972">
        <f>0</f>
        <v>0</v>
      </c>
      <c r="K126" s="972">
        <f>0</f>
        <v>0</v>
      </c>
      <c r="L126" s="972">
        <f>0</f>
        <v>0</v>
      </c>
      <c r="M126" s="972">
        <f>0</f>
        <v>0</v>
      </c>
      <c r="N126" s="972">
        <f>0</f>
        <v>0</v>
      </c>
      <c r="O126" s="972">
        <f>0</f>
        <v>0</v>
      </c>
      <c r="P126" s="972">
        <f>0</f>
        <v>0</v>
      </c>
      <c r="Q126" s="972">
        <f>1</f>
        <v>1</v>
      </c>
      <c r="R126" s="972">
        <f>0</f>
        <v>0</v>
      </c>
      <c r="S126" s="972">
        <f>0</f>
        <v>0</v>
      </c>
      <c r="T126" s="972">
        <f>0</f>
        <v>0</v>
      </c>
      <c r="U126" s="972">
        <f>0</f>
        <v>0</v>
      </c>
      <c r="V126" s="972">
        <f>0</f>
        <v>0</v>
      </c>
      <c r="W126" s="972">
        <f>0</f>
        <v>0</v>
      </c>
      <c r="X126" s="972">
        <f>0</f>
        <v>0</v>
      </c>
      <c r="Y126" s="971">
        <f t="shared" si="0"/>
        <v>-7.0000000000000007E-2</v>
      </c>
      <c r="Z126" s="972">
        <f>0</f>
        <v>0</v>
      </c>
      <c r="AA126" s="972">
        <f>0</f>
        <v>0</v>
      </c>
      <c r="AB126" s="972">
        <f>0</f>
        <v>0</v>
      </c>
      <c r="AC126" s="972">
        <f>0</f>
        <v>0</v>
      </c>
      <c r="AD126" s="972">
        <f>0</f>
        <v>0</v>
      </c>
      <c r="AE126" s="972">
        <f>0</f>
        <v>0</v>
      </c>
      <c r="AF126" s="971">
        <f t="shared" si="1"/>
        <v>-0.02</v>
      </c>
      <c r="AG126" s="972">
        <f>0</f>
        <v>0</v>
      </c>
      <c r="AH126" s="972">
        <f>0</f>
        <v>0</v>
      </c>
      <c r="AI126" s="972">
        <f>0</f>
        <v>0</v>
      </c>
      <c r="AJ126" s="972">
        <f>0</f>
        <v>0</v>
      </c>
      <c r="AK126" s="972">
        <f>0</f>
        <v>0</v>
      </c>
      <c r="AL126" s="972">
        <f>0</f>
        <v>0</v>
      </c>
      <c r="AM126" s="972">
        <f>Y_OHO_H2_ana_high/Y_OHO_SB_ana</f>
        <v>3.4999999999999996</v>
      </c>
      <c r="AN126" s="972">
        <f>(i_CIT_SB-i_CIT_VFA*(1-Y_OHO_SB_ana-Y_OHO_H2_ana_high)-i_CIT_BIO*Y_OHO_SB_ana)/Y_OHO_SB_ana</f>
        <v>0.44549999999999956</v>
      </c>
      <c r="AO126" s="999">
        <f t="shared" si="2"/>
        <v>0.11</v>
      </c>
      <c r="AP126" s="999">
        <f t="shared" si="3"/>
        <v>-2.8804303582798466E-2</v>
      </c>
      <c r="AQ126" s="999">
        <f t="shared" si="4"/>
        <v>-7.0195696417201539E-2</v>
      </c>
      <c r="AR126" s="999">
        <f t="shared" si="5"/>
        <v>-5.5000000000000005E-3</v>
      </c>
      <c r="AS126" s="999">
        <f t="shared" si="6"/>
        <v>-5.5000000000000005E-3</v>
      </c>
      <c r="AT126" s="971">
        <f>0</f>
        <v>0</v>
      </c>
      <c r="AU126" s="971">
        <f>0</f>
        <v>0</v>
      </c>
      <c r="AV126" s="971">
        <f>0</f>
        <v>0</v>
      </c>
      <c r="AW126" s="971">
        <f>0</f>
        <v>0</v>
      </c>
      <c r="AX126" s="971">
        <f>0</f>
        <v>0</v>
      </c>
      <c r="AY126" s="971">
        <f>0</f>
        <v>0</v>
      </c>
      <c r="AZ126" s="971">
        <f>0</f>
        <v>0</v>
      </c>
      <c r="BA126" s="971">
        <f>0</f>
        <v>0</v>
      </c>
      <c r="BB126" s="971">
        <f>0</f>
        <v>0</v>
      </c>
      <c r="BC126" s="971">
        <f>0</f>
        <v>0</v>
      </c>
      <c r="BD126" s="971">
        <f>0</f>
        <v>0</v>
      </c>
      <c r="BE126" s="971">
        <f>0</f>
        <v>0</v>
      </c>
      <c r="BF126" s="971">
        <f>0</f>
        <v>0</v>
      </c>
      <c r="BG126" s="971">
        <f>0</f>
        <v>0</v>
      </c>
      <c r="BH126" s="971">
        <f>0</f>
        <v>0</v>
      </c>
      <c r="BI126" s="971">
        <f>0</f>
        <v>0</v>
      </c>
      <c r="BJ126" s="971">
        <f>0</f>
        <v>0</v>
      </c>
      <c r="BK126" s="971">
        <f>0</f>
        <v>0</v>
      </c>
      <c r="BL126" s="1634">
        <f>0</f>
        <v>0</v>
      </c>
      <c r="BM126" s="971">
        <f>0</f>
        <v>0</v>
      </c>
      <c r="BN126" s="971">
        <f>0</f>
        <v>0</v>
      </c>
      <c r="BO126" s="971">
        <f>0</f>
        <v>0</v>
      </c>
      <c r="BP126" s="1415">
        <f>0</f>
        <v>0</v>
      </c>
      <c r="BQ126" s="2364">
        <f>0</f>
        <v>0</v>
      </c>
      <c r="BR126" s="971">
        <f>0</f>
        <v>0</v>
      </c>
      <c r="BS126" s="971">
        <f>0</f>
        <v>0</v>
      </c>
      <c r="BT126" s="971">
        <f>0</f>
        <v>0</v>
      </c>
      <c r="BU126" s="971">
        <f>0</f>
        <v>0</v>
      </c>
      <c r="BV126" s="971">
        <f>0</f>
        <v>0</v>
      </c>
      <c r="BW126" s="971">
        <f>0</f>
        <v>0</v>
      </c>
      <c r="BX126" s="971">
        <f>0</f>
        <v>0</v>
      </c>
      <c r="BY126" s="971">
        <f>0</f>
        <v>0</v>
      </c>
      <c r="BZ126" s="971">
        <f>0</f>
        <v>0</v>
      </c>
      <c r="CA126" s="971">
        <f>0</f>
        <v>0</v>
      </c>
      <c r="CB126" s="971">
        <f>0</f>
        <v>0</v>
      </c>
      <c r="CC126" s="971">
        <f>0</f>
        <v>0</v>
      </c>
      <c r="CD126" s="1650">
        <f>µ_FERM_OHO_T*X_OHO*L_ogsatSVFA_KVFA_FERM*M_satSB_KSB_ana*M_inhSO2_KO2_OHO*M_inhSNO2_KNO2_OHO*M_inhSNO3_KNO3_OHO*M_satSNHx_KNHx_BIO*M_satSPO4_KPO4_BIO*M_satSCAT_KCAT*M_satSAN_KAN*M_satSCa_KCa*M_satSMg_KMg*B_ellinhpH</f>
        <v>5.0399436898691902E-219</v>
      </c>
      <c r="CF126" s="2385">
        <f>E220*E126+F220*F126+G220*G126+H220*H126+I220*I126+J220*J126+K220*K126+L220*L126+M220*M126+N220*N126+O220*O126+P220*P126+Q220*Q126+R220*R126+S220*S126+T220*T126+U220*U126+V220*V126+W220*W126+X220*X126+Y220*Y126+Z220*Z126+AA220*AA126+AB220*AB126+AC220*AC126+AD220*AD126+AE220*AE126+AF220*AF126+AG220*AG126+AH220*AH126+AI220*AI126+AJ220*AJ126+AK220*AK126+AL220*AL126+AM220*AM126+AN220*AN126+AO220*AO126+AP220*AP126+AQ220*AQ126+AR220*AR126+AS220*AS126+AT220*AT126+AU220*AU126+AV220*AV126+AW220*AW126+AX220*AX126+AY220*AY126+AZ220*AZ126+BA220*BA126+BB220*BB126+BC220*BC126+BD220*BD126+BE220*BE126+BF220*BF126+BG220*BG126+BH220*BH126+BI220*BI126+BJ220*BJ126+BK220*BK126+BL220*BL126+BM220*BM126+BN220*BN126+BO220*BO126+BP220*BP126+BQ220*BQ126+BR220*BR126+BS220*BS126+BT220*BT126+BU220*BU126+BV220*BV126+BW220*BW126+BX220*BX126+BY220*BY126+BZ220*BZ126+CA220*CA126+CB220*CB126+CC220*CC126</f>
        <v>-4.4408920985006262E-16</v>
      </c>
      <c r="CG126" s="2385">
        <f>E221*E126+F221*F126+G221*G126+H221*H126+I221*I126+J221*J126+K221*K126+L221*L126+M221*M126+N221*N126+O221*O126+P221*P126+Q221*Q126+R221*R126+S221*S126+T221*T126+U221*U126+V221*V126+W221*W126+X221*X126+Y221*Y126+Z221*Z126+AA221*AA126+AB221*AB126+AC221*AC126+AD221*AD126+AE221*AE126+AF221*AF126+AG221*AG126+AH221*AH126+AI221*AI126+AJ221*AJ126+AK221*AK126+AL221*AL126+AM221*AM126+AN221*AN126+AO221*AO126+AP221*AP126+AQ221*AQ126+AR221*AR126+AS221*AS126+AT221*AT126+AU221*AU126+AV221*AV126+AW221*AW126+AX221*AX126+AY221*AY126+AZ221*AZ126+BA221*BA126+BB221*BB126+BC221*BC126+BD221*BD126+BE221*BE126+BF221*BF126+BG221*BG126+BH221*BH126+BI221*BI126+BJ221*BJ126+BK221*BK126+BL221*BL126+BM221*BM126+BN221*BN126+BO221*BO126+BP221*BP126+BQ221*BQ126+BR221*BR126+BS221*BS126+BT221*BT126+BU221*BU126+BV221*BV126+BW221*BW126+BX221*BX126+BY221*BY126+BZ221*BZ126+CA221*CA126+CB221*CB126+CC221*CC126</f>
        <v>-3.3306690738754696E-16</v>
      </c>
      <c r="CH126" s="2386">
        <f>E222*E126+F222*F126+G222*G126+H222*H126+I222*I126+J222*J126+K222*K126+L222*L126+M222*M126+N222*N126+O222*O126+P222*P126+Q222*Q126+R222*R126+S222*S126+T222*T126+U222*U126+V222*V126+W222*W126+X222*X126+Y222*Y126+Z222*Z126+AA222*AA126+AB222*AB126+AC222*AC126+AD222*AD126+AE222*AE126+AF222*AF126+AG222*AG126+AH222*AH126+AI222*AI126+AJ222*AJ126+AK222*AK126+AL222*AL126+AM222*AM126+AN222*AN126+AO222*AO126+AP222*AP126+AQ222*AQ126+AR222*AR126+AS222*AS126+AT222*AT126+AU222*AU126+AV222*AV126+AW222*AW126+AX222*AX126+AY222*AY126+AZ222*AZ126+BA222*BA126+BB222*BB126+BC222*BC126+BD222*BD126+BE222*BE126+BF222*BF126+BG222*BG126+BH222*BH126+BI222*BI126+BJ222*BJ126+BK222*BK126+BL222*BL126+BM222*BM126+BN222*BN126+BO222*BO126+BP222*BP126+BQ222*BQ126+BR222*BR126+BS222*BS126+BT222*BT126+BU222*BU126+BV222*BV126+BW222*BW126+BX222*BX126+BY222*BY126+BZ222*BZ126+CA222*CA126+CB222*CB126+CC222*CC126</f>
        <v>0</v>
      </c>
      <c r="CI126" s="2387">
        <f>E223*E126+F223*F126+G223*G126+H223*H126+I223*I126+J223*J126+K223*K126+L223*L126+M223*M126+N223*N126+O223*O126+P223*P126+Q223*Q126+R223*R126+S223*S126+T223*T126+U223*U126+V223*V126+W223*W126+X223*X126+Y223*Y126+Z223*Z126+AA223*AA126+AB223*AB126+AC223*AC126+AD223*AD126+AE223*AE126+AF223*AF126+AG223*AG126+AH223*AH126+AI223*AI126+AJ223*AJ126+AK223*AK126+AL223*AL126+AM223*AM126+AN223*AN126+AO223*AO126+AP223*AP126+AQ223*AQ126+AR223*AR126+AS223*AS126+AT223*AT126+AU223*AU126+AV223*AV126+AW223*AW126+AX223*AX126+AY223*AY126+AZ223*AZ126+BA223*BA126+BB223*BB126+BC223*BC126+BD223*BD126+BE223*BE126+BF223*BF126+BG223*BG126+BH223*BH126+BI223*BI126+BJ223*BJ126+BK223*BK126+BL223*BL126+BM223*BM126+BN223*BN126+BO223*BO126+BP223*BP126+BQ223*BQ126+BR223*BR126+BS223*BS126+BT223*BT126+BU223*BU126+BV223*BV126+BW223*BW126+BX223*BX126+BY223*BY126+BZ223*BZ126+CA223*CA126+CB223*CB126+CC223*CC126</f>
        <v>0</v>
      </c>
      <c r="CJ126" s="2387">
        <f>E224*E126+F224*F126+G224*G126+H224*H126+I224*I126+J224*J126+K224*K126+L224*L126+M224*M126+N224*N126+O224*O126+P224*P126+Q224*Q126+R224*R126+S224*S126+T224*T126+U224*U126+V224*V126+W224*W126+X224*X126+Y224*Y126+Z224*Z126+AA224*AA126+AB224*AB126+AC224*AC126+AD224*AD126+AE224*AE126+AF224*AF126+AG224*AG126+AH224*AH126+AI224*AI126+AJ224*AJ126+AK224*AK126+AL224*AL126+AM224*AM126+AN224*AN126+AO224*AO126+AP224*AP126+AQ224*AQ126+AR224*AR126+AS224*AS126+AT224*AT126+AU224*AU126+AV224*AV126+AW224*AW126+AX224*AX126+AY224*AY126+AZ224*AZ126+BA224*BA126+BB224*BB126+BC224*BC126+BD224*BD126+BE224*BE126+BF224*BF126+BG224*BG126+BH224*BH126+BI224*BI126+BJ224*BJ126+BK224*BK126+BL224*BL126+BM224*BM126+BN224*BN126+BO224*BO126+BP224*BP126+BQ224*BQ126+BR224*BR126+BS224*BS126+BT224*BT126+BU224*BU126+BV224*BV126+BW224*BW126+BX224*BX126+BY224*BY126+BZ224*BZ126+CA224*CA126+CB224*CB126+CC224*CC126</f>
        <v>0</v>
      </c>
      <c r="CK126" s="2387">
        <f>E225*E126+F225*F126+G225*G126+H225*H126+I225*I126+J225*J126+K225*K126+L225*L126+M225*M126+N225*N126+O225*O126+P225*P126+Q225*Q126+R225*R126+S225*S126+T225*T126+U225*U126+V225*V126+W225*W126+X225*X126+Y225*Y126+Z225*Z126+AA225*AA126+AB225*AB126+AC225*AC126+AD225*AD126+AE225*AE126+AF225*AF126+AG225*AG126+AH225*AH126+AI225*AI126+AJ225*AJ126+AK225*AK126+AL225*AL126+AM225*AM126+AN225*AN126+AO225*AO126+AP225*AP126+AQ225*AQ126+AR225*AR126+AS225*AS126+AT225*AT126+AU225*AU126+AV225*AV126+AW225*AW126+AX225*AX126+AY225*AY126+AZ225*AZ126+BA225*BA126+BB225*BB126+BC225*BC126+BD225*BD126+BE225*BE126+BF225*BF126+BG225*BG126+BH225*BH126+BI225*BI126+BJ225*BJ126+BK225*BK126+BL225*BL126+BM225*BM126+BN225*BN126+BO225*BO126+BP225*BP126+BQ225*BQ126+BR225*BR126+BS225*BS126+BT225*BT126+BU225*BU126+BV225*BV126+BW225*BW126+BX225*BX126+BY225*BY126+BZ225*BZ126+CA225*CA126+CB225*CB126+CC225*CC126</f>
        <v>0</v>
      </c>
      <c r="CL126" s="2387">
        <f>E226*E126+F226*F126+G226*G126+H226*H126+I226*I126+J226*J126+K226*K126+L226*L126+M226*M126+N226*N126+O226*O126+P226*P126+Q226*Q126+R226*R126+S226*S126+T226*T126+U226*U126+V226*V126+W226*W126+X226*X126+Y226*Y126+Z226*Z126+AA226*AA126+AB226*AB126+AC226*AC126+AD226*AD126+AE226*AE126+AF226*AF126+AG226*AG126+AH226*AH126+AI226*AI126+AJ226*AJ126+AK226*AK126+AL226*AL126+AM226*AM126+AN226*AN126+AO226*AO126+AP226*AP126+AQ226*AQ126+AR226*AR126+AS226*AS126+AT226*AT126+AU226*AU126+AV226*AV126+AW226*AW126+AX226*AX126+AY226*AY126+AZ226*AZ126+BA226*BA126+BB226*BB126+BC226*BC126+BD226*BD126+BE226*BE126+BF226*BF126+BG226*BG126+BH226*BH126+BI226*BI126+BJ226*BJ126+BK226*BK126+BL226*BL126+BM226*BM126+BN226*BN126+BO226*BO126+BP226*BP126+BQ226*BQ126+BR226*BR126+BS226*BS126+BT226*BT126+BU226*BU126+BV226*BV126+BW226*BW126+BX226*BX126+BY226*BY126+BZ226*BZ126+CA226*CA126+CB226*CB126+CC226*CC126</f>
        <v>0</v>
      </c>
      <c r="CM126" s="2387">
        <f>E227*E126+F227*F126+G227*G126+H227*H126+I227*I126+J227*J126+K227*K126+L227*L126+M227*M126+N227*N126+O227*O126+P227*P126+Q227*Q126+R227*R126+S227*S126+T227*T126+U227*U126+V227*V126+W227*W126+X227*X126+Y227*Y126+Z227*Z126+AA227*AA126+AB227*AB126+AC227*AC126+AD227*AD126+AE227*AE126+AF227*AF126+AG227*AG126+AH227*AH126+AI227*AI126+AJ227*AJ126+AK227*AK126+AL227*AL126+AM227*AM126+AN227*AN126+AO227*AO126+AP227*AP126+AQ227*AQ126+AR227*AR126+AS227*AS126+AT227*AT126+AU227*AU126+AV227*AV126+AW227*AW126+AX227*AX126+AY227*AY126+AZ227*AZ126+BA227*BA126+BB227*BB126+BC227*BC126+BD227*BD126+BE227*BE126+BF227*BF126+BG227*BG126+BH227*BH126+BI227*BI126+BJ227*BJ126+BK227*BK126+BL227*BL126+BM227*BM126+BN227*BN126+BO227*BO126+BP227*BP126+BQ227*BQ126+BR227*BR126+BS227*BS126+BT227*BT126+BU227*BU126+BV227*BV126+BW227*BW126+BX227*BX126+BY227*BY126+BZ227*BZ126+CA227*CA126+CB227*CB126+CC227*CC126</f>
        <v>0</v>
      </c>
      <c r="CN126" s="2387">
        <f>E228*E126+F228*F126+G228*G126+H228*H126+I228*I126+J228*J126+K228*K126+L228*L126+M228*M126+N228*N126+O228*O126+P228*P126+Q228*Q126+R228*R126+S228*S126+T228*T126+U228*U126+V228*V126+W228*W126+X228*X126+Y228*Y126+Z228*Z126+AA228*AA126+AB228*AB126+AC228*AC126+AD228*AD126+AE228*AE126+AF228*AF126+AG228*AG126+AH228*AH126+AI228*AI126+AJ228*AJ126+AK228*AK126+AL228*AL126+AM228*AM126+AN228*AN126+AO228*AO126+AP228*AP126+AQ228*AQ126+AR228*AR126+AS228*AS126+AT228*AT126+AU228*AU126+AV228*AV126+AW228*AW126+AX228*AX126+AY228*AY126+AZ228*AZ126+BA228*BA126+BB228*BB126+BC228*BC126+BD228*BD126+BE228*BE126+BF228*BF126+BG228*BG126+BH228*BH126+BI228*BI126+BJ228*BJ126+BK228*BK126+BL228*BL126+BM228*BM126+BN228*BN126+BO228*BO126+BP228*BP126+BQ228*BQ126+BR228*BR126+BS228*BS126+BT228*BT126+BU228*BU126+BV228*BV126+BW228*BW126+BX228*BX126+BY228*BY126+BZ228*BZ126+CA228*CA126+CB228*CB126+CC228*CC126</f>
        <v>0</v>
      </c>
      <c r="CO126" s="2387">
        <f>E229*E126+F229*F126+G229*G126+H229*H126+I229*I126+J229*J126+K229*K126+L229*L126+M229*M126+N229*N126+O229*O126+P229*P126+Q229*Q126+R229*R126+S229*S126+T229*T126+U229*U126+V229*V126+W229*W126+X229*X126+Y229*Y126+Z229*Z126+AA229*AA126+AB229*AB126+AC229*AC126+AD229*AD126+AE229*AE126+AF229*AF126+AG229*AG126+AH229*AH126+AI229*AI126+AJ229*AJ126+AK229*AK126+AL229*AL126+AM229*AM126+AN229*AN126+AO229*AO126+AP229*AP126+AQ229*AQ126+AR229*AR126+AS229*AS126+AT229*AT126+AU229*AU126+AV229*AV126+AW229*AW126+AX229*AX126+AY229*AY126+AZ229*AZ126+BA229*BA126+BB229*BB126+BC229*BC126+BD229*BD126+BE229*BE126+BF229*BF126+BG229*BG126+BH229*BH126+BI229*BI126+BJ229*BJ126+BK229*BK126+BL229*BL126+BM229*BM126+BN229*BN126+BO229*BO126+BP229*BP126+BQ229*BQ126+BR229*BR126+BS229*BS126+BT229*BT126+BU229*BU126+BV229*BV126+BW229*BW126+BX229*BX126+BY229*BY126+BZ229*BZ126+CA229*CA126+CB229*CB126+CC229*CC126</f>
        <v>0</v>
      </c>
      <c r="CP126" s="2387">
        <f>E230*E126+F230*F126+G230*G126+H230*H126+I230*I126+J230*J126+K230*K126+L230*L126+M230*M126+N230*N126+O230*O126+P230*P126+Q230*Q126+R230*R126+S230*S126+T230*T126+U230*U126+V230*V126+W230*W126+X230*X126+Y230*Y126+Z230*Z126+AA230*AA126+AB230*AB126+AC230*AC126+AD230*AD126+AE230*AE126+AF230*AF126+AG230*AG126+AH230*AH126+AI230*AI126+AJ230*AJ126+AK230*AK126+AL230*AL126+AM230*AM126+AN230*AN126+AO230*AO126+AP230*AP126+AQ230*AQ126+AR230*AR126+AS230*AS126+AT230*AT126+AU230*AU126+AV230*AV126+AW230*AW126+AX230*AX126+AY230*AY126+AZ230*AZ126+BA230*BA126+BB230*BB126+BC230*BC126+BD230*BD126+BE230*BE126+BF230*BF126+BG230*BG126+BH230*BH126+BI230*BI126+BJ230*BJ126+BK230*BK126+BL230*BL126+BM230*BM126+BN230*BN126+BO230*BO126+BP230*BP126+BQ230*BQ126+BR230*BR126+BS230*BS126+BT230*BT126+BU230*BU126+BV230*BV126+BW230*BW126+BX230*BX126+BY230*BY126+BZ230*BZ126+CA230*CA126+CB230*CB126+CC230*CC126</f>
        <v>0</v>
      </c>
    </row>
    <row r="127" spans="2:94" ht="18" x14ac:dyDescent="0.25">
      <c r="B127" s="1583">
        <v>8</v>
      </c>
      <c r="C127" s="1523" t="s">
        <v>230</v>
      </c>
      <c r="D127" s="619" t="s">
        <v>2961</v>
      </c>
      <c r="E127" s="972">
        <f>(1-Y_OHO_SB_ana-Y_OHO_H2_ana_low)/Y_OHO_SB_ana</f>
        <v>8</v>
      </c>
      <c r="F127" s="971">
        <f>-1/Y_OHO_SB_ana</f>
        <v>-10</v>
      </c>
      <c r="G127" s="972">
        <f>0</f>
        <v>0</v>
      </c>
      <c r="H127" s="972">
        <f>0</f>
        <v>0</v>
      </c>
      <c r="I127" s="972">
        <f>0</f>
        <v>0</v>
      </c>
      <c r="J127" s="972">
        <f>0</f>
        <v>0</v>
      </c>
      <c r="K127" s="972">
        <f>0</f>
        <v>0</v>
      </c>
      <c r="L127" s="972">
        <f>0</f>
        <v>0</v>
      </c>
      <c r="M127" s="972">
        <f>0</f>
        <v>0</v>
      </c>
      <c r="N127" s="972">
        <f>0</f>
        <v>0</v>
      </c>
      <c r="O127" s="972">
        <f>0</f>
        <v>0</v>
      </c>
      <c r="P127" s="972">
        <f>0</f>
        <v>0</v>
      </c>
      <c r="Q127" s="972">
        <f>1</f>
        <v>1</v>
      </c>
      <c r="R127" s="972">
        <f>0</f>
        <v>0</v>
      </c>
      <c r="S127" s="972">
        <f>0</f>
        <v>0</v>
      </c>
      <c r="T127" s="972">
        <f>0</f>
        <v>0</v>
      </c>
      <c r="U127" s="972">
        <f>0</f>
        <v>0</v>
      </c>
      <c r="V127" s="972">
        <f>0</f>
        <v>0</v>
      </c>
      <c r="W127" s="972">
        <f>0</f>
        <v>0</v>
      </c>
      <c r="X127" s="972">
        <f>0</f>
        <v>0</v>
      </c>
      <c r="Y127" s="971">
        <f t="shared" si="0"/>
        <v>-7.0000000000000007E-2</v>
      </c>
      <c r="Z127" s="972">
        <f>0</f>
        <v>0</v>
      </c>
      <c r="AA127" s="972">
        <f>0</f>
        <v>0</v>
      </c>
      <c r="AB127" s="972">
        <f>0</f>
        <v>0</v>
      </c>
      <c r="AC127" s="972">
        <f>0</f>
        <v>0</v>
      </c>
      <c r="AD127" s="972">
        <f>0</f>
        <v>0</v>
      </c>
      <c r="AE127" s="972">
        <f>0</f>
        <v>0</v>
      </c>
      <c r="AF127" s="971">
        <f t="shared" si="1"/>
        <v>-0.02</v>
      </c>
      <c r="AG127" s="972">
        <f>0</f>
        <v>0</v>
      </c>
      <c r="AH127" s="972">
        <f>0</f>
        <v>0</v>
      </c>
      <c r="AI127" s="972">
        <f>0</f>
        <v>0</v>
      </c>
      <c r="AJ127" s="972">
        <f>0</f>
        <v>0</v>
      </c>
      <c r="AK127" s="972">
        <f>0</f>
        <v>0</v>
      </c>
      <c r="AL127" s="972">
        <f>0</f>
        <v>0</v>
      </c>
      <c r="AM127" s="972">
        <f>Y_OHO_H2_ana_low/Y_OHO_SB_ana</f>
        <v>1</v>
      </c>
      <c r="AN127" s="972">
        <f>(i_CIT_SB-i_CIT_VFA*(1-Y_OHO_SB_ana-Y_OHO_H2_ana_low)-i_CIT_BIO*Y_OHO_SB_ana)/Y_OHO_SB_ana</f>
        <v>-0.49200000000000066</v>
      </c>
      <c r="AO127" s="999">
        <f t="shared" si="2"/>
        <v>0.11</v>
      </c>
      <c r="AP127" s="999">
        <f t="shared" si="3"/>
        <v>-2.8804303582798466E-2</v>
      </c>
      <c r="AQ127" s="999">
        <f t="shared" si="4"/>
        <v>-7.0195696417201539E-2</v>
      </c>
      <c r="AR127" s="999">
        <f t="shared" si="5"/>
        <v>-5.5000000000000005E-3</v>
      </c>
      <c r="AS127" s="999">
        <f t="shared" si="6"/>
        <v>-5.5000000000000005E-3</v>
      </c>
      <c r="AT127" s="971">
        <f>0</f>
        <v>0</v>
      </c>
      <c r="AU127" s="971">
        <f>0</f>
        <v>0</v>
      </c>
      <c r="AV127" s="971">
        <f>0</f>
        <v>0</v>
      </c>
      <c r="AW127" s="971">
        <f>0</f>
        <v>0</v>
      </c>
      <c r="AX127" s="971">
        <f>0</f>
        <v>0</v>
      </c>
      <c r="AY127" s="971">
        <f>0</f>
        <v>0</v>
      </c>
      <c r="AZ127" s="971">
        <f>0</f>
        <v>0</v>
      </c>
      <c r="BA127" s="971">
        <f>0</f>
        <v>0</v>
      </c>
      <c r="BB127" s="971">
        <f>0</f>
        <v>0</v>
      </c>
      <c r="BC127" s="971">
        <f>0</f>
        <v>0</v>
      </c>
      <c r="BD127" s="971">
        <f>0</f>
        <v>0</v>
      </c>
      <c r="BE127" s="971">
        <f>0</f>
        <v>0</v>
      </c>
      <c r="BF127" s="971">
        <f>0</f>
        <v>0</v>
      </c>
      <c r="BG127" s="971">
        <f>0</f>
        <v>0</v>
      </c>
      <c r="BH127" s="971">
        <f>0</f>
        <v>0</v>
      </c>
      <c r="BI127" s="971">
        <f>0</f>
        <v>0</v>
      </c>
      <c r="BJ127" s="971">
        <f>0</f>
        <v>0</v>
      </c>
      <c r="BK127" s="971">
        <f>0</f>
        <v>0</v>
      </c>
      <c r="BL127" s="1634">
        <f>0</f>
        <v>0</v>
      </c>
      <c r="BM127" s="971">
        <f>0</f>
        <v>0</v>
      </c>
      <c r="BN127" s="971">
        <f>0</f>
        <v>0</v>
      </c>
      <c r="BO127" s="971">
        <f>0</f>
        <v>0</v>
      </c>
      <c r="BP127" s="1415">
        <f>0</f>
        <v>0</v>
      </c>
      <c r="BQ127" s="2364">
        <f>0</f>
        <v>0</v>
      </c>
      <c r="BR127" s="971">
        <f>0</f>
        <v>0</v>
      </c>
      <c r="BS127" s="971">
        <f>0</f>
        <v>0</v>
      </c>
      <c r="BT127" s="971">
        <f>0</f>
        <v>0</v>
      </c>
      <c r="BU127" s="971">
        <f>0</f>
        <v>0</v>
      </c>
      <c r="BV127" s="971">
        <f>0</f>
        <v>0</v>
      </c>
      <c r="BW127" s="971">
        <f>0</f>
        <v>0</v>
      </c>
      <c r="BX127" s="971">
        <f>0</f>
        <v>0</v>
      </c>
      <c r="BY127" s="971">
        <f>0</f>
        <v>0</v>
      </c>
      <c r="BZ127" s="971">
        <f>0</f>
        <v>0</v>
      </c>
      <c r="CA127" s="971">
        <f>0</f>
        <v>0</v>
      </c>
      <c r="CB127" s="971">
        <f>0</f>
        <v>0</v>
      </c>
      <c r="CC127" s="971">
        <f>0</f>
        <v>0</v>
      </c>
      <c r="CD127" s="1650">
        <f>µ_FERM_OHO_T*X_OHO*L_oginhSVFA_KVFA_FERM*M_satSB_KSB_ana*M_inhSO2_KO2_OHO*M_inhSNO2_KNO2_OHO*M_inhSNO3_KNO3_OHO*M_satSNHx_KNHx_BIO*M_satSPO4_KPO4_BIO*M_satSCAT_KCAT*M_satSAN_KAN*M_satSCa_KCa*M_satSMg_KMg*M_satSCO2_KCO2_BIO*B_ellinhpH</f>
        <v>1.107833309773786E-2</v>
      </c>
      <c r="CF127" s="2385">
        <f>E220*E127+F220*F127+G220*G127+H220*H127+I220*I127+J220*J127+K220*K127+L220*L127+M220*M127+N220*N127+O220*O127+P220*P127+Q220*Q127+R220*R127+S220*S127+T220*T127+U220*U127+V220*V127+W220*W127+X220*X127+Y220*Y127+Z220*Z127+AA220*AA127+AB220*AB127+AC220*AC127+AD220*AD127+AE220*AE127+AF220*AF127+AG220*AG127+AH220*AH127+AI220*AI127+AJ220*AJ127+AK220*AK127+AL220*AL127+AM220*AM127+AN220*AN127+AO220*AO127+AP220*AP127+AQ220*AQ127+AR220*AR127+AS220*AS127+AT220*AT127+AU220*AU127+AV220*AV127+AW220*AW127+AX220*AX127+AY220*AY127+AZ220*AZ127+BA220*BA127+BB220*BB127+BC220*BC127+BD220*BD127+BE220*BE127+BF220*BF127+BG220*BG127+BH220*BH127+BI220*BI127+BJ220*BJ127+BK220*BK127+BL220*BL127+BM220*BM127+BN220*BN127+BO220*BO127+BP220*BP127+BQ220*BQ127+BR220*BR127+BS220*BS127+BT220*BT127+BU220*BU127+BV220*BV127+BW220*BW127+BX220*BX127+BY220*BY127+BZ220*BZ127+CA220*CA127+CB220*CB127+CC220*CC127</f>
        <v>0</v>
      </c>
      <c r="CG127" s="2385">
        <f>E221*E127+F221*F127+G221*G127+H221*H127+I221*I127+J221*J127+K221*K127+L221*L127+M221*M127+N221*N127+O221*O127+P221*P127+Q221*Q127+R221*R127+S221*S127+T221*T127+U221*U127+V221*V127+W221*W127+X221*X127+Y221*Y127+Z221*Z127+AA221*AA127+AB221*AB127+AC221*AC127+AD221*AD127+AE221*AE127+AF221*AF127+AG221*AG127+AH221*AH127+AI221*AI127+AJ221*AJ127+AK221*AK127+AL221*AL127+AM221*AM127+AN221*AN127+AO221*AO127+AP221*AP127+AQ221*AQ127+AR221*AR127+AS221*AS127+AT221*AT127+AU221*AU127+AV221*AV127+AW221*AW127+AX221*AX127+AY221*AY127+AZ221*AZ127+BA221*BA127+BB221*BB127+BC221*BC127+BD221*BD127+BE221*BE127+BF221*BF127+BG221*BG127+BH221*BH127+BI221*BI127+BJ221*BJ127+BK221*BK127+BL221*BL127+BM221*BM127+BN221*BN127+BO221*BO127+BP221*BP127+BQ221*BQ127+BR221*BR127+BS221*BS127+BT221*BT127+BU221*BU127+BV221*BV127+BW221*BW127+BX221*BX127+BY221*BY127+BZ221*BZ127+CA221*CA127+CB221*CB127+CC221*CC127</f>
        <v>-5.5511151231257827E-16</v>
      </c>
      <c r="CH127" s="2386">
        <f>E222*E127+F222*F127+G222*G127+H222*H127+I222*I127+J222*J127+K222*K127+L222*L127+M222*M127+N222*N127+O222*O127+P222*P127+Q222*Q127+R222*R127+S222*S127+T222*T127+U222*U127+V222*V127+W222*W127+X222*X127+Y222*Y127+Z222*Z127+AA222*AA127+AB222*AB127+AC222*AC127+AD222*AD127+AE222*AE127+AF222*AF127+AG222*AG127+AH222*AH127+AI222*AI127+AJ222*AJ127+AK222*AK127+AL222*AL127+AM222*AM127+AN222*AN127+AO222*AO127+AP222*AP127+AQ222*AQ127+AR222*AR127+AS222*AS127+AT222*AT127+AU222*AU127+AV222*AV127+AW222*AW127+AX222*AX127+AY222*AY127+AZ222*AZ127+BA222*BA127+BB222*BB127+BC222*BC127+BD222*BD127+BE222*BE127+BF222*BF127+BG222*BG127+BH222*BH127+BI222*BI127+BJ222*BJ127+BK222*BK127+BL222*BL127+BM222*BM127+BN222*BN127+BO222*BO127+BP222*BP127+BQ222*BQ127+BR222*BR127+BS222*BS127+BT222*BT127+BU222*BU127+BV222*BV127+BW222*BW127+BX222*BX127+BY222*BY127+BZ222*BZ127+CA222*CA127+CB222*CB127+CC222*CC127</f>
        <v>0</v>
      </c>
      <c r="CI127" s="2387">
        <f>E223*E127+F223*F127+G223*G127+H223*H127+I223*I127+J223*J127+K223*K127+L223*L127+M223*M127+N223*N127+O223*O127+P223*P127+Q223*Q127+R223*R127+S223*S127+T223*T127+U223*U127+V223*V127+W223*W127+X223*X127+Y223*Y127+Z223*Z127+AA223*AA127+AB223*AB127+AC223*AC127+AD223*AD127+AE223*AE127+AF223*AF127+AG223*AG127+AH223*AH127+AI223*AI127+AJ223*AJ127+AK223*AK127+AL223*AL127+AM223*AM127+AN223*AN127+AO223*AO127+AP223*AP127+AQ223*AQ127+AR223*AR127+AS223*AS127+AT223*AT127+AU223*AU127+AV223*AV127+AW223*AW127+AX223*AX127+AY223*AY127+AZ223*AZ127+BA223*BA127+BB223*BB127+BC223*BC127+BD223*BD127+BE223*BE127+BF223*BF127+BG223*BG127+BH223*BH127+BI223*BI127+BJ223*BJ127+BK223*BK127+BL223*BL127+BM223*BM127+BN223*BN127+BO223*BO127+BP223*BP127+BQ223*BQ127+BR223*BR127+BS223*BS127+BT223*BT127+BU223*BU127+BV223*BV127+BW223*BW127+BX223*BX127+BY223*BY127+BZ223*BZ127+CA223*CA127+CB223*CB127+CC223*CC127</f>
        <v>0</v>
      </c>
      <c r="CJ127" s="2387">
        <f>E224*E127+F224*F127+G224*G127+H224*H127+I224*I127+J224*J127+K224*K127+L224*L127+M224*M127+N224*N127+O224*O127+P224*P127+Q224*Q127+R224*R127+S224*S127+T224*T127+U224*U127+V224*V127+W224*W127+X224*X127+Y224*Y127+Z224*Z127+AA224*AA127+AB224*AB127+AC224*AC127+AD224*AD127+AE224*AE127+AF224*AF127+AG224*AG127+AH224*AH127+AI224*AI127+AJ224*AJ127+AK224*AK127+AL224*AL127+AM224*AM127+AN224*AN127+AO224*AO127+AP224*AP127+AQ224*AQ127+AR224*AR127+AS224*AS127+AT224*AT127+AU224*AU127+AV224*AV127+AW224*AW127+AX224*AX127+AY224*AY127+AZ224*AZ127+BA224*BA127+BB224*BB127+BC224*BC127+BD224*BD127+BE224*BE127+BF224*BF127+BG224*BG127+BH224*BH127+BI224*BI127+BJ224*BJ127+BK224*BK127+BL224*BL127+BM224*BM127+BN224*BN127+BO224*BO127+BP224*BP127+BQ224*BQ127+BR224*BR127+BS224*BS127+BT224*BT127+BU224*BU127+BV224*BV127+BW224*BW127+BX224*BX127+BY224*BY127+BZ224*BZ127+CA224*CA127+CB224*CB127+CC224*CC127</f>
        <v>0</v>
      </c>
      <c r="CK127" s="2387">
        <f>E225*E127+F225*F127+G225*G127+H225*H127+I225*I127+J225*J127+K225*K127+L225*L127+M225*M127+N225*N127+O225*O127+P225*P127+Q225*Q127+R225*R127+S225*S127+T225*T127+U225*U127+V225*V127+W225*W127+X225*X127+Y225*Y127+Z225*Z127+AA225*AA127+AB225*AB127+AC225*AC127+AD225*AD127+AE225*AE127+AF225*AF127+AG225*AG127+AH225*AH127+AI225*AI127+AJ225*AJ127+AK225*AK127+AL225*AL127+AM225*AM127+AN225*AN127+AO225*AO127+AP225*AP127+AQ225*AQ127+AR225*AR127+AS225*AS127+AT225*AT127+AU225*AU127+AV225*AV127+AW225*AW127+AX225*AX127+AY225*AY127+AZ225*AZ127+BA225*BA127+BB225*BB127+BC225*BC127+BD225*BD127+BE225*BE127+BF225*BF127+BG225*BG127+BH225*BH127+BI225*BI127+BJ225*BJ127+BK225*BK127+BL225*BL127+BM225*BM127+BN225*BN127+BO225*BO127+BP225*BP127+BQ225*BQ127+BR225*BR127+BS225*BS127+BT225*BT127+BU225*BU127+BV225*BV127+BW225*BW127+BX225*BX127+BY225*BY127+BZ225*BZ127+CA225*CA127+CB225*CB127+CC225*CC127</f>
        <v>0</v>
      </c>
      <c r="CL127" s="2387">
        <f>E226*E127+F226*F127+G226*G127+H226*H127+I226*I127+J226*J127+K226*K127+L226*L127+M226*M127+N226*N127+O226*O127+P226*P127+Q226*Q127+R226*R127+S226*S127+T226*T127+U226*U127+V226*V127+W226*W127+X226*X127+Y226*Y127+Z226*Z127+AA226*AA127+AB226*AB127+AC226*AC127+AD226*AD127+AE226*AE127+AF226*AF127+AG226*AG127+AH226*AH127+AI226*AI127+AJ226*AJ127+AK226*AK127+AL226*AL127+AM226*AM127+AN226*AN127+AO226*AO127+AP226*AP127+AQ226*AQ127+AR226*AR127+AS226*AS127+AT226*AT127+AU226*AU127+AV226*AV127+AW226*AW127+AX226*AX127+AY226*AY127+AZ226*AZ127+BA226*BA127+BB226*BB127+BC226*BC127+BD226*BD127+BE226*BE127+BF226*BF127+BG226*BG127+BH226*BH127+BI226*BI127+BJ226*BJ127+BK226*BK127+BL226*BL127+BM226*BM127+BN226*BN127+BO226*BO127+BP226*BP127+BQ226*BQ127+BR226*BR127+BS226*BS127+BT226*BT127+BU226*BU127+BV226*BV127+BW226*BW127+BX226*BX127+BY226*BY127+BZ226*BZ127+CA226*CA127+CB226*CB127+CC226*CC127</f>
        <v>0</v>
      </c>
      <c r="CM127" s="2387">
        <f>E227*E127+F227*F127+G227*G127+H227*H127+I227*I127+J227*J127+K227*K127+L227*L127+M227*M127+N227*N127+O227*O127+P227*P127+Q227*Q127+R227*R127+S227*S127+T227*T127+U227*U127+V227*V127+W227*W127+X227*X127+Y227*Y127+Z227*Z127+AA227*AA127+AB227*AB127+AC227*AC127+AD227*AD127+AE227*AE127+AF227*AF127+AG227*AG127+AH227*AH127+AI227*AI127+AJ227*AJ127+AK227*AK127+AL227*AL127+AM227*AM127+AN227*AN127+AO227*AO127+AP227*AP127+AQ227*AQ127+AR227*AR127+AS227*AS127+AT227*AT127+AU227*AU127+AV227*AV127+AW227*AW127+AX227*AX127+AY227*AY127+AZ227*AZ127+BA227*BA127+BB227*BB127+BC227*BC127+BD227*BD127+BE227*BE127+BF227*BF127+BG227*BG127+BH227*BH127+BI227*BI127+BJ227*BJ127+BK227*BK127+BL227*BL127+BM227*BM127+BN227*BN127+BO227*BO127+BP227*BP127+BQ227*BQ127+BR227*BR127+BS227*BS127+BT227*BT127+BU227*BU127+BV227*BV127+BW227*BW127+BX227*BX127+BY227*BY127+BZ227*BZ127+CA227*CA127+CB227*CB127+CC227*CC127</f>
        <v>0</v>
      </c>
      <c r="CN127" s="2387">
        <f>E228*E127+F228*F127+G228*G127+H228*H127+I228*I127+J228*J127+K228*K127+L228*L127+M228*M127+N228*N127+O228*O127+P228*P127+Q228*Q127+R228*R127+S228*S127+T228*T127+U228*U127+V228*V127+W228*W127+X228*X127+Y228*Y127+Z228*Z127+AA228*AA127+AB228*AB127+AC228*AC127+AD228*AD127+AE228*AE127+AF228*AF127+AG228*AG127+AH228*AH127+AI228*AI127+AJ228*AJ127+AK228*AK127+AL228*AL127+AM228*AM127+AN228*AN127+AO228*AO127+AP228*AP127+AQ228*AQ127+AR228*AR127+AS228*AS127+AT228*AT127+AU228*AU127+AV228*AV127+AW228*AW127+AX228*AX127+AY228*AY127+AZ228*AZ127+BA228*BA127+BB228*BB127+BC228*BC127+BD228*BD127+BE228*BE127+BF228*BF127+BG228*BG127+BH228*BH127+BI228*BI127+BJ228*BJ127+BK228*BK127+BL228*BL127+BM228*BM127+BN228*BN127+BO228*BO127+BP228*BP127+BQ228*BQ127+BR228*BR127+BS228*BS127+BT228*BT127+BU228*BU127+BV228*BV127+BW228*BW127+BX228*BX127+BY228*BY127+BZ228*BZ127+CA228*CA127+CB228*CB127+CC228*CC127</f>
        <v>0</v>
      </c>
      <c r="CO127" s="2387">
        <f>E229*E127+F229*F127+G229*G127+H229*H127+I229*I127+J229*J127+K229*K127+L229*L127+M229*M127+N229*N127+O229*O127+P229*P127+Q229*Q127+R229*R127+S229*S127+T229*T127+U229*U127+V229*V127+W229*W127+X229*X127+Y229*Y127+Z229*Z127+AA229*AA127+AB229*AB127+AC229*AC127+AD229*AD127+AE229*AE127+AF229*AF127+AG229*AG127+AH229*AH127+AI229*AI127+AJ229*AJ127+AK229*AK127+AL229*AL127+AM229*AM127+AN229*AN127+AO229*AO127+AP229*AP127+AQ229*AQ127+AR229*AR127+AS229*AS127+AT229*AT127+AU229*AU127+AV229*AV127+AW229*AW127+AX229*AX127+AY229*AY127+AZ229*AZ127+BA229*BA127+BB229*BB127+BC229*BC127+BD229*BD127+BE229*BE127+BF229*BF127+BG229*BG127+BH229*BH127+BI229*BI127+BJ229*BJ127+BK229*BK127+BL229*BL127+BM229*BM127+BN229*BN127+BO229*BO127+BP229*BP127+BQ229*BQ127+BR229*BR127+BS229*BS127+BT229*BT127+BU229*BU127+BV229*BV127+BW229*BW127+BX229*BX127+BY229*BY127+BZ229*BZ127+CA229*CA127+CB229*CB127+CC229*CC127</f>
        <v>0</v>
      </c>
      <c r="CP127" s="2387">
        <f>E230*E127+F230*F127+G230*G127+H230*H127+I230*I127+J230*J127+K230*K127+L230*L127+M230*M127+N230*N127+O230*O127+P230*P127+Q230*Q127+R230*R127+S230*S127+T230*T127+U230*U127+V230*V127+W230*W127+X230*X127+Y230*Y127+Z230*Z127+AA230*AA127+AB230*AB127+AC230*AC127+AD230*AD127+AE230*AE127+AF230*AF127+AG230*AG127+AH230*AH127+AI230*AI127+AJ230*AJ127+AK230*AK127+AL230*AL127+AM230*AM127+AN230*AN127+AO230*AO127+AP230*AP127+AQ230*AQ127+AR230*AR127+AS230*AS127+AT230*AT127+AU230*AU127+AV230*AV127+AW230*AW127+AX230*AX127+AY230*AY127+AZ230*AZ127+BA230*BA127+BB230*BB127+BC230*BC127+BD230*BD127+BE230*BE127+BF230*BF127+BG230*BG127+BH230*BH127+BI230*BI127+BJ230*BJ127+BK230*BK127+BL230*BL127+BM230*BM127+BN230*BN127+BO230*BO127+BP230*BP127+BQ230*BQ127+BR230*BR127+BS230*BS127+BT230*BT127+BU230*BU127+BV230*BV127+BW230*BW127+BX230*BX127+BY230*BY127+BZ230*BZ127+CA230*CA127+CB230*CB127+CC230*CC127</f>
        <v>0</v>
      </c>
    </row>
    <row r="128" spans="2:94" ht="18" x14ac:dyDescent="0.25">
      <c r="B128" s="1583">
        <v>9</v>
      </c>
      <c r="C128" s="1523" t="s">
        <v>231</v>
      </c>
      <c r="D128" s="619" t="s">
        <v>1660</v>
      </c>
      <c r="E128" s="972">
        <f>0</f>
        <v>0</v>
      </c>
      <c r="F128" s="972">
        <f>0</f>
        <v>0</v>
      </c>
      <c r="G128" s="971">
        <f>-1/Y_OHO_SMEOL_ox</f>
        <v>-2.5</v>
      </c>
      <c r="H128" s="972">
        <f>0</f>
        <v>0</v>
      </c>
      <c r="I128" s="972">
        <f>0</f>
        <v>0</v>
      </c>
      <c r="J128" s="972">
        <f>0</f>
        <v>0</v>
      </c>
      <c r="K128" s="972">
        <f>0</f>
        <v>0</v>
      </c>
      <c r="L128" s="972">
        <f>0</f>
        <v>0</v>
      </c>
      <c r="M128" s="972">
        <f>0</f>
        <v>0</v>
      </c>
      <c r="N128" s="972">
        <f>0</f>
        <v>0</v>
      </c>
      <c r="O128" s="972">
        <f>0</f>
        <v>0</v>
      </c>
      <c r="P128" s="972">
        <f>0</f>
        <v>0</v>
      </c>
      <c r="Q128" s="972">
        <f>1</f>
        <v>1</v>
      </c>
      <c r="R128" s="972">
        <f>0</f>
        <v>0</v>
      </c>
      <c r="S128" s="972">
        <f>0</f>
        <v>0</v>
      </c>
      <c r="T128" s="972">
        <f>0</f>
        <v>0</v>
      </c>
      <c r="U128" s="972">
        <f>0</f>
        <v>0</v>
      </c>
      <c r="V128" s="972">
        <f>0</f>
        <v>0</v>
      </c>
      <c r="W128" s="972">
        <f>0</f>
        <v>0</v>
      </c>
      <c r="X128" s="972">
        <f>0</f>
        <v>0</v>
      </c>
      <c r="Y128" s="971">
        <f t="shared" si="0"/>
        <v>-7.0000000000000007E-2</v>
      </c>
      <c r="Z128" s="972">
        <f>0</f>
        <v>0</v>
      </c>
      <c r="AA128" s="972">
        <f>0</f>
        <v>0</v>
      </c>
      <c r="AB128" s="972">
        <f>0</f>
        <v>0</v>
      </c>
      <c r="AC128" s="972">
        <f>0</f>
        <v>0</v>
      </c>
      <c r="AD128" s="972">
        <f>0</f>
        <v>0</v>
      </c>
      <c r="AE128" s="972">
        <f>0</f>
        <v>0</v>
      </c>
      <c r="AF128" s="971">
        <f t="shared" si="1"/>
        <v>-0.02</v>
      </c>
      <c r="AG128" s="972">
        <f>0</f>
        <v>0</v>
      </c>
      <c r="AH128" s="972">
        <f>0</f>
        <v>0</v>
      </c>
      <c r="AI128" s="972">
        <f>0</f>
        <v>0</v>
      </c>
      <c r="AJ128" s="972">
        <f>0</f>
        <v>0</v>
      </c>
      <c r="AK128" s="971">
        <f>-(1-Y_OHO_SMEOL_ox)/Y_OHO_SMEOL_ox</f>
        <v>-1.4999999999999998</v>
      </c>
      <c r="AL128" s="971">
        <f>0</f>
        <v>0</v>
      </c>
      <c r="AM128" s="971">
        <f>0</f>
        <v>0</v>
      </c>
      <c r="AN128" s="971">
        <f>i_CIT_MEOL/Y_OHO_SMEOL_ox-i_CIT_BIO</f>
        <v>0.27300000000000002</v>
      </c>
      <c r="AO128" s="999">
        <f t="shared" si="2"/>
        <v>0.11</v>
      </c>
      <c r="AP128" s="999">
        <f t="shared" si="3"/>
        <v>-2.8804303582798466E-2</v>
      </c>
      <c r="AQ128" s="999">
        <f t="shared" si="4"/>
        <v>-7.0195696417201539E-2</v>
      </c>
      <c r="AR128" s="999">
        <f t="shared" si="5"/>
        <v>-5.5000000000000005E-3</v>
      </c>
      <c r="AS128" s="999">
        <f t="shared" si="6"/>
        <v>-5.5000000000000005E-3</v>
      </c>
      <c r="AT128" s="971">
        <f>0</f>
        <v>0</v>
      </c>
      <c r="AU128" s="971">
        <f>0</f>
        <v>0</v>
      </c>
      <c r="AV128" s="971">
        <f>0</f>
        <v>0</v>
      </c>
      <c r="AW128" s="971">
        <f>0</f>
        <v>0</v>
      </c>
      <c r="AX128" s="971">
        <f>0</f>
        <v>0</v>
      </c>
      <c r="AY128" s="971">
        <f>0</f>
        <v>0</v>
      </c>
      <c r="AZ128" s="971">
        <f>0</f>
        <v>0</v>
      </c>
      <c r="BA128" s="971">
        <f>0</f>
        <v>0</v>
      </c>
      <c r="BB128" s="971">
        <f>0</f>
        <v>0</v>
      </c>
      <c r="BC128" s="971">
        <f>0</f>
        <v>0</v>
      </c>
      <c r="BD128" s="971">
        <f>0</f>
        <v>0</v>
      </c>
      <c r="BE128" s="971">
        <f>0</f>
        <v>0</v>
      </c>
      <c r="BF128" s="971">
        <f>0</f>
        <v>0</v>
      </c>
      <c r="BG128" s="971">
        <f>0</f>
        <v>0</v>
      </c>
      <c r="BH128" s="971">
        <f>0</f>
        <v>0</v>
      </c>
      <c r="BI128" s="971">
        <f>0</f>
        <v>0</v>
      </c>
      <c r="BJ128" s="971">
        <f>0</f>
        <v>0</v>
      </c>
      <c r="BK128" s="971">
        <f>0</f>
        <v>0</v>
      </c>
      <c r="BL128" s="1634">
        <f>0</f>
        <v>0</v>
      </c>
      <c r="BM128" s="971">
        <f>0</f>
        <v>0</v>
      </c>
      <c r="BN128" s="971">
        <f>0</f>
        <v>0</v>
      </c>
      <c r="BO128" s="971">
        <f>0</f>
        <v>0</v>
      </c>
      <c r="BP128" s="1415">
        <f>0</f>
        <v>0</v>
      </c>
      <c r="BQ128" s="2364">
        <f>0</f>
        <v>0</v>
      </c>
      <c r="BR128" s="971">
        <f>0</f>
        <v>0</v>
      </c>
      <c r="BS128" s="971">
        <f>0</f>
        <v>0</v>
      </c>
      <c r="BT128" s="971">
        <f>0</f>
        <v>0</v>
      </c>
      <c r="BU128" s="971">
        <f>0</f>
        <v>0</v>
      </c>
      <c r="BV128" s="971">
        <f>0</f>
        <v>0</v>
      </c>
      <c r="BW128" s="971">
        <f>0</f>
        <v>0</v>
      </c>
      <c r="BX128" s="971">
        <f>0</f>
        <v>0</v>
      </c>
      <c r="BY128" s="971">
        <f>0</f>
        <v>0</v>
      </c>
      <c r="BZ128" s="971">
        <f>0</f>
        <v>0</v>
      </c>
      <c r="CA128" s="971">
        <f>0</f>
        <v>0</v>
      </c>
      <c r="CB128" s="971">
        <f>0</f>
        <v>0</v>
      </c>
      <c r="CC128" s="971">
        <f>0</f>
        <v>0</v>
      </c>
      <c r="CD128" s="1650">
        <f>µ_OHO_T*X_OHO*M_satSMEOL_KMEOL_OHO*M_satSO2_KO2_OHO*M_satSNHx_KNHx_BIO*M_satSPO4_KPO4_BIO*M_satSCAT_KCAT*M_satSAN_KAN*M_satSCa_KCa*M_satSMg_KMg*B_ellinhpH</f>
        <v>1.8373026203867775E-46</v>
      </c>
      <c r="CF128" s="2385">
        <f>E220*E128+F220*F128+G220*G128+H220*H128+I220*I128+J220*J128+K220*K128+L220*L128+M220*M128+N220*N128+O220*O128+P220*P128+Q220*Q128+R220*R128+S220*S128+T220*T128+U220*U128+V220*V128+W220*W128+X220*X128+Y220*Y128+Z220*Z128+AA220*AA128+AB220*AB128+AC220*AC128+AD220*AD128+AE220*AE128+AF220*AF128+AG220*AG128+AH220*AH128+AI220*AI128+AJ220*AJ128+AK220*AK128+AL220*AL128+AM220*AM128+AN220*AN128+AO220*AO128+AP220*AP128+AQ220*AQ128+AR220*AR128+AS220*AS128+AT220*AT128+AU220*AU128+AV220*AV128+AW220*AW128+AX220*AX128+AY220*AY128+AZ220*AZ128+BA220*BA128+BB220*BB128+BC220*BC128+BD220*BD128+BE220*BE128+BF220*BF128+BG220*BG128+BH220*BH128+BI220*BI128+BJ220*BJ128+BK220*BK128+BL220*BL128+BM220*BM128+BN220*BN128+BO220*BO128+BP220*BP128+BQ220*BQ128+BR220*BR128+BS220*BS128+BT220*BT128+BU220*BU128+BV220*BV128+BW220*BW128+BX220*BX128+BY220*BY128+BZ220*BZ128+CA220*CA128+CB220*CB128+CC220*CC128</f>
        <v>-2.2204460492503131E-16</v>
      </c>
      <c r="CG128" s="2385">
        <f>E221*E128+F221*F128+G221*G128+H221*H128+I221*I128+J221*J128+K221*K128+L221*L128+M221*M128+N221*N128+O221*O128+P221*P128+Q221*Q128+R221*R128+S221*S128+T221*T128+U221*U128+V221*V128+W221*W128+X221*X128+Y221*Y128+Z221*Z128+AA221*AA128+AB221*AB128+AC221*AC128+AD221*AD128+AE221*AE128+AF221*AF128+AG221*AG128+AH221*AH128+AI221*AI128+AJ221*AJ128+AK221*AK128+AL221*AL128+AM221*AM128+AN221*AN128+AO221*AO128+AP221*AP128+AQ221*AQ128+AR221*AR128+AS221*AS128+AT221*AT128+AU221*AU128+AV221*AV128+AW221*AW128+AX221*AX128+AY221*AY128+AZ221*AZ128+BA221*BA128+BB221*BB128+BC221*BC128+BD221*BD128+BE221*BE128+BF221*BF128+BG221*BG128+BH221*BH128+BI221*BI128+BJ221*BJ128+BK221*BK128+BL221*BL128+BM221*BM128+BN221*BN128+BO221*BO128+BP221*BP128+BQ221*BQ128+BR221*BR128+BS221*BS128+BT221*BT128+BU221*BU128+BV221*BV128+BW221*BW128+BX221*BX128+BY221*BY128+BZ221*BZ128+CA221*CA128+CB221*CB128+CC221*CC128</f>
        <v>0</v>
      </c>
      <c r="CH128" s="2386">
        <f>E222*E128+F222*F128+G222*G128+H222*H128+I222*I128+J222*J128+K222*K128+L222*L128+M222*M128+N222*N128+O222*O128+P222*P128+Q222*Q128+R222*R128+S222*S128+T222*T128+U222*U128+V222*V128+W222*W128+X222*X128+Y222*Y128+Z222*Z128+AA222*AA128+AB222*AB128+AC222*AC128+AD222*AD128+AE222*AE128+AF222*AF128+AG222*AG128+AH222*AH128+AI222*AI128+AJ222*AJ128+AK222*AK128+AL222*AL128+AM222*AM128+AN222*AN128+AO222*AO128+AP222*AP128+AQ222*AQ128+AR222*AR128+AS222*AS128+AT222*AT128+AU222*AU128+AV222*AV128+AW222*AW128+AX222*AX128+AY222*AY128+AZ222*AZ128+BA222*BA128+BB222*BB128+BC222*BC128+BD222*BD128+BE222*BE128+BF222*BF128+BG222*BG128+BH222*BH128+BI222*BI128+BJ222*BJ128+BK222*BK128+BL222*BL128+BM222*BM128+BN222*BN128+BO222*BO128+BP222*BP128+BQ222*BQ128+BR222*BR128+BS222*BS128+BT222*BT128+BU222*BU128+BV222*BV128+BW222*BW128+BX222*BX128+BY222*BY128+BZ222*BZ128+CA222*CA128+CB222*CB128+CC222*CC128</f>
        <v>0</v>
      </c>
      <c r="CI128" s="2387">
        <f>E223*E128+F223*F128+G223*G128+H223*H128+I223*I128+J223*J128+K223*K128+L223*L128+M223*M128+N223*N128+O223*O128+P223*P128+Q223*Q128+R223*R128+S223*S128+T223*T128+U223*U128+V223*V128+W223*W128+X223*X128+Y223*Y128+Z223*Z128+AA223*AA128+AB223*AB128+AC223*AC128+AD223*AD128+AE223*AE128+AF223*AF128+AG223*AG128+AH223*AH128+AI223*AI128+AJ223*AJ128+AK223*AK128+AL223*AL128+AM223*AM128+AN223*AN128+AO223*AO128+AP223*AP128+AQ223*AQ128+AR223*AR128+AS223*AS128+AT223*AT128+AU223*AU128+AV223*AV128+AW223*AW128+AX223*AX128+AY223*AY128+AZ223*AZ128+BA223*BA128+BB223*BB128+BC223*BC128+BD223*BD128+BE223*BE128+BF223*BF128+BG223*BG128+BH223*BH128+BI223*BI128+BJ223*BJ128+BK223*BK128+BL223*BL128+BM223*BM128+BN223*BN128+BO223*BO128+BP223*BP128+BQ223*BQ128+BR223*BR128+BS223*BS128+BT223*BT128+BU223*BU128+BV223*BV128+BW223*BW128+BX223*BX128+BY223*BY128+BZ223*BZ128+CA223*CA128+CB223*CB128+CC223*CC128</f>
        <v>0</v>
      </c>
      <c r="CJ128" s="2387">
        <f>E224*E128+F224*F128+G224*G128+H224*H128+I224*I128+J224*J128+K224*K128+L224*L128+M224*M128+N224*N128+O224*O128+P224*P128+Q224*Q128+R224*R128+S224*S128+T224*T128+U224*U128+V224*V128+W224*W128+X224*X128+Y224*Y128+Z224*Z128+AA224*AA128+AB224*AB128+AC224*AC128+AD224*AD128+AE224*AE128+AF224*AF128+AG224*AG128+AH224*AH128+AI224*AI128+AJ224*AJ128+AK224*AK128+AL224*AL128+AM224*AM128+AN224*AN128+AO224*AO128+AP224*AP128+AQ224*AQ128+AR224*AR128+AS224*AS128+AT224*AT128+AU224*AU128+AV224*AV128+AW224*AW128+AX224*AX128+AY224*AY128+AZ224*AZ128+BA224*BA128+BB224*BB128+BC224*BC128+BD224*BD128+BE224*BE128+BF224*BF128+BG224*BG128+BH224*BH128+BI224*BI128+BJ224*BJ128+BK224*BK128+BL224*BL128+BM224*BM128+BN224*BN128+BO224*BO128+BP224*BP128+BQ224*BQ128+BR224*BR128+BS224*BS128+BT224*BT128+BU224*BU128+BV224*BV128+BW224*BW128+BX224*BX128+BY224*BY128+BZ224*BZ128+CA224*CA128+CB224*CB128+CC224*CC128</f>
        <v>0</v>
      </c>
      <c r="CK128" s="2387">
        <f>E225*E128+F225*F128+G225*G128+H225*H128+I225*I128+J225*J128+K225*K128+L225*L128+M225*M128+N225*N128+O225*O128+P225*P128+Q225*Q128+R225*R128+S225*S128+T225*T128+U225*U128+V225*V128+W225*W128+X225*X128+Y225*Y128+Z225*Z128+AA225*AA128+AB225*AB128+AC225*AC128+AD225*AD128+AE225*AE128+AF225*AF128+AG225*AG128+AH225*AH128+AI225*AI128+AJ225*AJ128+AK225*AK128+AL225*AL128+AM225*AM128+AN225*AN128+AO225*AO128+AP225*AP128+AQ225*AQ128+AR225*AR128+AS225*AS128+AT225*AT128+AU225*AU128+AV225*AV128+AW225*AW128+AX225*AX128+AY225*AY128+AZ225*AZ128+BA225*BA128+BB225*BB128+BC225*BC128+BD225*BD128+BE225*BE128+BF225*BF128+BG225*BG128+BH225*BH128+BI225*BI128+BJ225*BJ128+BK225*BK128+BL225*BL128+BM225*BM128+BN225*BN128+BO225*BO128+BP225*BP128+BQ225*BQ128+BR225*BR128+BS225*BS128+BT225*BT128+BU225*BU128+BV225*BV128+BW225*BW128+BX225*BX128+BY225*BY128+BZ225*BZ128+CA225*CA128+CB225*CB128+CC225*CC128</f>
        <v>0</v>
      </c>
      <c r="CL128" s="2387">
        <f>E226*E128+F226*F128+G226*G128+H226*H128+I226*I128+J226*J128+K226*K128+L226*L128+M226*M128+N226*N128+O226*O128+P226*P128+Q226*Q128+R226*R128+S226*S128+T226*T128+U226*U128+V226*V128+W226*W128+X226*X128+Y226*Y128+Z226*Z128+AA226*AA128+AB226*AB128+AC226*AC128+AD226*AD128+AE226*AE128+AF226*AF128+AG226*AG128+AH226*AH128+AI226*AI128+AJ226*AJ128+AK226*AK128+AL226*AL128+AM226*AM128+AN226*AN128+AO226*AO128+AP226*AP128+AQ226*AQ128+AR226*AR128+AS226*AS128+AT226*AT128+AU226*AU128+AV226*AV128+AW226*AW128+AX226*AX128+AY226*AY128+AZ226*AZ128+BA226*BA128+BB226*BB128+BC226*BC128+BD226*BD128+BE226*BE128+BF226*BF128+BG226*BG128+BH226*BH128+BI226*BI128+BJ226*BJ128+BK226*BK128+BL226*BL128+BM226*BM128+BN226*BN128+BO226*BO128+BP226*BP128+BQ226*BQ128+BR226*BR128+BS226*BS128+BT226*BT128+BU226*BU128+BV226*BV128+BW226*BW128+BX226*BX128+BY226*BY128+BZ226*BZ128+CA226*CA128+CB226*CB128+CC226*CC128</f>
        <v>0</v>
      </c>
      <c r="CM128" s="2387">
        <f>E227*E128+F227*F128+G227*G128+H227*H128+I227*I128+J227*J128+K227*K128+L227*L128+M227*M128+N227*N128+O227*O128+P227*P128+Q227*Q128+R227*R128+S227*S128+T227*T128+U227*U128+V227*V128+W227*W128+X227*X128+Y227*Y128+Z227*Z128+AA227*AA128+AB227*AB128+AC227*AC128+AD227*AD128+AE227*AE128+AF227*AF128+AG227*AG128+AH227*AH128+AI227*AI128+AJ227*AJ128+AK227*AK128+AL227*AL128+AM227*AM128+AN227*AN128+AO227*AO128+AP227*AP128+AQ227*AQ128+AR227*AR128+AS227*AS128+AT227*AT128+AU227*AU128+AV227*AV128+AW227*AW128+AX227*AX128+AY227*AY128+AZ227*AZ128+BA227*BA128+BB227*BB128+BC227*BC128+BD227*BD128+BE227*BE128+BF227*BF128+BG227*BG128+BH227*BH128+BI227*BI128+BJ227*BJ128+BK227*BK128+BL227*BL128+BM227*BM128+BN227*BN128+BO227*BO128+BP227*BP128+BQ227*BQ128+BR227*BR128+BS227*BS128+BT227*BT128+BU227*BU128+BV227*BV128+BW227*BW128+BX227*BX128+BY227*BY128+BZ227*BZ128+CA227*CA128+CB227*CB128+CC227*CC128</f>
        <v>0</v>
      </c>
      <c r="CN128" s="2387">
        <f>E228*E128+F228*F128+G228*G128+H228*H128+I228*I128+J228*J128+K228*K128+L228*L128+M228*M128+N228*N128+O228*O128+P228*P128+Q228*Q128+R228*R128+S228*S128+T228*T128+U228*U128+V228*V128+W228*W128+X228*X128+Y228*Y128+Z228*Z128+AA228*AA128+AB228*AB128+AC228*AC128+AD228*AD128+AE228*AE128+AF228*AF128+AG228*AG128+AH228*AH128+AI228*AI128+AJ228*AJ128+AK228*AK128+AL228*AL128+AM228*AM128+AN228*AN128+AO228*AO128+AP228*AP128+AQ228*AQ128+AR228*AR128+AS228*AS128+AT228*AT128+AU228*AU128+AV228*AV128+AW228*AW128+AX228*AX128+AY228*AY128+AZ228*AZ128+BA228*BA128+BB228*BB128+BC228*BC128+BD228*BD128+BE228*BE128+BF228*BF128+BG228*BG128+BH228*BH128+BI228*BI128+BJ228*BJ128+BK228*BK128+BL228*BL128+BM228*BM128+BN228*BN128+BO228*BO128+BP228*BP128+BQ228*BQ128+BR228*BR128+BS228*BS128+BT228*BT128+BU228*BU128+BV228*BV128+BW228*BW128+BX228*BX128+BY228*BY128+BZ228*BZ128+CA228*CA128+CB228*CB128+CC228*CC128</f>
        <v>0</v>
      </c>
      <c r="CO128" s="2387">
        <f>E229*E128+F229*F128+G229*G128+H229*H128+I229*I128+J229*J128+K229*K128+L229*L128+M229*M128+N229*N128+O229*O128+P229*P128+Q229*Q128+R229*R128+S229*S128+T229*T128+U229*U128+V229*V128+W229*W128+X229*X128+Y229*Y128+Z229*Z128+AA229*AA128+AB229*AB128+AC229*AC128+AD229*AD128+AE229*AE128+AF229*AF128+AG229*AG128+AH229*AH128+AI229*AI128+AJ229*AJ128+AK229*AK128+AL229*AL128+AM229*AM128+AN229*AN128+AO229*AO128+AP229*AP128+AQ229*AQ128+AR229*AR128+AS229*AS128+AT229*AT128+AU229*AU128+AV229*AV128+AW229*AW128+AX229*AX128+AY229*AY128+AZ229*AZ128+BA229*BA128+BB229*BB128+BC229*BC128+BD229*BD128+BE229*BE128+BF229*BF128+BG229*BG128+BH229*BH128+BI229*BI128+BJ229*BJ128+BK229*BK128+BL229*BL128+BM229*BM128+BN229*BN128+BO229*BO128+BP229*BP128+BQ229*BQ128+BR229*BR128+BS229*BS128+BT229*BT128+BU229*BU128+BV229*BV128+BW229*BW128+BX229*BX128+BY229*BY128+BZ229*BZ128+CA229*CA128+CB229*CB128+CC229*CC128</f>
        <v>0</v>
      </c>
      <c r="CP128" s="2387">
        <f>E230*E128+F230*F128+G230*G128+H230*H128+I230*I128+J230*J128+K230*K128+L230*L128+M230*M128+N230*N128+O230*O128+P230*P128+Q230*Q128+R230*R128+S230*S128+T230*T128+U230*U128+V230*V128+W230*W128+X230*X128+Y230*Y128+Z230*Z128+AA230*AA128+AB230*AB128+AC230*AC128+AD230*AD128+AE230*AE128+AF230*AF128+AG230*AG128+AH230*AH128+AI230*AI128+AJ230*AJ128+AK230*AK128+AL230*AL128+AM230*AM128+AN230*AN128+AO230*AO128+AP230*AP128+AQ230*AQ128+AR230*AR128+AS230*AS128+AT230*AT128+AU230*AU128+AV230*AV128+AW230*AW128+AX230*AX128+AY230*AY128+AZ230*AZ128+BA230*BA128+BB230*BB128+BC230*BC128+BD230*BD128+BE230*BE128+BF230*BF128+BG230*BG128+BH230*BH128+BI230*BI128+BJ230*BJ128+BK230*BK128+BL230*BL128+BM230*BM128+BN230*BN128+BO230*BO128+BP230*BP128+BQ230*BQ128+BR230*BR128+BS230*BS128+BT230*BT128+BU230*BU128+BV230*BV128+BW230*BW128+BX230*BX128+BY230*BY128+BZ230*BZ128+CA230*CA128+CB230*CB128+CC230*CC128</f>
        <v>0</v>
      </c>
    </row>
    <row r="129" spans="2:94" x14ac:dyDescent="0.25">
      <c r="B129" s="1583">
        <v>10</v>
      </c>
      <c r="C129" s="1523" t="s">
        <v>232</v>
      </c>
      <c r="D129" s="619" t="s">
        <v>288</v>
      </c>
      <c r="E129" s="972">
        <f>0</f>
        <v>0</v>
      </c>
      <c r="F129" s="972">
        <f>0</f>
        <v>0</v>
      </c>
      <c r="G129" s="972">
        <f>0</f>
        <v>0</v>
      </c>
      <c r="H129" s="972">
        <f>0</f>
        <v>0</v>
      </c>
      <c r="I129" s="972">
        <f>1-f_E</f>
        <v>0.92</v>
      </c>
      <c r="J129" s="972">
        <f>0</f>
        <v>0</v>
      </c>
      <c r="K129" s="972">
        <f>0</f>
        <v>0</v>
      </c>
      <c r="L129" s="972">
        <f>0</f>
        <v>0</v>
      </c>
      <c r="M129" s="972">
        <f>0</f>
        <v>0</v>
      </c>
      <c r="N129" s="972">
        <f>0</f>
        <v>0</v>
      </c>
      <c r="O129" s="972">
        <f>f_E</f>
        <v>0.08</v>
      </c>
      <c r="P129" s="972">
        <f>0</f>
        <v>0</v>
      </c>
      <c r="Q129" s="972">
        <f>-1</f>
        <v>-1</v>
      </c>
      <c r="R129" s="972">
        <f>0</f>
        <v>0</v>
      </c>
      <c r="S129" s="972">
        <f>0</f>
        <v>0</v>
      </c>
      <c r="T129" s="972">
        <f>0</f>
        <v>0</v>
      </c>
      <c r="U129" s="972">
        <f>0</f>
        <v>0</v>
      </c>
      <c r="V129" s="972">
        <f>0</f>
        <v>0</v>
      </c>
      <c r="W129" s="972">
        <f>0</f>
        <v>0</v>
      </c>
      <c r="X129" s="972">
        <f>0</f>
        <v>0</v>
      </c>
      <c r="Y129" s="971">
        <f>-f_E*(i_N_XE-i_N_BIO)</f>
        <v>8.0000000000000069E-4</v>
      </c>
      <c r="Z129" s="972">
        <f>0</f>
        <v>0</v>
      </c>
      <c r="AA129" s="972">
        <f>0</f>
        <v>0</v>
      </c>
      <c r="AB129" s="972">
        <f>0</f>
        <v>0</v>
      </c>
      <c r="AC129" s="972">
        <f>0</f>
        <v>0</v>
      </c>
      <c r="AD129" s="972">
        <f>(1-f_E)*i_N_BIO</f>
        <v>6.4400000000000013E-2</v>
      </c>
      <c r="AE129" s="972">
        <f>0</f>
        <v>0</v>
      </c>
      <c r="AF129" s="972">
        <f>0</f>
        <v>0</v>
      </c>
      <c r="AG129" s="972">
        <f>0</f>
        <v>0</v>
      </c>
      <c r="AH129" s="972">
        <f>0</f>
        <v>0</v>
      </c>
      <c r="AI129" s="972">
        <f>(1-f_E)*i_P_BIO</f>
        <v>1.84E-2</v>
      </c>
      <c r="AJ129" s="972">
        <f>0</f>
        <v>0</v>
      </c>
      <c r="AK129" s="972">
        <f>0</f>
        <v>0</v>
      </c>
      <c r="AL129" s="972">
        <f>0</f>
        <v>0</v>
      </c>
      <c r="AM129" s="972">
        <f>0</f>
        <v>0</v>
      </c>
      <c r="AN129" s="972">
        <f>(1-f_E)*(i_CIT_BIO-i_CIT_SB)</f>
        <v>6.0720000000000003E-2</v>
      </c>
      <c r="AO129" s="1000">
        <f>-i_INORG</f>
        <v>-0.11</v>
      </c>
      <c r="AP129" s="999">
        <f>i_INORG*(1-i_Ca_INORG*(A_MCa+2*A_MCl)/A_MCa-i_Mg_INORG*(A_MMg+2*A_MCl)/A_MMg)*f_Na</f>
        <v>2.8804303582798466E-2</v>
      </c>
      <c r="AQ129" s="999">
        <f>i_INORG*(i_Ca_INORG*(2*A_MCl)/A_MCa+i_Mg_INORG*(2*A_MCl)/A_MMg)+i_INORG*(1-i_Ca_INORG*(A_MCa+2*A_MCl)/A_MCa-i_Mg_INORG*(A_MMg+2*A_MCl)/A_MMg)*(1-f_Na)</f>
        <v>7.0195696417201539E-2</v>
      </c>
      <c r="AR129" s="999">
        <f>i_INORG*i_Ca_INORG</f>
        <v>5.5000000000000005E-3</v>
      </c>
      <c r="AS129" s="999">
        <f>i_INORG*i_Mg_INORG</f>
        <v>5.5000000000000005E-3</v>
      </c>
      <c r="AT129" s="971">
        <f>0</f>
        <v>0</v>
      </c>
      <c r="AU129" s="971">
        <f>0</f>
        <v>0</v>
      </c>
      <c r="AV129" s="971">
        <f>0</f>
        <v>0</v>
      </c>
      <c r="AW129" s="971">
        <f>0</f>
        <v>0</v>
      </c>
      <c r="AX129" s="971">
        <f>0</f>
        <v>0</v>
      </c>
      <c r="AY129" s="971">
        <f>0</f>
        <v>0</v>
      </c>
      <c r="AZ129" s="971">
        <f>0</f>
        <v>0</v>
      </c>
      <c r="BA129" s="971">
        <f>0</f>
        <v>0</v>
      </c>
      <c r="BB129" s="971">
        <f>0</f>
        <v>0</v>
      </c>
      <c r="BC129" s="971">
        <f>0</f>
        <v>0</v>
      </c>
      <c r="BD129" s="971">
        <f>0</f>
        <v>0</v>
      </c>
      <c r="BE129" s="971">
        <f>0</f>
        <v>0</v>
      </c>
      <c r="BF129" s="971">
        <f>0</f>
        <v>0</v>
      </c>
      <c r="BG129" s="971">
        <f>0</f>
        <v>0</v>
      </c>
      <c r="BH129" s="971">
        <f>0</f>
        <v>0</v>
      </c>
      <c r="BI129" s="971">
        <f>0</f>
        <v>0</v>
      </c>
      <c r="BJ129" s="971">
        <f>0</f>
        <v>0</v>
      </c>
      <c r="BK129" s="971">
        <f>0</f>
        <v>0</v>
      </c>
      <c r="BL129" s="1634">
        <f>0</f>
        <v>0</v>
      </c>
      <c r="BM129" s="971">
        <f>0</f>
        <v>0</v>
      </c>
      <c r="BN129" s="971">
        <f>0</f>
        <v>0</v>
      </c>
      <c r="BO129" s="971">
        <f>0</f>
        <v>0</v>
      </c>
      <c r="BP129" s="1415">
        <f>0</f>
        <v>0</v>
      </c>
      <c r="BQ129" s="2364">
        <f>0</f>
        <v>0</v>
      </c>
      <c r="BR129" s="971">
        <f>0</f>
        <v>0</v>
      </c>
      <c r="BS129" s="971">
        <f>0</f>
        <v>0</v>
      </c>
      <c r="BT129" s="971">
        <f>0</f>
        <v>0</v>
      </c>
      <c r="BU129" s="971">
        <f>0</f>
        <v>0</v>
      </c>
      <c r="BV129" s="971">
        <f>0</f>
        <v>0</v>
      </c>
      <c r="BW129" s="971">
        <f>0</f>
        <v>0</v>
      </c>
      <c r="BX129" s="971">
        <f>0</f>
        <v>0</v>
      </c>
      <c r="BY129" s="971">
        <f>0</f>
        <v>0</v>
      </c>
      <c r="BZ129" s="971">
        <f>0</f>
        <v>0</v>
      </c>
      <c r="CA129" s="971">
        <f>0</f>
        <v>0</v>
      </c>
      <c r="CB129" s="971">
        <f>0</f>
        <v>0</v>
      </c>
      <c r="CC129" s="971">
        <f>0</f>
        <v>0</v>
      </c>
      <c r="CD129" s="1650">
        <f>b_OHO_T*X_OHO*(M_satSO2_KO2_OHO+η_b_anox*M_satSNO2_KNO2_OHO*M_inhSO2_KO2_OHO+η_b_anox*M_satSNO3_KNO3_OHO*M_inhSNO2_KNO2_OHO*M_inhSO2_KO2_OHO)</f>
        <v>299.11536707706341</v>
      </c>
      <c r="CF129" s="2385">
        <f>E220*E129+F220*F129+G220*G129+H220*H129+I220*I129+J220*J129+K220*K129+L220*L129+M220*M129+N220*N129+O220*O129+P220*P129+Q220*Q129+R220*R129+S220*S129+T220*T129+U220*U129+V220*V129+W220*W129+X220*X129+Y220*Y129+Z220*Z129+AA220*AA129+AB220*AB129+AC220*AC129+AD220*AD129+AE220*AE129+AF220*AF129+AG220*AG129+AH220*AH129+AI220*AI129+AJ220*AJ129+AK220*AK129+AL220*AL129+AM220*AM129+AN220*AN129+AO220*AO129+AP220*AP129+AQ220*AQ129+AR220*AR129+AS220*AS129+AT220*AT129+AU220*AU129+AV220*AV129+AW220*AW129+AX220*AX129+AY220*AY129+AZ220*AZ129+BA220*BA129+BB220*BB129+BC220*BC129+BD220*BD129+BE220*BE129+BF220*BF129+BG220*BG129+BH220*BH129+BI220*BI129+BJ220*BJ129+BK220*BK129+BL220*BL129+BM220*BM129+BN220*BN129+BO220*BO129+BP220*BP129+BQ220*BQ129+BR220*BR129+BS220*BS129+BT220*BT129+BU220*BU129+BV220*BV129+BW220*BW129+BX220*BX129+BY220*BY129+BZ220*BZ129+CA220*CA129+CB220*CB129+CC220*CC129</f>
        <v>0</v>
      </c>
      <c r="CG129" s="2385">
        <f>E221*E129+F221*F129+G221*G129+H221*H129+I221*I129+J221*J129+K221*K129+L221*L129+M221*M129+N221*N129+O221*O129+P221*P129+Q221*Q129+R221*R129+S221*S129+T221*T129+U221*U129+V221*V129+W221*W129+X221*X129+Y221*Y129+Z221*Z129+AA221*AA129+AB221*AB129+AC221*AC129+AD221*AD129+AE221*AE129+AF221*AF129+AG221*AG129+AH221*AH129+AI221*AI129+AJ221*AJ129+AK221*AK129+AL221*AL129+AM221*AM129+AN221*AN129+AO221*AO129+AP221*AP129+AQ221*AQ129+AR221*AR129+AS221*AS129+AT221*AT129+AU221*AU129+AV221*AV129+AW221*AW129+AX221*AX129+AY221*AY129+AZ221*AZ129+BA221*BA129+BB221*BB129+BC221*BC129+BD221*BD129+BE221*BE129+BF221*BF129+BG221*BG129+BH221*BH129+BI221*BI129+BJ221*BJ129+BK221*BK129+BL221*BL129+BM221*BM129+BN221*BN129+BO221*BO129+BP221*BP129+BQ221*BQ129+BR221*BR129+BS221*BS129+BT221*BT129+BU221*BU129+BV221*BV129+BW221*BW129+BX221*BX129+BY221*BY129+BZ221*BZ129+CA221*CA129+CB221*CB129+CC221*CC129</f>
        <v>6.9388939039072284E-18</v>
      </c>
      <c r="CH129" s="2386">
        <f>E222*E129+F222*F129+G222*G129+H222*H129+I222*I129+J222*J129+K222*K129+L222*L129+M222*M129+N222*N129+O222*O129+P222*P129+Q222*Q129+R222*R129+S222*S129+T222*T129+U222*U129+V222*V129+W222*W129+X222*X129+Y222*Y129+Z222*Z129+AA222*AA129+AB222*AB129+AC222*AC129+AD222*AD129+AE222*AE129+AF222*AF129+AG222*AG129+AH222*AH129+AI222*AI129+AJ222*AJ129+AK222*AK129+AL222*AL129+AM222*AM129+AN222*AN129+AO222*AO129+AP222*AP129+AQ222*AQ129+AR222*AR129+AS222*AS129+AT222*AT129+AU222*AU129+AV222*AV129+AW222*AW129+AX222*AX129+AY222*AY129+AZ222*AZ129+BA222*BA129+BB222*BB129+BC222*BC129+BD222*BD129+BE222*BE129+BF222*BF129+BG222*BG129+BH222*BH129+BI222*BI129+BJ222*BJ129+BK222*BK129+BL222*BL129+BM222*BM129+BN222*BN129+BO222*BO129+BP222*BP129+BQ222*BQ129+BR222*BR129+BS222*BS129+BT222*BT129+BU222*BU129+BV222*BV129+BW222*BW129+BX222*BX129+BY222*BY129+BZ222*BZ129+CA222*CA129+CB222*CB129+CC222*CC129</f>
        <v>0</v>
      </c>
      <c r="CI129" s="2387">
        <f>E223*E129+F223*F129+G223*G129+H223*H129+I223*I129+J223*J129+K223*K129+L223*L129+M223*M129+N223*N129+O223*O129+P223*P129+Q223*Q129+R223*R129+S223*S129+T223*T129+U223*U129+V223*V129+W223*W129+X223*X129+Y223*Y129+Z223*Z129+AA223*AA129+AB223*AB129+AC223*AC129+AD223*AD129+AE223*AE129+AF223*AF129+AG223*AG129+AH223*AH129+AI223*AI129+AJ223*AJ129+AK223*AK129+AL223*AL129+AM223*AM129+AN223*AN129+AO223*AO129+AP223*AP129+AQ223*AQ129+AR223*AR129+AS223*AS129+AT223*AT129+AU223*AU129+AV223*AV129+AW223*AW129+AX223*AX129+AY223*AY129+AZ223*AZ129+BA223*BA129+BB223*BB129+BC223*BC129+BD223*BD129+BE223*BE129+BF223*BF129+BG223*BG129+BH223*BH129+BI223*BI129+BJ223*BJ129+BK223*BK129+BL223*BL129+BM223*BM129+BN223*BN129+BO223*BO129+BP223*BP129+BQ223*BQ129+BR223*BR129+BS223*BS129+BT223*BT129+BU223*BU129+BV223*BV129+BW223*BW129+BX223*BX129+BY223*BY129+BZ223*BZ129+CA223*CA129+CB223*CB129+CC223*CC129</f>
        <v>0</v>
      </c>
      <c r="CJ129" s="2387">
        <f>E224*E129+F224*F129+G224*G129+H224*H129+I224*I129+J224*J129+K224*K129+L224*L129+M224*M129+N224*N129+O224*O129+P224*P129+Q224*Q129+R224*R129+S224*S129+T224*T129+U224*U129+V224*V129+W224*W129+X224*X129+Y224*Y129+Z224*Z129+AA224*AA129+AB224*AB129+AC224*AC129+AD224*AD129+AE224*AE129+AF224*AF129+AG224*AG129+AH224*AH129+AI224*AI129+AJ224*AJ129+AK224*AK129+AL224*AL129+AM224*AM129+AN224*AN129+AO224*AO129+AP224*AP129+AQ224*AQ129+AR224*AR129+AS224*AS129+AT224*AT129+AU224*AU129+AV224*AV129+AW224*AW129+AX224*AX129+AY224*AY129+AZ224*AZ129+BA224*BA129+BB224*BB129+BC224*BC129+BD224*BD129+BE224*BE129+BF224*BF129+BG224*BG129+BH224*BH129+BI224*BI129+BJ224*BJ129+BK224*BK129+BL224*BL129+BM224*BM129+BN224*BN129+BO224*BO129+BP224*BP129+BQ224*BQ129+BR224*BR129+BS224*BS129+BT224*BT129+BU224*BU129+BV224*BV129+BW224*BW129+BX224*BX129+BY224*BY129+BZ224*BZ129+CA224*CA129+CB224*CB129+CC224*CC129</f>
        <v>0</v>
      </c>
      <c r="CK129" s="2387">
        <f>E225*E129+F225*F129+G225*G129+H225*H129+I225*I129+J225*J129+K225*K129+L225*L129+M225*M129+N225*N129+O225*O129+P225*P129+Q225*Q129+R225*R129+S225*S129+T225*T129+U225*U129+V225*V129+W225*W129+X225*X129+Y225*Y129+Z225*Z129+AA225*AA129+AB225*AB129+AC225*AC129+AD225*AD129+AE225*AE129+AF225*AF129+AG225*AG129+AH225*AH129+AI225*AI129+AJ225*AJ129+AK225*AK129+AL225*AL129+AM225*AM129+AN225*AN129+AO225*AO129+AP225*AP129+AQ225*AQ129+AR225*AR129+AS225*AS129+AT225*AT129+AU225*AU129+AV225*AV129+AW225*AW129+AX225*AX129+AY225*AY129+AZ225*AZ129+BA225*BA129+BB225*BB129+BC225*BC129+BD225*BD129+BE225*BE129+BF225*BF129+BG225*BG129+BH225*BH129+BI225*BI129+BJ225*BJ129+BK225*BK129+BL225*BL129+BM225*BM129+BN225*BN129+BO225*BO129+BP225*BP129+BQ225*BQ129+BR225*BR129+BS225*BS129+BT225*BT129+BU225*BU129+BV225*BV129+BW225*BW129+BX225*BX129+BY225*BY129+BZ225*BZ129+CA225*CA129+CB225*CB129+CC225*CC129</f>
        <v>0</v>
      </c>
      <c r="CL129" s="2387">
        <f>E226*E129+F226*F129+G226*G129+H226*H129+I226*I129+J226*J129+K226*K129+L226*L129+M226*M129+N226*N129+O226*O129+P226*P129+Q226*Q129+R226*R129+S226*S129+T226*T129+U226*U129+V226*V129+W226*W129+X226*X129+Y226*Y129+Z226*Z129+AA226*AA129+AB226*AB129+AC226*AC129+AD226*AD129+AE226*AE129+AF226*AF129+AG226*AG129+AH226*AH129+AI226*AI129+AJ226*AJ129+AK226*AK129+AL226*AL129+AM226*AM129+AN226*AN129+AO226*AO129+AP226*AP129+AQ226*AQ129+AR226*AR129+AS226*AS129+AT226*AT129+AU226*AU129+AV226*AV129+AW226*AW129+AX226*AX129+AY226*AY129+AZ226*AZ129+BA226*BA129+BB226*BB129+BC226*BC129+BD226*BD129+BE226*BE129+BF226*BF129+BG226*BG129+BH226*BH129+BI226*BI129+BJ226*BJ129+BK226*BK129+BL226*BL129+BM226*BM129+BN226*BN129+BO226*BO129+BP226*BP129+BQ226*BQ129+BR226*BR129+BS226*BS129+BT226*BT129+BU226*BU129+BV226*BV129+BW226*BW129+BX226*BX129+BY226*BY129+BZ226*BZ129+CA226*CA129+CB226*CB129+CC226*CC129</f>
        <v>0</v>
      </c>
      <c r="CM129" s="2387">
        <f>E227*E129+F227*F129+G227*G129+H227*H129+I227*I129+J227*J129+K227*K129+L227*L129+M227*M129+N227*N129+O227*O129+P227*P129+Q227*Q129+R227*R129+S227*S129+T227*T129+U227*U129+V227*V129+W227*W129+X227*X129+Y227*Y129+Z227*Z129+AA227*AA129+AB227*AB129+AC227*AC129+AD227*AD129+AE227*AE129+AF227*AF129+AG227*AG129+AH227*AH129+AI227*AI129+AJ227*AJ129+AK227*AK129+AL227*AL129+AM227*AM129+AN227*AN129+AO227*AO129+AP227*AP129+AQ227*AQ129+AR227*AR129+AS227*AS129+AT227*AT129+AU227*AU129+AV227*AV129+AW227*AW129+AX227*AX129+AY227*AY129+AZ227*AZ129+BA227*BA129+BB227*BB129+BC227*BC129+BD227*BD129+BE227*BE129+BF227*BF129+BG227*BG129+BH227*BH129+BI227*BI129+BJ227*BJ129+BK227*BK129+BL227*BL129+BM227*BM129+BN227*BN129+BO227*BO129+BP227*BP129+BQ227*BQ129+BR227*BR129+BS227*BS129+BT227*BT129+BU227*BU129+BV227*BV129+BW227*BW129+BX227*BX129+BY227*BY129+BZ227*BZ129+CA227*CA129+CB227*CB129+CC227*CC129</f>
        <v>0</v>
      </c>
      <c r="CN129" s="2387">
        <f>E228*E129+F228*F129+G228*G129+H228*H129+I228*I129+J228*J129+K228*K129+L228*L129+M228*M129+N228*N129+O228*O129+P228*P129+Q228*Q129+R228*R129+S228*S129+T228*T129+U228*U129+V228*V129+W228*W129+X228*X129+Y228*Y129+Z228*Z129+AA228*AA129+AB228*AB129+AC228*AC129+AD228*AD129+AE228*AE129+AF228*AF129+AG228*AG129+AH228*AH129+AI228*AI129+AJ228*AJ129+AK228*AK129+AL228*AL129+AM228*AM129+AN228*AN129+AO228*AO129+AP228*AP129+AQ228*AQ129+AR228*AR129+AS228*AS129+AT228*AT129+AU228*AU129+AV228*AV129+AW228*AW129+AX228*AX129+AY228*AY129+AZ228*AZ129+BA228*BA129+BB228*BB129+BC228*BC129+BD228*BD129+BE228*BE129+BF228*BF129+BG228*BG129+BH228*BH129+BI228*BI129+BJ228*BJ129+BK228*BK129+BL228*BL129+BM228*BM129+BN228*BN129+BO228*BO129+BP228*BP129+BQ228*BQ129+BR228*BR129+BS228*BS129+BT228*BT129+BU228*BU129+BV228*BV129+BW228*BW129+BX228*BX129+BY228*BY129+BZ228*BZ129+CA228*CA129+CB228*CB129+CC228*CC129</f>
        <v>0</v>
      </c>
      <c r="CO129" s="2387">
        <f>E229*E129+F229*F129+G229*G129+H229*H129+I229*I129+J229*J129+K229*K129+L229*L129+M229*M129+N229*N129+O229*O129+P229*P129+Q229*Q129+R229*R129+S229*S129+T229*T129+U229*U129+V229*V129+W229*W129+X229*X129+Y229*Y129+Z229*Z129+AA229*AA129+AB229*AB129+AC229*AC129+AD229*AD129+AE229*AE129+AF229*AF129+AG229*AG129+AH229*AH129+AI229*AI129+AJ229*AJ129+AK229*AK129+AL229*AL129+AM229*AM129+AN229*AN129+AO229*AO129+AP229*AP129+AQ229*AQ129+AR229*AR129+AS229*AS129+AT229*AT129+AU229*AU129+AV229*AV129+AW229*AW129+AX229*AX129+AY229*AY129+AZ229*AZ129+BA229*BA129+BB229*BB129+BC229*BC129+BD229*BD129+BE229*BE129+BF229*BF129+BG229*BG129+BH229*BH129+BI229*BI129+BJ229*BJ129+BK229*BK129+BL229*BL129+BM229*BM129+BN229*BN129+BO229*BO129+BP229*BP129+BQ229*BQ129+BR229*BR129+BS229*BS129+BT229*BT129+BU229*BU129+BV229*BV129+BW229*BW129+BX229*BX129+BY229*BY129+BZ229*BZ129+CA229*CA129+CB229*CB129+CC229*CC129</f>
        <v>0</v>
      </c>
      <c r="CP129" s="2387">
        <f>E230*E129+F230*F129+G230*G129+H230*H129+I230*I129+J230*J129+K230*K129+L230*L129+M230*M129+N230*N129+O230*O129+P230*P129+Q230*Q129+R230*R129+S230*S129+T230*T129+U230*U129+V230*V129+W230*W129+X230*X129+Y230*Y129+Z230*Z129+AA230*AA129+AB230*AB129+AC230*AC129+AD230*AD129+AE230*AE129+AF230*AF129+AG230*AG129+AH230*AH129+AI230*AI129+AJ230*AJ129+AK230*AK129+AL230*AL129+AM230*AM129+AN230*AN129+AO230*AO129+AP230*AP129+AQ230*AQ129+AR230*AR129+AS230*AS129+AT230*AT129+AU230*AU129+AV230*AV129+AW230*AW129+AX230*AX129+AY230*AY129+AZ230*AZ129+BA230*BA129+BB230*BB129+BC230*BC129+BD230*BD129+BE230*BE129+BF230*BF129+BG230*BG129+BH230*BH129+BI230*BI129+BJ230*BJ129+BK230*BK129+BL230*BL129+BM230*BM129+BN230*BN129+BO230*BO129+BP230*BP129+BQ230*BQ129+BR230*BR129+BS230*BS129+BT230*BT129+BU230*BU129+BV230*BV129+BW230*BW129+BX230*BX129+BY230*BY129+BZ230*BZ129+CA230*CA129+CB230*CB129+CC230*CC129</f>
        <v>0</v>
      </c>
    </row>
    <row r="130" spans="2:94" x14ac:dyDescent="0.25">
      <c r="B130" s="1583">
        <v>11</v>
      </c>
      <c r="C130" s="1523" t="s">
        <v>233</v>
      </c>
      <c r="D130" s="619" t="s">
        <v>3079</v>
      </c>
      <c r="E130" s="972">
        <f>0</f>
        <v>0</v>
      </c>
      <c r="F130" s="972">
        <f>0</f>
        <v>0</v>
      </c>
      <c r="G130" s="972">
        <f>0</f>
        <v>0</v>
      </c>
      <c r="H130" s="972">
        <f>0</f>
        <v>0</v>
      </c>
      <c r="I130" s="972">
        <f>1-f_E</f>
        <v>0.92</v>
      </c>
      <c r="J130" s="972">
        <f>0</f>
        <v>0</v>
      </c>
      <c r="K130" s="972">
        <f>0</f>
        <v>0</v>
      </c>
      <c r="L130" s="972">
        <f>0</f>
        <v>0</v>
      </c>
      <c r="M130" s="972">
        <f>0</f>
        <v>0</v>
      </c>
      <c r="N130" s="972">
        <f>0</f>
        <v>0</v>
      </c>
      <c r="O130" s="972">
        <f>0</f>
        <v>0</v>
      </c>
      <c r="P130" s="972">
        <f>f_E</f>
        <v>0.08</v>
      </c>
      <c r="Q130" s="972">
        <f>-1</f>
        <v>-1</v>
      </c>
      <c r="R130" s="972">
        <f>0</f>
        <v>0</v>
      </c>
      <c r="S130" s="972">
        <f>0</f>
        <v>0</v>
      </c>
      <c r="T130" s="972">
        <f>0</f>
        <v>0</v>
      </c>
      <c r="U130" s="972">
        <f>0</f>
        <v>0</v>
      </c>
      <c r="V130" s="972">
        <f>0</f>
        <v>0</v>
      </c>
      <c r="W130" s="972">
        <f>0</f>
        <v>0</v>
      </c>
      <c r="X130" s="972">
        <f>0</f>
        <v>0</v>
      </c>
      <c r="Y130" s="971">
        <f>-f_E*(i_N_XE-i_N_BIO)</f>
        <v>8.0000000000000069E-4</v>
      </c>
      <c r="Z130" s="972">
        <f>0</f>
        <v>0</v>
      </c>
      <c r="AA130" s="972">
        <f>0</f>
        <v>0</v>
      </c>
      <c r="AB130" s="972">
        <f>0</f>
        <v>0</v>
      </c>
      <c r="AC130" s="972">
        <f>0</f>
        <v>0</v>
      </c>
      <c r="AD130" s="972">
        <f>(1-f_E)*i_N_BIO</f>
        <v>6.4400000000000013E-2</v>
      </c>
      <c r="AE130" s="972">
        <f>0</f>
        <v>0</v>
      </c>
      <c r="AF130" s="972">
        <f>0</f>
        <v>0</v>
      </c>
      <c r="AG130" s="972">
        <f>0</f>
        <v>0</v>
      </c>
      <c r="AH130" s="972">
        <f>0</f>
        <v>0</v>
      </c>
      <c r="AI130" s="972">
        <f>(1-f_E)*i_P_BIO</f>
        <v>1.84E-2</v>
      </c>
      <c r="AJ130" s="972">
        <f>0</f>
        <v>0</v>
      </c>
      <c r="AK130" s="972">
        <f>0</f>
        <v>0</v>
      </c>
      <c r="AL130" s="972">
        <f>0</f>
        <v>0</v>
      </c>
      <c r="AM130" s="972">
        <f>0</f>
        <v>0</v>
      </c>
      <c r="AN130" s="972">
        <f>(1-f_E)*(i_CIT_BIO-i_CIT_SB)</f>
        <v>6.0720000000000003E-2</v>
      </c>
      <c r="AO130" s="1000">
        <f>-i_INORG</f>
        <v>-0.11</v>
      </c>
      <c r="AP130" s="999">
        <f>i_INORG*(1-i_Ca_INORG*(A_MCa+2*A_MCl)/A_MCa-i_Mg_INORG*(A_MMg+2*A_MCl)/A_MMg)*f_Na</f>
        <v>2.8804303582798466E-2</v>
      </c>
      <c r="AQ130" s="999">
        <f>i_INORG*(i_Ca_INORG*(2*A_MCl)/A_MCa+i_Mg_INORG*(2*A_MCl)/A_MMg)+i_INORG*(1-i_Ca_INORG*(A_MCa+2*A_MCl)/A_MCa-i_Mg_INORG*(A_MMg+2*A_MCl)/A_MMg)*(1-f_Na)</f>
        <v>7.0195696417201539E-2</v>
      </c>
      <c r="AR130" s="999">
        <f>i_INORG*i_Ca_INORG</f>
        <v>5.5000000000000005E-3</v>
      </c>
      <c r="AS130" s="999">
        <f>i_INORG*i_Mg_INORG</f>
        <v>5.5000000000000005E-3</v>
      </c>
      <c r="AT130" s="971">
        <f>0</f>
        <v>0</v>
      </c>
      <c r="AU130" s="971">
        <f>0</f>
        <v>0</v>
      </c>
      <c r="AV130" s="971">
        <f>0</f>
        <v>0</v>
      </c>
      <c r="AW130" s="971">
        <f>0</f>
        <v>0</v>
      </c>
      <c r="AX130" s="971">
        <f>0</f>
        <v>0</v>
      </c>
      <c r="AY130" s="971">
        <f>0</f>
        <v>0</v>
      </c>
      <c r="AZ130" s="971">
        <f>0</f>
        <v>0</v>
      </c>
      <c r="BA130" s="971">
        <f>0</f>
        <v>0</v>
      </c>
      <c r="BB130" s="971">
        <f>0</f>
        <v>0</v>
      </c>
      <c r="BC130" s="971">
        <f>0</f>
        <v>0</v>
      </c>
      <c r="BD130" s="971">
        <f>0</f>
        <v>0</v>
      </c>
      <c r="BE130" s="971">
        <f>0</f>
        <v>0</v>
      </c>
      <c r="BF130" s="971">
        <f>0</f>
        <v>0</v>
      </c>
      <c r="BG130" s="971">
        <f>0</f>
        <v>0</v>
      </c>
      <c r="BH130" s="971">
        <f>0</f>
        <v>0</v>
      </c>
      <c r="BI130" s="971">
        <f>0</f>
        <v>0</v>
      </c>
      <c r="BJ130" s="971">
        <f>0</f>
        <v>0</v>
      </c>
      <c r="BK130" s="971">
        <f>0</f>
        <v>0</v>
      </c>
      <c r="BL130" s="1634">
        <f>0</f>
        <v>0</v>
      </c>
      <c r="BM130" s="971">
        <f>0</f>
        <v>0</v>
      </c>
      <c r="BN130" s="971">
        <f>0</f>
        <v>0</v>
      </c>
      <c r="BO130" s="971">
        <f>0</f>
        <v>0</v>
      </c>
      <c r="BP130" s="1415">
        <f>0</f>
        <v>0</v>
      </c>
      <c r="BQ130" s="2364">
        <f>0</f>
        <v>0</v>
      </c>
      <c r="BR130" s="971">
        <f>0</f>
        <v>0</v>
      </c>
      <c r="BS130" s="971">
        <f>0</f>
        <v>0</v>
      </c>
      <c r="BT130" s="971">
        <f>0</f>
        <v>0</v>
      </c>
      <c r="BU130" s="971">
        <f>0</f>
        <v>0</v>
      </c>
      <c r="BV130" s="971">
        <f>0</f>
        <v>0</v>
      </c>
      <c r="BW130" s="971">
        <f>0</f>
        <v>0</v>
      </c>
      <c r="BX130" s="971">
        <f>0</f>
        <v>0</v>
      </c>
      <c r="BY130" s="971">
        <f>0</f>
        <v>0</v>
      </c>
      <c r="BZ130" s="971">
        <f>0</f>
        <v>0</v>
      </c>
      <c r="CA130" s="971">
        <f>0</f>
        <v>0</v>
      </c>
      <c r="CB130" s="971">
        <f>0</f>
        <v>0</v>
      </c>
      <c r="CC130" s="971">
        <f>0</f>
        <v>0</v>
      </c>
      <c r="CD130" s="1650">
        <f>b_OHO_T*X_OHO*η_b_ana*M_inhSNO2_KNO2_OHO*M_inhSNO3_KNO3_OHO*M_inhSO2_KO2_OHO</f>
        <v>3.5339717282261748E-2</v>
      </c>
      <c r="CF130" s="2385">
        <f>E220*E130+F220*F130+G220*G130+H220*H130+I220*I130+J220*J130+K220*K130+L220*L130+M220*M130+N220*N130+O220*O130+P220*P130+Q220*Q130+R220*R130+S220*S130+T220*T130+U220*U130+V220*V130+W220*W130+X220*X130+Y220*Y130+Z220*Z130+AA220*AA130+AB220*AB130+AC220*AC130+AD220*AD130+AE220*AE130+AF220*AF130+AG220*AG130+AH220*AH130+AI220*AI130+AJ220*AJ130+AK220*AK130+AL220*AL130+AM220*AM130+AN220*AN130+AO220*AO130+AP220*AP130+AQ220*AQ130+AR220*AR130+AS220*AS130+AT220*AT130+AU220*AU130+AV220*AV130+AW220*AW130+AX220*AX130+AY220*AY130+AZ220*AZ130+BA220*BA130+BB220*BB130+BC220*BC130+BD220*BD130+BE220*BE130+BF220*BF130+BG220*BG130+BH220*BH130+BI220*BI130+BJ220*BJ130+BK220*BK130+BL220*BL130+BM220*BM130+BN220*BN130+BO220*BO130+BP220*BP130+BQ220*BQ130+BR220*BR130+BS220*BS130+BT220*BT130+BU220*BU130+BV220*BV130+BW220*BW130+BX220*BX130+BY220*BY130+BZ220*BZ130+CA220*CA130+CB220*CB130+CC220*CC130</f>
        <v>0</v>
      </c>
      <c r="CG130" s="2385">
        <f>E221*E130+F221*F130+G221*G130+H221*H130+I221*I130+J221*J130+K221*K130+L221*L130+M221*M130+N221*N130+O221*O130+P221*P130+Q221*Q130+R221*R130+S221*S130+T221*T130+U221*U130+V221*V130+W221*W130+X221*X130+Y221*Y130+Z221*Z130+AA221*AA130+AB221*AB130+AC221*AC130+AD221*AD130+AE221*AE130+AF221*AF130+AG221*AG130+AH221*AH130+AI221*AI130+AJ221*AJ130+AK221*AK130+AL221*AL130+AM221*AM130+AN221*AN130+AO221*AO130+AP221*AP130+AQ221*AQ130+AR221*AR130+AS221*AS130+AT221*AT130+AU221*AU130+AV221*AV130+AW221*AW130+AX221*AX130+AY221*AY130+AZ221*AZ130+BA221*BA130+BB221*BB130+BC221*BC130+BD221*BD130+BE221*BE130+BF221*BF130+BG221*BG130+BH221*BH130+BI221*BI130+BJ221*BJ130+BK221*BK130+BL221*BL130+BM221*BM130+BN221*BN130+BO221*BO130+BP221*BP130+BQ221*BQ130+BR221*BR130+BS221*BS130+BT221*BT130+BU221*BU130+BV221*BV130+BW221*BW130+BX221*BX130+BY221*BY130+BZ221*BZ130+CA221*CA130+CB221*CB130+CC221*CC130</f>
        <v>6.9388939039072284E-18</v>
      </c>
      <c r="CH130" s="2386">
        <f>E222*E130+F222*F130+G222*G130+H222*H130+I222*I130+J222*J130+K222*K130+L222*L130+M222*M130+N222*N130+O222*O130+P222*P130+Q222*Q130+R222*R130+S222*S130+T222*T130+U222*U130+V222*V130+W222*W130+X222*X130+Y222*Y130+Z222*Z130+AA222*AA130+AB222*AB130+AC222*AC130+AD222*AD130+AE222*AE130+AF222*AF130+AG222*AG130+AH222*AH130+AI222*AI130+AJ222*AJ130+AK222*AK130+AL222*AL130+AM222*AM130+AN222*AN130+AO222*AO130+AP222*AP130+AQ222*AQ130+AR222*AR130+AS222*AS130+AT222*AT130+AU222*AU130+AV222*AV130+AW222*AW130+AX222*AX130+AY222*AY130+AZ222*AZ130+BA222*BA130+BB222*BB130+BC222*BC130+BD222*BD130+BE222*BE130+BF222*BF130+BG222*BG130+BH222*BH130+BI222*BI130+BJ222*BJ130+BK222*BK130+BL222*BL130+BM222*BM130+BN222*BN130+BO222*BO130+BP222*BP130+BQ222*BQ130+BR222*BR130+BS222*BS130+BT222*BT130+BU222*BU130+BV222*BV130+BW222*BW130+BX222*BX130+BY222*BY130+BZ222*BZ130+CA222*CA130+CB222*CB130+CC222*CC130</f>
        <v>0</v>
      </c>
      <c r="CI130" s="2387">
        <f>E223*E130+F223*F130+G223*G130+H223*H130+I223*I130+J223*J130+K223*K130+L223*L130+M223*M130+N223*N130+O223*O130+P223*P130+Q223*Q130+R223*R130+S223*S130+T223*T130+U223*U130+V223*V130+W223*W130+X223*X130+Y223*Y130+Z223*Z130+AA223*AA130+AB223*AB130+AC223*AC130+AD223*AD130+AE223*AE130+AF223*AF130+AG223*AG130+AH223*AH130+AI223*AI130+AJ223*AJ130+AK223*AK130+AL223*AL130+AM223*AM130+AN223*AN130+AO223*AO130+AP223*AP130+AQ223*AQ130+AR223*AR130+AS223*AS130+AT223*AT130+AU223*AU130+AV223*AV130+AW223*AW130+AX223*AX130+AY223*AY130+AZ223*AZ130+BA223*BA130+BB223*BB130+BC223*BC130+BD223*BD130+BE223*BE130+BF223*BF130+BG223*BG130+BH223*BH130+BI223*BI130+BJ223*BJ130+BK223*BK130+BL223*BL130+BM223*BM130+BN223*BN130+BO223*BO130+BP223*BP130+BQ223*BQ130+BR223*BR130+BS223*BS130+BT223*BT130+BU223*BU130+BV223*BV130+BW223*BW130+BX223*BX130+BY223*BY130+BZ223*BZ130+CA223*CA130+CB223*CB130+CC223*CC130</f>
        <v>0</v>
      </c>
      <c r="CJ130" s="2387">
        <f>E224*E130+F224*F130+G224*G130+H224*H130+I224*I130+J224*J130+K224*K130+L224*L130+M224*M130+N224*N130+O224*O130+P224*P130+Q224*Q130+R224*R130+S224*S130+T224*T130+U224*U130+V224*V130+W224*W130+X224*X130+Y224*Y130+Z224*Z130+AA224*AA130+AB224*AB130+AC224*AC130+AD224*AD130+AE224*AE130+AF224*AF130+AG224*AG130+AH224*AH130+AI224*AI130+AJ224*AJ130+AK224*AK130+AL224*AL130+AM224*AM130+AN224*AN130+AO224*AO130+AP224*AP130+AQ224*AQ130+AR224*AR130+AS224*AS130+AT224*AT130+AU224*AU130+AV224*AV130+AW224*AW130+AX224*AX130+AY224*AY130+AZ224*AZ130+BA224*BA130+BB224*BB130+BC224*BC130+BD224*BD130+BE224*BE130+BF224*BF130+BG224*BG130+BH224*BH130+BI224*BI130+BJ224*BJ130+BK224*BK130+BL224*BL130+BM224*BM130+BN224*BN130+BO224*BO130+BP224*BP130+BQ224*BQ130+BR224*BR130+BS224*BS130+BT224*BT130+BU224*BU130+BV224*BV130+BW224*BW130+BX224*BX130+BY224*BY130+BZ224*BZ130+CA224*CA130+CB224*CB130+CC224*CC130</f>
        <v>0</v>
      </c>
      <c r="CK130" s="2387">
        <f>E225*E130+F225*F130+G225*G130+H225*H130+I225*I130+J225*J130+K225*K130+L225*L130+M225*M130+N225*N130+O225*O130+P225*P130+Q225*Q130+R225*R130+S225*S130+T225*T130+U225*U130+V225*V130+W225*W130+X225*X130+Y225*Y130+Z225*Z130+AA225*AA130+AB225*AB130+AC225*AC130+AD225*AD130+AE225*AE130+AF225*AF130+AG225*AG130+AH225*AH130+AI225*AI130+AJ225*AJ130+AK225*AK130+AL225*AL130+AM225*AM130+AN225*AN130+AO225*AO130+AP225*AP130+AQ225*AQ130+AR225*AR130+AS225*AS130+AT225*AT130+AU225*AU130+AV225*AV130+AW225*AW130+AX225*AX130+AY225*AY130+AZ225*AZ130+BA225*BA130+BB225*BB130+BC225*BC130+BD225*BD130+BE225*BE130+BF225*BF130+BG225*BG130+BH225*BH130+BI225*BI130+BJ225*BJ130+BK225*BK130+BL225*BL130+BM225*BM130+BN225*BN130+BO225*BO130+BP225*BP130+BQ225*BQ130+BR225*BR130+BS225*BS130+BT225*BT130+BU225*BU130+BV225*BV130+BW225*BW130+BX225*BX130+BY225*BY130+BZ225*BZ130+CA225*CA130+CB225*CB130+CC225*CC130</f>
        <v>0</v>
      </c>
      <c r="CL130" s="2387">
        <f>E226*E130+F226*F130+G226*G130+H226*H130+I226*I130+J226*J130+K226*K130+L226*L130+M226*M130+N226*N130+O226*O130+P226*P130+Q226*Q130+R226*R130+S226*S130+T226*T130+U226*U130+V226*V130+W226*W130+X226*X130+Y226*Y130+Z226*Z130+AA226*AA130+AB226*AB130+AC226*AC130+AD226*AD130+AE226*AE130+AF226*AF130+AG226*AG130+AH226*AH130+AI226*AI130+AJ226*AJ130+AK226*AK130+AL226*AL130+AM226*AM130+AN226*AN130+AO226*AO130+AP226*AP130+AQ226*AQ130+AR226*AR130+AS226*AS130+AT226*AT130+AU226*AU130+AV226*AV130+AW226*AW130+AX226*AX130+AY226*AY130+AZ226*AZ130+BA226*BA130+BB226*BB130+BC226*BC130+BD226*BD130+BE226*BE130+BF226*BF130+BG226*BG130+BH226*BH130+BI226*BI130+BJ226*BJ130+BK226*BK130+BL226*BL130+BM226*BM130+BN226*BN130+BO226*BO130+BP226*BP130+BQ226*BQ130+BR226*BR130+BS226*BS130+BT226*BT130+BU226*BU130+BV226*BV130+BW226*BW130+BX226*BX130+BY226*BY130+BZ226*BZ130+CA226*CA130+CB226*CB130+CC226*CC130</f>
        <v>0</v>
      </c>
      <c r="CM130" s="2387">
        <f>E227*E130+F227*F130+G227*G130+H227*H130+I227*I130+J227*J130+K227*K130+L227*L130+M227*M130+N227*N130+O227*O130+P227*P130+Q227*Q130+R227*R130+S227*S130+T227*T130+U227*U130+V227*V130+W227*W130+X227*X130+Y227*Y130+Z227*Z130+AA227*AA130+AB227*AB130+AC227*AC130+AD227*AD130+AE227*AE130+AF227*AF130+AG227*AG130+AH227*AH130+AI227*AI130+AJ227*AJ130+AK227*AK130+AL227*AL130+AM227*AM130+AN227*AN130+AO227*AO130+AP227*AP130+AQ227*AQ130+AR227*AR130+AS227*AS130+AT227*AT130+AU227*AU130+AV227*AV130+AW227*AW130+AX227*AX130+AY227*AY130+AZ227*AZ130+BA227*BA130+BB227*BB130+BC227*BC130+BD227*BD130+BE227*BE130+BF227*BF130+BG227*BG130+BH227*BH130+BI227*BI130+BJ227*BJ130+BK227*BK130+BL227*BL130+BM227*BM130+BN227*BN130+BO227*BO130+BP227*BP130+BQ227*BQ130+BR227*BR130+BS227*BS130+BT227*BT130+BU227*BU130+BV227*BV130+BW227*BW130+BX227*BX130+BY227*BY130+BZ227*BZ130+CA227*CA130+CB227*CB130+CC227*CC130</f>
        <v>0</v>
      </c>
      <c r="CN130" s="2387">
        <f>E228*E130+F228*F130+G228*G130+H228*H130+I228*I130+J228*J130+K228*K130+L228*L130+M228*M130+N228*N130+O228*O130+P228*P130+Q228*Q130+R228*R130+S228*S130+T228*T130+U228*U130+V228*V130+W228*W130+X228*X130+Y228*Y130+Z228*Z130+AA228*AA130+AB228*AB130+AC228*AC130+AD228*AD130+AE228*AE130+AF228*AF130+AG228*AG130+AH228*AH130+AI228*AI130+AJ228*AJ130+AK228*AK130+AL228*AL130+AM228*AM130+AN228*AN130+AO228*AO130+AP228*AP130+AQ228*AQ130+AR228*AR130+AS228*AS130+AT228*AT130+AU228*AU130+AV228*AV130+AW228*AW130+AX228*AX130+AY228*AY130+AZ228*AZ130+BA228*BA130+BB228*BB130+BC228*BC130+BD228*BD130+BE228*BE130+BF228*BF130+BG228*BG130+BH228*BH130+BI228*BI130+BJ228*BJ130+BK228*BK130+BL228*BL130+BM228*BM130+BN228*BN130+BO228*BO130+BP228*BP130+BQ228*BQ130+BR228*BR130+BS228*BS130+BT228*BT130+BU228*BU130+BV228*BV130+BW228*BW130+BX228*BX130+BY228*BY130+BZ228*BZ130+CA228*CA130+CB228*CB130+CC228*CC130</f>
        <v>0</v>
      </c>
      <c r="CO130" s="2387">
        <f>E229*E130+F229*F130+G229*G130+H229*H130+I229*I130+J229*J130+K229*K130+L229*L130+M229*M130+N229*N130+O229*O130+P229*P130+Q229*Q130+R229*R130+S229*S130+T229*T130+U229*U130+V229*V130+W229*W130+X229*X130+Y229*Y130+Z229*Z130+AA229*AA130+AB229*AB130+AC229*AC130+AD229*AD130+AE229*AE130+AF229*AF130+AG229*AG130+AH229*AH130+AI229*AI130+AJ229*AJ130+AK229*AK130+AL229*AL130+AM229*AM130+AN229*AN130+AO229*AO130+AP229*AP130+AQ229*AQ130+AR229*AR130+AS229*AS130+AT229*AT130+AU229*AU130+AV229*AV130+AW229*AW130+AX229*AX130+AY229*AY130+AZ229*AZ130+BA229*BA130+BB229*BB130+BC229*BC130+BD229*BD130+BE229*BE130+BF229*BF130+BG229*BG130+BH229*BH130+BI229*BI130+BJ229*BJ130+BK229*BK130+BL229*BL130+BM229*BM130+BN229*BN130+BO229*BO130+BP229*BP130+BQ229*BQ130+BR229*BR130+BS229*BS130+BT229*BT130+BU229*BU130+BV229*BV130+BW229*BW130+BX229*BX130+BY229*BY130+BZ229*BZ130+CA229*CA130+CB229*CB130+CC229*CC130</f>
        <v>0</v>
      </c>
      <c r="CP130" s="2387">
        <f>E230*E130+F230*F130+G230*G130+H230*H130+I230*I130+J230*J130+K230*K130+L230*L130+M230*M130+N230*N130+O230*O130+P230*P130+Q230*Q130+R230*R130+S230*S130+T230*T130+U230*U130+V230*V130+W230*W130+X230*X130+Y230*Y130+Z230*Z130+AA230*AA130+AB230*AB130+AC230*AC130+AD230*AD130+AE230*AE130+AF230*AF130+AG230*AG130+AH230*AH130+AI230*AI130+AJ230*AJ130+AK230*AK130+AL230*AL130+AM230*AM130+AN230*AN130+AO230*AO130+AP230*AP130+AQ230*AQ130+AR230*AR130+AS230*AS130+AT230*AT130+AU230*AU130+AV230*AV130+AW230*AW130+AX230*AX130+AY230*AY130+AZ230*AZ130+BA230*BA130+BB230*BB130+BC230*BC130+BD230*BD130+BE230*BE130+BF230*BF130+BG230*BG130+BH230*BH130+BI230*BI130+BJ230*BJ130+BK230*BK130+BL230*BL130+BM230*BM130+BN230*BN130+BO230*BO130+BP230*BP130+BQ230*BQ130+BR230*BR130+BS230*BS130+BT230*BT130+BU230*BU130+BV230*BV130+BW230*BW130+BX230*BX130+BY230*BY130+BZ230*BZ130+CA230*CA130+CB230*CB130+CC230*CC130</f>
        <v>0</v>
      </c>
    </row>
    <row r="131" spans="2:94" ht="18" x14ac:dyDescent="0.25">
      <c r="B131" s="1584">
        <v>12</v>
      </c>
      <c r="C131" s="1524" t="s">
        <v>234</v>
      </c>
      <c r="D131" s="626" t="s">
        <v>2272</v>
      </c>
      <c r="E131" s="973">
        <f>0</f>
        <v>0</v>
      </c>
      <c r="F131" s="973">
        <f>0</f>
        <v>0</v>
      </c>
      <c r="G131" s="993">
        <f>-1/Y_MEOLO</f>
        <v>-2.5</v>
      </c>
      <c r="H131" s="973">
        <f>0</f>
        <v>0</v>
      </c>
      <c r="I131" s="973">
        <f>0</f>
        <v>0</v>
      </c>
      <c r="J131" s="973">
        <f>0</f>
        <v>0</v>
      </c>
      <c r="K131" s="973">
        <f>0</f>
        <v>0</v>
      </c>
      <c r="L131" s="973">
        <f>0</f>
        <v>0</v>
      </c>
      <c r="M131" s="973">
        <f>0</f>
        <v>0</v>
      </c>
      <c r="N131" s="973">
        <f>0</f>
        <v>0</v>
      </c>
      <c r="O131" s="973">
        <f>0</f>
        <v>0</v>
      </c>
      <c r="P131" s="973">
        <f>0</f>
        <v>0</v>
      </c>
      <c r="Q131" s="973">
        <f>0</f>
        <v>0</v>
      </c>
      <c r="R131" s="973">
        <f>0</f>
        <v>0</v>
      </c>
      <c r="S131" s="973">
        <f>1</f>
        <v>1</v>
      </c>
      <c r="T131" s="973">
        <f>0</f>
        <v>0</v>
      </c>
      <c r="U131" s="973">
        <f>0</f>
        <v>0</v>
      </c>
      <c r="V131" s="973">
        <f>0</f>
        <v>0</v>
      </c>
      <c r="W131" s="973">
        <f>0</f>
        <v>0</v>
      </c>
      <c r="X131" s="973">
        <f>0</f>
        <v>0</v>
      </c>
      <c r="Y131" s="973">
        <f>-i_N_BIO</f>
        <v>-7.0000000000000007E-2</v>
      </c>
      <c r="Z131" s="993">
        <f>-(1-Y_MEOLO)/(E_EQN2_NO2*Y_MEOLO)</f>
        <v>-0.87545157943422891</v>
      </c>
      <c r="AA131" s="993">
        <f>0</f>
        <v>0</v>
      </c>
      <c r="AB131" s="993">
        <f>(1-Y_MEOLO)/(E_EQN2_NO2*Y_MEOLO)</f>
        <v>0.87545157943422891</v>
      </c>
      <c r="AC131" s="973">
        <f>0</f>
        <v>0</v>
      </c>
      <c r="AD131" s="973">
        <f>0</f>
        <v>0</v>
      </c>
      <c r="AE131" s="973">
        <f>0</f>
        <v>0</v>
      </c>
      <c r="AF131" s="993">
        <f>-i_P_BIO</f>
        <v>-0.02</v>
      </c>
      <c r="AG131" s="973">
        <f>0</f>
        <v>0</v>
      </c>
      <c r="AH131" s="973">
        <f>0</f>
        <v>0</v>
      </c>
      <c r="AI131" s="973">
        <f>0</f>
        <v>0</v>
      </c>
      <c r="AJ131" s="973">
        <f>0</f>
        <v>0</v>
      </c>
      <c r="AK131" s="973">
        <f>0</f>
        <v>0</v>
      </c>
      <c r="AL131" s="973">
        <f>0</f>
        <v>0</v>
      </c>
      <c r="AM131" s="973">
        <f>0</f>
        <v>0</v>
      </c>
      <c r="AN131" s="993">
        <f>i_CIT_MEOL/Y_MEOLO-i_CIT_BIO</f>
        <v>0.27300000000000002</v>
      </c>
      <c r="AO131" s="1001">
        <f>i_INORG</f>
        <v>0.11</v>
      </c>
      <c r="AP131" s="1001">
        <f>-i_INORG*(1-i_Ca_INORG*(A_MCa+2*A_MCl)/A_MCa-i_Mg_INORG*(A_MMg+2*A_MCl)/A_MMg)*f_Na</f>
        <v>-2.8804303582798466E-2</v>
      </c>
      <c r="AQ131" s="1001">
        <f>-i_INORG*(i_Ca_INORG*(2*A_MCl)/A_MCa+i_Mg_INORG*(2*A_MCl)/A_MMg)-i_INORG*(1-i_Ca_INORG*(A_MCa+2*A_MCl)/A_MCa-i_Mg_INORG*(A_MMg+2*A_MCl)/A_MMg)*(1-f_Na)</f>
        <v>-7.0195696417201539E-2</v>
      </c>
      <c r="AR131" s="1001">
        <f>-i_INORG*i_Ca_INORG</f>
        <v>-5.5000000000000005E-3</v>
      </c>
      <c r="AS131" s="1001">
        <f>-i_INORG*i_Mg_INORG</f>
        <v>-5.5000000000000005E-3</v>
      </c>
      <c r="AT131" s="993">
        <f>0</f>
        <v>0</v>
      </c>
      <c r="AU131" s="993">
        <f>0</f>
        <v>0</v>
      </c>
      <c r="AV131" s="993">
        <f>0</f>
        <v>0</v>
      </c>
      <c r="AW131" s="993">
        <f>0</f>
        <v>0</v>
      </c>
      <c r="AX131" s="993">
        <f>0</f>
        <v>0</v>
      </c>
      <c r="AY131" s="993">
        <f>0</f>
        <v>0</v>
      </c>
      <c r="AZ131" s="993">
        <f>0</f>
        <v>0</v>
      </c>
      <c r="BA131" s="993">
        <f>0</f>
        <v>0</v>
      </c>
      <c r="BB131" s="993">
        <f>0</f>
        <v>0</v>
      </c>
      <c r="BC131" s="993">
        <f>0</f>
        <v>0</v>
      </c>
      <c r="BD131" s="993">
        <f>0</f>
        <v>0</v>
      </c>
      <c r="BE131" s="993">
        <f>0</f>
        <v>0</v>
      </c>
      <c r="BF131" s="993">
        <f>0</f>
        <v>0</v>
      </c>
      <c r="BG131" s="993">
        <f>0</f>
        <v>0</v>
      </c>
      <c r="BH131" s="993">
        <f>0</f>
        <v>0</v>
      </c>
      <c r="BI131" s="993">
        <f>0</f>
        <v>0</v>
      </c>
      <c r="BJ131" s="993">
        <f>0</f>
        <v>0</v>
      </c>
      <c r="BK131" s="993">
        <f>0</f>
        <v>0</v>
      </c>
      <c r="BL131" s="1635">
        <f>0</f>
        <v>0</v>
      </c>
      <c r="BM131" s="993">
        <f>0</f>
        <v>0</v>
      </c>
      <c r="BN131" s="993">
        <f>0</f>
        <v>0</v>
      </c>
      <c r="BO131" s="993">
        <f>0</f>
        <v>0</v>
      </c>
      <c r="BP131" s="1416">
        <f>0</f>
        <v>0</v>
      </c>
      <c r="BQ131" s="2365">
        <f>0</f>
        <v>0</v>
      </c>
      <c r="BR131" s="993">
        <f>0</f>
        <v>0</v>
      </c>
      <c r="BS131" s="993">
        <f>0</f>
        <v>0</v>
      </c>
      <c r="BT131" s="993">
        <f>0</f>
        <v>0</v>
      </c>
      <c r="BU131" s="993">
        <f>0</f>
        <v>0</v>
      </c>
      <c r="BV131" s="993">
        <f>0</f>
        <v>0</v>
      </c>
      <c r="BW131" s="993">
        <f>0</f>
        <v>0</v>
      </c>
      <c r="BX131" s="993">
        <f>0</f>
        <v>0</v>
      </c>
      <c r="BY131" s="993">
        <f>0</f>
        <v>0</v>
      </c>
      <c r="BZ131" s="993">
        <f>0</f>
        <v>0</v>
      </c>
      <c r="CA131" s="993">
        <f>0</f>
        <v>0</v>
      </c>
      <c r="CB131" s="993">
        <f>0</f>
        <v>0</v>
      </c>
      <c r="CC131" s="993">
        <f>0</f>
        <v>0</v>
      </c>
      <c r="CD131" s="1651">
        <f>µ_MEOLO_T*X_MEOLO*M_satSMEOL_KMEOL*M_satSNO2_KNO2_MEOLO*M_inhSO2_KiO2_MEOLO*M_satSNHx_KNHx_BIO*M_satSPO4_KPO4_BIO*M_satSCAT_KCAT*M_satSAN_KAN*M_satSCa_KCa*M_satSMg_KMg*B_ellinhpH</f>
        <v>5.2187609999807366E-52</v>
      </c>
      <c r="CF131" s="2385">
        <f>E220*E131+F220*F131+G220*G131+H220*H131+I220*I131+J220*J131+K220*K131+L220*L131+M220*M131+N220*N131+O220*O131+P220*P131+Q220*Q131+R220*R131+S220*S131+T220*T131+U220*U131+V220*V131+W220*W131+X220*X131+Y220*Y131+Z220*Z131+AA220*AA131+AB220*AB131+AC220*AC131+AD220*AD131+AE220*AE131+AF220*AF131+AG220*AG131+AH220*AH131+AI220*AI131+AJ220*AJ131+AK220*AK131+AL220*AL131+AM220*AM131+AN220*AN131+AO220*AO131+AP220*AP131+AQ220*AQ131+AR220*AR131+AS220*AS131+AT220*AT131+AU220*AU131+AV220*AV131+AW220*AW131+AX220*AX131+AY220*AY131+AZ220*AZ131+BA220*BA131+BB220*BB131+BC220*BC131+BD220*BD131+BE220*BE131+BF220*BF131+BG220*BG131+BH220*BH131+BI220*BI131+BJ220*BJ131+BK220*BK131+BL220*BL131+BM220*BM131+BN220*BN131+BO220*BO131+BP220*BP131+BQ220*BQ131+BR220*BR131+BS220*BS131+BT220*BT131+BU220*BU131+BV220*BV131+BW220*BW131+BX220*BX131+BY220*BY131+BZ220*BZ131+CA220*CA131+CB220*CB131+CC220*CC131</f>
        <v>0</v>
      </c>
      <c r="CG131" s="2385">
        <f>E221*E131+F221*F131+G221*G131+H221*H131+I221*I131+J221*J131+K221*K131+L221*L131+M221*M131+N221*N131+O221*O131+P221*P131+Q221*Q131+R221*R131+S221*S131+T221*T131+U221*U131+V221*V131+W221*W131+X221*X131+Y221*Y131+Z221*Z131+AA221*AA131+AB221*AB131+AC221*AC131+AD221*AD131+AE221*AE131+AF221*AF131+AG221*AG131+AH221*AH131+AI221*AI131+AJ221*AJ131+AK221*AK131+AL221*AL131+AM221*AM131+AN221*AN131+AO221*AO131+AP221*AP131+AQ221*AQ131+AR221*AR131+AS221*AS131+AT221*AT131+AU221*AU131+AV221*AV131+AW221*AW131+AX221*AX131+AY221*AY131+AZ221*AZ131+BA221*BA131+BB221*BB131+BC221*BC131+BD221*BD131+BE221*BE131+BF221*BF131+BG221*BG131+BH221*BH131+BI221*BI131+BJ221*BJ131+BK221*BK131+BL221*BL131+BM221*BM131+BN221*BN131+BO221*BO131+BP221*BP131+BQ221*BQ131+BR221*BR131+BS221*BS131+BT221*BT131+BU221*BU131+BV221*BV131+BW221*BW131+BX221*BX131+BY221*BY131+BZ221*BZ131+CA221*CA131+CB221*CB131+CC221*CC131</f>
        <v>0</v>
      </c>
      <c r="CH131" s="2386">
        <f>E222*E131+F222*F131+G222*G131+H222*H131+I222*I131+J222*J131+K222*K131+L222*L131+M222*M131+N222*N131+O222*O131+P222*P131+Q222*Q131+R222*R131+S222*S131+T222*T131+U222*U131+V222*V131+W222*W131+X222*X131+Y222*Y131+Z222*Z131+AA222*AA131+AB222*AB131+AC222*AC131+AD222*AD131+AE222*AE131+AF222*AF131+AG222*AG131+AH222*AH131+AI222*AI131+AJ222*AJ131+AK222*AK131+AL222*AL131+AM222*AM131+AN222*AN131+AO222*AO131+AP222*AP131+AQ222*AQ131+AR222*AR131+AS222*AS131+AT222*AT131+AU222*AU131+AV222*AV131+AW222*AW131+AX222*AX131+AY222*AY131+AZ222*AZ131+BA222*BA131+BB222*BB131+BC222*BC131+BD222*BD131+BE222*BE131+BF222*BF131+BG222*BG131+BH222*BH131+BI222*BI131+BJ222*BJ131+BK222*BK131+BL222*BL131+BM222*BM131+BN222*BN131+BO222*BO131+BP222*BP131+BQ222*BQ131+BR222*BR131+BS222*BS131+BT222*BT131+BU222*BU131+BV222*BV131+BW222*BW131+BX222*BX131+BY222*BY131+BZ222*BZ131+CA222*CA131+CB222*CB131+CC222*CC131</f>
        <v>0</v>
      </c>
      <c r="CI131" s="2387">
        <f>E223*E131+F223*F131+G223*G131+H223*H131+I223*I131+J223*J131+K223*K131+L223*L131+M223*M131+N223*N131+O223*O131+P223*P131+Q223*Q131+R223*R131+S223*S131+T223*T131+U223*U131+V223*V131+W223*W131+X223*X131+Y223*Y131+Z223*Z131+AA223*AA131+AB223*AB131+AC223*AC131+AD223*AD131+AE223*AE131+AF223*AF131+AG223*AG131+AH223*AH131+AI223*AI131+AJ223*AJ131+AK223*AK131+AL223*AL131+AM223*AM131+AN223*AN131+AO223*AO131+AP223*AP131+AQ223*AQ131+AR223*AR131+AS223*AS131+AT223*AT131+AU223*AU131+AV223*AV131+AW223*AW131+AX223*AX131+AY223*AY131+AZ223*AZ131+BA223*BA131+BB223*BB131+BC223*BC131+BD223*BD131+BE223*BE131+BF223*BF131+BG223*BG131+BH223*BH131+BI223*BI131+BJ223*BJ131+BK223*BK131+BL223*BL131+BM223*BM131+BN223*BN131+BO223*BO131+BP223*BP131+BQ223*BQ131+BR223*BR131+BS223*BS131+BT223*BT131+BU223*BU131+BV223*BV131+BW223*BW131+BX223*BX131+BY223*BY131+BZ223*BZ131+CA223*CA131+CB223*CB131+CC223*CC131</f>
        <v>0</v>
      </c>
      <c r="CJ131" s="2387">
        <f>E224*E131+F224*F131+G224*G131+H224*H131+I224*I131+J224*J131+K224*K131+L224*L131+M224*M131+N224*N131+O224*O131+P224*P131+Q224*Q131+R224*R131+S224*S131+T224*T131+U224*U131+V224*V131+W224*W131+X224*X131+Y224*Y131+Z224*Z131+AA224*AA131+AB224*AB131+AC224*AC131+AD224*AD131+AE224*AE131+AF224*AF131+AG224*AG131+AH224*AH131+AI224*AI131+AJ224*AJ131+AK224*AK131+AL224*AL131+AM224*AM131+AN224*AN131+AO224*AO131+AP224*AP131+AQ224*AQ131+AR224*AR131+AS224*AS131+AT224*AT131+AU224*AU131+AV224*AV131+AW224*AW131+AX224*AX131+AY224*AY131+AZ224*AZ131+BA224*BA131+BB224*BB131+BC224*BC131+BD224*BD131+BE224*BE131+BF224*BF131+BG224*BG131+BH224*BH131+BI224*BI131+BJ224*BJ131+BK224*BK131+BL224*BL131+BM224*BM131+BN224*BN131+BO224*BO131+BP224*BP131+BQ224*BQ131+BR224*BR131+BS224*BS131+BT224*BT131+BU224*BU131+BV224*BV131+BW224*BW131+BX224*BX131+BY224*BY131+BZ224*BZ131+CA224*CA131+CB224*CB131+CC224*CC131</f>
        <v>0</v>
      </c>
      <c r="CK131" s="2387">
        <f>E225*E131+F225*F131+G225*G131+H225*H131+I225*I131+J225*J131+K225*K131+L225*L131+M225*M131+N225*N131+O225*O131+P225*P131+Q225*Q131+R225*R131+S225*S131+T225*T131+U225*U131+V225*V131+W225*W131+X225*X131+Y225*Y131+Z225*Z131+AA225*AA131+AB225*AB131+AC225*AC131+AD225*AD131+AE225*AE131+AF225*AF131+AG225*AG131+AH225*AH131+AI225*AI131+AJ225*AJ131+AK225*AK131+AL225*AL131+AM225*AM131+AN225*AN131+AO225*AO131+AP225*AP131+AQ225*AQ131+AR225*AR131+AS225*AS131+AT225*AT131+AU225*AU131+AV225*AV131+AW225*AW131+AX225*AX131+AY225*AY131+AZ225*AZ131+BA225*BA131+BB225*BB131+BC225*BC131+BD225*BD131+BE225*BE131+BF225*BF131+BG225*BG131+BH225*BH131+BI225*BI131+BJ225*BJ131+BK225*BK131+BL225*BL131+BM225*BM131+BN225*BN131+BO225*BO131+BP225*BP131+BQ225*BQ131+BR225*BR131+BS225*BS131+BT225*BT131+BU225*BU131+BV225*BV131+BW225*BW131+BX225*BX131+BY225*BY131+BZ225*BZ131+CA225*CA131+CB225*CB131+CC225*CC131</f>
        <v>0</v>
      </c>
      <c r="CL131" s="2387">
        <f>E226*E131+F226*F131+G226*G131+H226*H131+I226*I131+J226*J131+K226*K131+L226*L131+M226*M131+N226*N131+O226*O131+P226*P131+Q226*Q131+R226*R131+S226*S131+T226*T131+U226*U131+V226*V131+W226*W131+X226*X131+Y226*Y131+Z226*Z131+AA226*AA131+AB226*AB131+AC226*AC131+AD226*AD131+AE226*AE131+AF226*AF131+AG226*AG131+AH226*AH131+AI226*AI131+AJ226*AJ131+AK226*AK131+AL226*AL131+AM226*AM131+AN226*AN131+AO226*AO131+AP226*AP131+AQ226*AQ131+AR226*AR131+AS226*AS131+AT226*AT131+AU226*AU131+AV226*AV131+AW226*AW131+AX226*AX131+AY226*AY131+AZ226*AZ131+BA226*BA131+BB226*BB131+BC226*BC131+BD226*BD131+BE226*BE131+BF226*BF131+BG226*BG131+BH226*BH131+BI226*BI131+BJ226*BJ131+BK226*BK131+BL226*BL131+BM226*BM131+BN226*BN131+BO226*BO131+BP226*BP131+BQ226*BQ131+BR226*BR131+BS226*BS131+BT226*BT131+BU226*BU131+BV226*BV131+BW226*BW131+BX226*BX131+BY226*BY131+BZ226*BZ131+CA226*CA131+CB226*CB131+CC226*CC131</f>
        <v>0</v>
      </c>
      <c r="CM131" s="2387">
        <f>E227*E131+F227*F131+G227*G131+H227*H131+I227*I131+J227*J131+K227*K131+L227*L131+M227*M131+N227*N131+O227*O131+P227*P131+Q227*Q131+R227*R131+S227*S131+T227*T131+U227*U131+V227*V131+W227*W131+X227*X131+Y227*Y131+Z227*Z131+AA227*AA131+AB227*AB131+AC227*AC131+AD227*AD131+AE227*AE131+AF227*AF131+AG227*AG131+AH227*AH131+AI227*AI131+AJ227*AJ131+AK227*AK131+AL227*AL131+AM227*AM131+AN227*AN131+AO227*AO131+AP227*AP131+AQ227*AQ131+AR227*AR131+AS227*AS131+AT227*AT131+AU227*AU131+AV227*AV131+AW227*AW131+AX227*AX131+AY227*AY131+AZ227*AZ131+BA227*BA131+BB227*BB131+BC227*BC131+BD227*BD131+BE227*BE131+BF227*BF131+BG227*BG131+BH227*BH131+BI227*BI131+BJ227*BJ131+BK227*BK131+BL227*BL131+BM227*BM131+BN227*BN131+BO227*BO131+BP227*BP131+BQ227*BQ131+BR227*BR131+BS227*BS131+BT227*BT131+BU227*BU131+BV227*BV131+BW227*BW131+BX227*BX131+BY227*BY131+BZ227*BZ131+CA227*CA131+CB227*CB131+CC227*CC131</f>
        <v>0</v>
      </c>
      <c r="CN131" s="2387">
        <f>E228*E131+F228*F131+G228*G131+H228*H131+I228*I131+J228*J131+K228*K131+L228*L131+M228*M131+N228*N131+O228*O131+P228*P131+Q228*Q131+R228*R131+S228*S131+T228*T131+U228*U131+V228*V131+W228*W131+X228*X131+Y228*Y131+Z228*Z131+AA228*AA131+AB228*AB131+AC228*AC131+AD228*AD131+AE228*AE131+AF228*AF131+AG228*AG131+AH228*AH131+AI228*AI131+AJ228*AJ131+AK228*AK131+AL228*AL131+AM228*AM131+AN228*AN131+AO228*AO131+AP228*AP131+AQ228*AQ131+AR228*AR131+AS228*AS131+AT228*AT131+AU228*AU131+AV228*AV131+AW228*AW131+AX228*AX131+AY228*AY131+AZ228*AZ131+BA228*BA131+BB228*BB131+BC228*BC131+BD228*BD131+BE228*BE131+BF228*BF131+BG228*BG131+BH228*BH131+BI228*BI131+BJ228*BJ131+BK228*BK131+BL228*BL131+BM228*BM131+BN228*BN131+BO228*BO131+BP228*BP131+BQ228*BQ131+BR228*BR131+BS228*BS131+BT228*BT131+BU228*BU131+BV228*BV131+BW228*BW131+BX228*BX131+BY228*BY131+BZ228*BZ131+CA228*CA131+CB228*CB131+CC228*CC131</f>
        <v>0</v>
      </c>
      <c r="CO131" s="2387">
        <f>E229*E131+F229*F131+G229*G131+H229*H131+I229*I131+J229*J131+K229*K131+L229*L131+M229*M131+N229*N131+O229*O131+P229*P131+Q229*Q131+R229*R131+S229*S131+T229*T131+U229*U131+V229*V131+W229*W131+X229*X131+Y229*Y131+Z229*Z131+AA229*AA131+AB229*AB131+AC229*AC131+AD229*AD131+AE229*AE131+AF229*AF131+AG229*AG131+AH229*AH131+AI229*AI131+AJ229*AJ131+AK229*AK131+AL229*AL131+AM229*AM131+AN229*AN131+AO229*AO131+AP229*AP131+AQ229*AQ131+AR229*AR131+AS229*AS131+AT229*AT131+AU229*AU131+AV229*AV131+AW229*AW131+AX229*AX131+AY229*AY131+AZ229*AZ131+BA229*BA131+BB229*BB131+BC229*BC131+BD229*BD131+BE229*BE131+BF229*BF131+BG229*BG131+BH229*BH131+BI229*BI131+BJ229*BJ131+BK229*BK131+BL229*BL131+BM229*BM131+BN229*BN131+BO229*BO131+BP229*BP131+BQ229*BQ131+BR229*BR131+BS229*BS131+BT229*BT131+BU229*BU131+BV229*BV131+BW229*BW131+BX229*BX131+BY229*BY131+BZ229*BZ131+CA229*CA131+CB229*CB131+CC229*CC131</f>
        <v>0</v>
      </c>
      <c r="CP131" s="2387">
        <f>E230*E131+F230*F131+G230*G131+H230*H131+I230*I131+J230*J131+K230*K131+L230*L131+M230*M131+N230*N131+O230*O131+P230*P131+Q230*Q131+R230*R131+S230*S131+T230*T131+U230*U131+V230*V131+W230*W131+X230*X131+Y230*Y131+Z230*Z131+AA230*AA131+AB230*AB131+AC230*AC131+AD230*AD131+AE230*AE131+AF230*AF131+AG230*AG131+AH230*AH131+AI230*AI131+AJ230*AJ131+AK230*AK131+AL230*AL131+AM230*AM131+AN230*AN131+AO230*AO131+AP230*AP131+AQ230*AQ131+AR230*AR131+AS230*AS131+AT230*AT131+AU230*AU131+AV230*AV131+AW230*AW131+AX230*AX131+AY230*AY131+AZ230*AZ131+BA230*BA131+BB230*BB131+BC230*BC131+BD230*BD131+BE230*BE131+BF230*BF131+BG230*BG131+BH230*BH131+BI230*BI131+BJ230*BJ131+BK230*BK131+BL230*BL131+BM230*BM131+BN230*BN131+BO230*BO131+BP230*BP131+BQ230*BQ131+BR230*BR131+BS230*BS131+BT230*BT131+BU230*BU131+BV230*BV131+BW230*BW131+BX230*BX131+BY230*BY131+BZ230*BZ131+CA230*CA131+CB230*CB131+CC230*CC131</f>
        <v>0</v>
      </c>
    </row>
    <row r="132" spans="2:94" ht="18" x14ac:dyDescent="0.25">
      <c r="B132" s="1584">
        <v>13</v>
      </c>
      <c r="C132" s="1524" t="s">
        <v>235</v>
      </c>
      <c r="D132" s="626" t="s">
        <v>1665</v>
      </c>
      <c r="E132" s="973">
        <f>0</f>
        <v>0</v>
      </c>
      <c r="F132" s="973">
        <f>0</f>
        <v>0</v>
      </c>
      <c r="G132" s="993">
        <f>-1/Y_MEOLO</f>
        <v>-2.5</v>
      </c>
      <c r="H132" s="973">
        <f>0</f>
        <v>0</v>
      </c>
      <c r="I132" s="973">
        <f>0</f>
        <v>0</v>
      </c>
      <c r="J132" s="973">
        <f>0</f>
        <v>0</v>
      </c>
      <c r="K132" s="973">
        <f>0</f>
        <v>0</v>
      </c>
      <c r="L132" s="973">
        <f>0</f>
        <v>0</v>
      </c>
      <c r="M132" s="973">
        <f>0</f>
        <v>0</v>
      </c>
      <c r="N132" s="973">
        <f>0</f>
        <v>0</v>
      </c>
      <c r="O132" s="973">
        <f>0</f>
        <v>0</v>
      </c>
      <c r="P132" s="973">
        <f>0</f>
        <v>0</v>
      </c>
      <c r="Q132" s="973">
        <f>0</f>
        <v>0</v>
      </c>
      <c r="R132" s="973">
        <f>0</f>
        <v>0</v>
      </c>
      <c r="S132" s="973">
        <f>1</f>
        <v>1</v>
      </c>
      <c r="T132" s="973">
        <f>0</f>
        <v>0</v>
      </c>
      <c r="U132" s="973">
        <f>0</f>
        <v>0</v>
      </c>
      <c r="V132" s="973">
        <f>0</f>
        <v>0</v>
      </c>
      <c r="W132" s="973">
        <f>0</f>
        <v>0</v>
      </c>
      <c r="X132" s="973">
        <f>0</f>
        <v>0</v>
      </c>
      <c r="Y132" s="973">
        <f>-i_N_BIO</f>
        <v>-7.0000000000000007E-2</v>
      </c>
      <c r="Z132" s="993">
        <f>(1-Y_MEOLO)/(E_EQNO2_NO3*Y_MEOLO)</f>
        <v>1.3131773691513433</v>
      </c>
      <c r="AA132" s="993">
        <f>-(1-Y_MEOLO)/(E_EQNO2_NO3*Y_MEOLO)</f>
        <v>-1.3131773691513433</v>
      </c>
      <c r="AB132" s="993">
        <f>0</f>
        <v>0</v>
      </c>
      <c r="AC132" s="973">
        <f>0</f>
        <v>0</v>
      </c>
      <c r="AD132" s="973">
        <f>0</f>
        <v>0</v>
      </c>
      <c r="AE132" s="973">
        <f>0</f>
        <v>0</v>
      </c>
      <c r="AF132" s="993">
        <f>-i_P_BIO</f>
        <v>-0.02</v>
      </c>
      <c r="AG132" s="973">
        <f>0</f>
        <v>0</v>
      </c>
      <c r="AH132" s="973">
        <f>0</f>
        <v>0</v>
      </c>
      <c r="AI132" s="973">
        <f>0</f>
        <v>0</v>
      </c>
      <c r="AJ132" s="973">
        <f>0</f>
        <v>0</v>
      </c>
      <c r="AK132" s="973">
        <f>0</f>
        <v>0</v>
      </c>
      <c r="AL132" s="973">
        <f>0</f>
        <v>0</v>
      </c>
      <c r="AM132" s="973">
        <f>0</f>
        <v>0</v>
      </c>
      <c r="AN132" s="993">
        <f>i_CIT_MEOL/Y_MEOLO-i_CIT_BIO</f>
        <v>0.27300000000000002</v>
      </c>
      <c r="AO132" s="1001">
        <f>i_INORG</f>
        <v>0.11</v>
      </c>
      <c r="AP132" s="1001">
        <f>-i_INORG*(1-i_Ca_INORG*(A_MCa+2*A_MCl)/A_MCa-i_Mg_INORG*(A_MMg+2*A_MCl)/A_MMg)*f_Na</f>
        <v>-2.8804303582798466E-2</v>
      </c>
      <c r="AQ132" s="1001">
        <f>-i_INORG*(i_Ca_INORG*(2*A_MCl)/A_MCa+i_Mg_INORG*(2*A_MCl)/A_MMg)-i_INORG*(1-i_Ca_INORG*(A_MCa+2*A_MCl)/A_MCa-i_Mg_INORG*(A_MMg+2*A_MCl)/A_MMg)*(1-f_Na)</f>
        <v>-7.0195696417201539E-2</v>
      </c>
      <c r="AR132" s="1001">
        <f>-i_INORG*i_Ca_INORG</f>
        <v>-5.5000000000000005E-3</v>
      </c>
      <c r="AS132" s="1001">
        <f>-i_INORG*i_Mg_INORG</f>
        <v>-5.5000000000000005E-3</v>
      </c>
      <c r="AT132" s="993">
        <f>0</f>
        <v>0</v>
      </c>
      <c r="AU132" s="993">
        <f>0</f>
        <v>0</v>
      </c>
      <c r="AV132" s="993">
        <f>0</f>
        <v>0</v>
      </c>
      <c r="AW132" s="993">
        <f>0</f>
        <v>0</v>
      </c>
      <c r="AX132" s="993">
        <f>0</f>
        <v>0</v>
      </c>
      <c r="AY132" s="993">
        <f>0</f>
        <v>0</v>
      </c>
      <c r="AZ132" s="993">
        <f>0</f>
        <v>0</v>
      </c>
      <c r="BA132" s="993">
        <f>0</f>
        <v>0</v>
      </c>
      <c r="BB132" s="993">
        <f>0</f>
        <v>0</v>
      </c>
      <c r="BC132" s="993">
        <f>0</f>
        <v>0</v>
      </c>
      <c r="BD132" s="993">
        <f>0</f>
        <v>0</v>
      </c>
      <c r="BE132" s="993">
        <f>0</f>
        <v>0</v>
      </c>
      <c r="BF132" s="993">
        <f>0</f>
        <v>0</v>
      </c>
      <c r="BG132" s="993">
        <f>0</f>
        <v>0</v>
      </c>
      <c r="BH132" s="993">
        <f>0</f>
        <v>0</v>
      </c>
      <c r="BI132" s="993">
        <f>0</f>
        <v>0</v>
      </c>
      <c r="BJ132" s="993">
        <f>0</f>
        <v>0</v>
      </c>
      <c r="BK132" s="993">
        <f>0</f>
        <v>0</v>
      </c>
      <c r="BL132" s="1635">
        <f>0</f>
        <v>0</v>
      </c>
      <c r="BM132" s="993">
        <f>0</f>
        <v>0</v>
      </c>
      <c r="BN132" s="993">
        <f>0</f>
        <v>0</v>
      </c>
      <c r="BO132" s="993">
        <f>0</f>
        <v>0</v>
      </c>
      <c r="BP132" s="1416">
        <f>0</f>
        <v>0</v>
      </c>
      <c r="BQ132" s="2365">
        <f>0</f>
        <v>0</v>
      </c>
      <c r="BR132" s="993">
        <f>0</f>
        <v>0</v>
      </c>
      <c r="BS132" s="993">
        <f>0</f>
        <v>0</v>
      </c>
      <c r="BT132" s="993">
        <f>0</f>
        <v>0</v>
      </c>
      <c r="BU132" s="993">
        <f>0</f>
        <v>0</v>
      </c>
      <c r="BV132" s="993">
        <f>0</f>
        <v>0</v>
      </c>
      <c r="BW132" s="993">
        <f>0</f>
        <v>0</v>
      </c>
      <c r="BX132" s="993">
        <f>0</f>
        <v>0</v>
      </c>
      <c r="BY132" s="993">
        <f>0</f>
        <v>0</v>
      </c>
      <c r="BZ132" s="993">
        <f>0</f>
        <v>0</v>
      </c>
      <c r="CA132" s="993">
        <f>0</f>
        <v>0</v>
      </c>
      <c r="CB132" s="993">
        <f>0</f>
        <v>0</v>
      </c>
      <c r="CC132" s="993">
        <f>0</f>
        <v>0</v>
      </c>
      <c r="CD132" s="1651">
        <f>µ_MEOLO_T*X_MEOLO*M_satSMEOL_KMEOL*M_satSNO3_KNO3_MEOLO*M_inhSNO2_KNO2_MEOLO*M_inhSO2_KiO2_MEOLO*M_satSNHx_KNHx_BIO*M_satSPO4_KPO4_BIO*M_satSCAT_KCAT*M_satSAN_KAN*M_satSCa_KCa*M_satSMg_KMg*B_ellinhpH</f>
        <v>1.0334180197981658E-52</v>
      </c>
      <c r="CF132" s="2385">
        <f>E220*E132+F220*F132+G220*G132+H220*H132+I220*I132+J220*J132+K220*K132+L220*L132+M220*M132+N220*N132+O220*O132+P220*P132+Q220*Q132+R220*R132+S220*S132+T220*T132+U220*U132+V220*V132+W220*W132+X220*X132+Y220*Y132+Z220*Z132+AA220*AA132+AB220*AB132+AC220*AC132+AD220*AD132+AE220*AE132+AF220*AF132+AG220*AG132+AH220*AH132+AI220*AI132+AJ220*AJ132+AK220*AK132+AL220*AL132+AM220*AM132+AN220*AN132+AO220*AO132+AP220*AP132+AQ220*AQ132+AR220*AR132+AS220*AS132+AT220*AT132+AU220*AU132+AV220*AV132+AW220*AW132+AX220*AX132+AY220*AY132+AZ220*AZ132+BA220*BA132+BB220*BB132+BC220*BC132+BD220*BD132+BE220*BE132+BF220*BF132+BG220*BG132+BH220*BH132+BI220*BI132+BJ220*BJ132+BK220*BK132+BL220*BL132+BM220*BM132+BN220*BN132+BO220*BO132+BP220*BP132+BQ220*BQ132+BR220*BR132+BS220*BS132+BT220*BT132+BU220*BU132+BV220*BV132+BW220*BW132+BX220*BX132+BY220*BY132+BZ220*BZ132+CA220*CA132+CB220*CB132+CC220*CC132</f>
        <v>0</v>
      </c>
      <c r="CG132" s="2385">
        <f>E221*E132+F221*F132+G221*G132+H221*H132+I221*I132+J221*J132+K221*K132+L221*L132+M221*M132+N221*N132+O221*O132+P221*P132+Q221*Q132+R221*R132+S221*S132+T221*T132+U221*U132+V221*V132+W221*W132+X221*X132+Y221*Y132+Z221*Z132+AA221*AA132+AB221*AB132+AC221*AC132+AD221*AD132+AE221*AE132+AF221*AF132+AG221*AG132+AH221*AH132+AI221*AI132+AJ221*AJ132+AK221*AK132+AL221*AL132+AM221*AM132+AN221*AN132+AO221*AO132+AP221*AP132+AQ221*AQ132+AR221*AR132+AS221*AS132+AT221*AT132+AU221*AU132+AV221*AV132+AW221*AW132+AX221*AX132+AY221*AY132+AZ221*AZ132+BA221*BA132+BB221*BB132+BC221*BC132+BD221*BD132+BE221*BE132+BF221*BF132+BG221*BG132+BH221*BH132+BI221*BI132+BJ221*BJ132+BK221*BK132+BL221*BL132+BM221*BM132+BN221*BN132+BO221*BO132+BP221*BP132+BQ221*BQ132+BR221*BR132+BS221*BS132+BT221*BT132+BU221*BU132+BV221*BV132+BW221*BW132+BX221*BX132+BY221*BY132+BZ221*BZ132+CA221*CA132+CB221*CB132+CC221*CC132</f>
        <v>0</v>
      </c>
      <c r="CH132" s="2386">
        <f>E222*E132+F222*F132+G222*G132+H222*H132+I222*I132+J222*J132+K222*K132+L222*L132+M222*M132+N222*N132+O222*O132+P222*P132+Q222*Q132+R222*R132+S222*S132+T222*T132+U222*U132+V222*V132+W222*W132+X222*X132+Y222*Y132+Z222*Z132+AA222*AA132+AB222*AB132+AC222*AC132+AD222*AD132+AE222*AE132+AF222*AF132+AG222*AG132+AH222*AH132+AI222*AI132+AJ222*AJ132+AK222*AK132+AL222*AL132+AM222*AM132+AN222*AN132+AO222*AO132+AP222*AP132+AQ222*AQ132+AR222*AR132+AS222*AS132+AT222*AT132+AU222*AU132+AV222*AV132+AW222*AW132+AX222*AX132+AY222*AY132+AZ222*AZ132+BA222*BA132+BB222*BB132+BC222*BC132+BD222*BD132+BE222*BE132+BF222*BF132+BG222*BG132+BH222*BH132+BI222*BI132+BJ222*BJ132+BK222*BK132+BL222*BL132+BM222*BM132+BN222*BN132+BO222*BO132+BP222*BP132+BQ222*BQ132+BR222*BR132+BS222*BS132+BT222*BT132+BU222*BU132+BV222*BV132+BW222*BW132+BX222*BX132+BY222*BY132+BZ222*BZ132+CA222*CA132+CB222*CB132+CC222*CC132</f>
        <v>0</v>
      </c>
      <c r="CI132" s="2387">
        <f>E223*E132+F223*F132+G223*G132+H223*H132+I223*I132+J223*J132+K223*K132+L223*L132+M223*M132+N223*N132+O223*O132+P223*P132+Q223*Q132+R223*R132+S223*S132+T223*T132+U223*U132+V223*V132+W223*W132+X223*X132+Y223*Y132+Z223*Z132+AA223*AA132+AB223*AB132+AC223*AC132+AD223*AD132+AE223*AE132+AF223*AF132+AG223*AG132+AH223*AH132+AI223*AI132+AJ223*AJ132+AK223*AK132+AL223*AL132+AM223*AM132+AN223*AN132+AO223*AO132+AP223*AP132+AQ223*AQ132+AR223*AR132+AS223*AS132+AT223*AT132+AU223*AU132+AV223*AV132+AW223*AW132+AX223*AX132+AY223*AY132+AZ223*AZ132+BA223*BA132+BB223*BB132+BC223*BC132+BD223*BD132+BE223*BE132+BF223*BF132+BG223*BG132+BH223*BH132+BI223*BI132+BJ223*BJ132+BK223*BK132+BL223*BL132+BM223*BM132+BN223*BN132+BO223*BO132+BP223*BP132+BQ223*BQ132+BR223*BR132+BS223*BS132+BT223*BT132+BU223*BU132+BV223*BV132+BW223*BW132+BX223*BX132+BY223*BY132+BZ223*BZ132+CA223*CA132+CB223*CB132+CC223*CC132</f>
        <v>0</v>
      </c>
      <c r="CJ132" s="2387">
        <f>E224*E132+F224*F132+G224*G132+H224*H132+I224*I132+J224*J132+K224*K132+L224*L132+M224*M132+N224*N132+O224*O132+P224*P132+Q224*Q132+R224*R132+S224*S132+T224*T132+U224*U132+V224*V132+W224*W132+X224*X132+Y224*Y132+Z224*Z132+AA224*AA132+AB224*AB132+AC224*AC132+AD224*AD132+AE224*AE132+AF224*AF132+AG224*AG132+AH224*AH132+AI224*AI132+AJ224*AJ132+AK224*AK132+AL224*AL132+AM224*AM132+AN224*AN132+AO224*AO132+AP224*AP132+AQ224*AQ132+AR224*AR132+AS224*AS132+AT224*AT132+AU224*AU132+AV224*AV132+AW224*AW132+AX224*AX132+AY224*AY132+AZ224*AZ132+BA224*BA132+BB224*BB132+BC224*BC132+BD224*BD132+BE224*BE132+BF224*BF132+BG224*BG132+BH224*BH132+BI224*BI132+BJ224*BJ132+BK224*BK132+BL224*BL132+BM224*BM132+BN224*BN132+BO224*BO132+BP224*BP132+BQ224*BQ132+BR224*BR132+BS224*BS132+BT224*BT132+BU224*BU132+BV224*BV132+BW224*BW132+BX224*BX132+BY224*BY132+BZ224*BZ132+CA224*CA132+CB224*CB132+CC224*CC132</f>
        <v>0</v>
      </c>
      <c r="CK132" s="2387">
        <f>E225*E132+F225*F132+G225*G132+H225*H132+I225*I132+J225*J132+K225*K132+L225*L132+M225*M132+N225*N132+O225*O132+P225*P132+Q225*Q132+R225*R132+S225*S132+T225*T132+U225*U132+V225*V132+W225*W132+X225*X132+Y225*Y132+Z225*Z132+AA225*AA132+AB225*AB132+AC225*AC132+AD225*AD132+AE225*AE132+AF225*AF132+AG225*AG132+AH225*AH132+AI225*AI132+AJ225*AJ132+AK225*AK132+AL225*AL132+AM225*AM132+AN225*AN132+AO225*AO132+AP225*AP132+AQ225*AQ132+AR225*AR132+AS225*AS132+AT225*AT132+AU225*AU132+AV225*AV132+AW225*AW132+AX225*AX132+AY225*AY132+AZ225*AZ132+BA225*BA132+BB225*BB132+BC225*BC132+BD225*BD132+BE225*BE132+BF225*BF132+BG225*BG132+BH225*BH132+BI225*BI132+BJ225*BJ132+BK225*BK132+BL225*BL132+BM225*BM132+BN225*BN132+BO225*BO132+BP225*BP132+BQ225*BQ132+BR225*BR132+BS225*BS132+BT225*BT132+BU225*BU132+BV225*BV132+BW225*BW132+BX225*BX132+BY225*BY132+BZ225*BZ132+CA225*CA132+CB225*CB132+CC225*CC132</f>
        <v>0</v>
      </c>
      <c r="CL132" s="2387">
        <f>E226*E132+F226*F132+G226*G132+H226*H132+I226*I132+J226*J132+K226*K132+L226*L132+M226*M132+N226*N132+O226*O132+P226*P132+Q226*Q132+R226*R132+S226*S132+T226*T132+U226*U132+V226*V132+W226*W132+X226*X132+Y226*Y132+Z226*Z132+AA226*AA132+AB226*AB132+AC226*AC132+AD226*AD132+AE226*AE132+AF226*AF132+AG226*AG132+AH226*AH132+AI226*AI132+AJ226*AJ132+AK226*AK132+AL226*AL132+AM226*AM132+AN226*AN132+AO226*AO132+AP226*AP132+AQ226*AQ132+AR226*AR132+AS226*AS132+AT226*AT132+AU226*AU132+AV226*AV132+AW226*AW132+AX226*AX132+AY226*AY132+AZ226*AZ132+BA226*BA132+BB226*BB132+BC226*BC132+BD226*BD132+BE226*BE132+BF226*BF132+BG226*BG132+BH226*BH132+BI226*BI132+BJ226*BJ132+BK226*BK132+BL226*BL132+BM226*BM132+BN226*BN132+BO226*BO132+BP226*BP132+BQ226*BQ132+BR226*BR132+BS226*BS132+BT226*BT132+BU226*BU132+BV226*BV132+BW226*BW132+BX226*BX132+BY226*BY132+BZ226*BZ132+CA226*CA132+CB226*CB132+CC226*CC132</f>
        <v>0</v>
      </c>
      <c r="CM132" s="2387">
        <f>E227*E132+F227*F132+G227*G132+H227*H132+I227*I132+J227*J132+K227*K132+L227*L132+M227*M132+N227*N132+O227*O132+P227*P132+Q227*Q132+R227*R132+S227*S132+T227*T132+U227*U132+V227*V132+W227*W132+X227*X132+Y227*Y132+Z227*Z132+AA227*AA132+AB227*AB132+AC227*AC132+AD227*AD132+AE227*AE132+AF227*AF132+AG227*AG132+AH227*AH132+AI227*AI132+AJ227*AJ132+AK227*AK132+AL227*AL132+AM227*AM132+AN227*AN132+AO227*AO132+AP227*AP132+AQ227*AQ132+AR227*AR132+AS227*AS132+AT227*AT132+AU227*AU132+AV227*AV132+AW227*AW132+AX227*AX132+AY227*AY132+AZ227*AZ132+BA227*BA132+BB227*BB132+BC227*BC132+BD227*BD132+BE227*BE132+BF227*BF132+BG227*BG132+BH227*BH132+BI227*BI132+BJ227*BJ132+BK227*BK132+BL227*BL132+BM227*BM132+BN227*BN132+BO227*BO132+BP227*BP132+BQ227*BQ132+BR227*BR132+BS227*BS132+BT227*BT132+BU227*BU132+BV227*BV132+BW227*BW132+BX227*BX132+BY227*BY132+BZ227*BZ132+CA227*CA132+CB227*CB132+CC227*CC132</f>
        <v>0</v>
      </c>
      <c r="CN132" s="2387">
        <f>E228*E132+F228*F132+G228*G132+H228*H132+I228*I132+J228*J132+K228*K132+L228*L132+M228*M132+N228*N132+O228*O132+P228*P132+Q228*Q132+R228*R132+S228*S132+T228*T132+U228*U132+V228*V132+W228*W132+X228*X132+Y228*Y132+Z228*Z132+AA228*AA132+AB228*AB132+AC228*AC132+AD228*AD132+AE228*AE132+AF228*AF132+AG228*AG132+AH228*AH132+AI228*AI132+AJ228*AJ132+AK228*AK132+AL228*AL132+AM228*AM132+AN228*AN132+AO228*AO132+AP228*AP132+AQ228*AQ132+AR228*AR132+AS228*AS132+AT228*AT132+AU228*AU132+AV228*AV132+AW228*AW132+AX228*AX132+AY228*AY132+AZ228*AZ132+BA228*BA132+BB228*BB132+BC228*BC132+BD228*BD132+BE228*BE132+BF228*BF132+BG228*BG132+BH228*BH132+BI228*BI132+BJ228*BJ132+BK228*BK132+BL228*BL132+BM228*BM132+BN228*BN132+BO228*BO132+BP228*BP132+BQ228*BQ132+BR228*BR132+BS228*BS132+BT228*BT132+BU228*BU132+BV228*BV132+BW228*BW132+BX228*BX132+BY228*BY132+BZ228*BZ132+CA228*CA132+CB228*CB132+CC228*CC132</f>
        <v>0</v>
      </c>
      <c r="CO132" s="2387">
        <f>E229*E132+F229*F132+G229*G132+H229*H132+I229*I132+J229*J132+K229*K132+L229*L132+M229*M132+N229*N132+O229*O132+P229*P132+Q229*Q132+R229*R132+S229*S132+T229*T132+U229*U132+V229*V132+W229*W132+X229*X132+Y229*Y132+Z229*Z132+AA229*AA132+AB229*AB132+AC229*AC132+AD229*AD132+AE229*AE132+AF229*AF132+AG229*AG132+AH229*AH132+AI229*AI132+AJ229*AJ132+AK229*AK132+AL229*AL132+AM229*AM132+AN229*AN132+AO229*AO132+AP229*AP132+AQ229*AQ132+AR229*AR132+AS229*AS132+AT229*AT132+AU229*AU132+AV229*AV132+AW229*AW132+AX229*AX132+AY229*AY132+AZ229*AZ132+BA229*BA132+BB229*BB132+BC229*BC132+BD229*BD132+BE229*BE132+BF229*BF132+BG229*BG132+BH229*BH132+BI229*BI132+BJ229*BJ132+BK229*BK132+BL229*BL132+BM229*BM132+BN229*BN132+BO229*BO132+BP229*BP132+BQ229*BQ132+BR229*BR132+BS229*BS132+BT229*BT132+BU229*BU132+BV229*BV132+BW229*BW132+BX229*BX132+BY229*BY132+BZ229*BZ132+CA229*CA132+CB229*CB132+CC229*CC132</f>
        <v>0</v>
      </c>
      <c r="CP132" s="2387">
        <f>E230*E132+F230*F132+G230*G132+H230*H132+I230*I132+J230*J132+K230*K132+L230*L132+M230*M132+N230*N132+O230*O132+P230*P132+Q230*Q132+R230*R132+S230*S132+T230*T132+U230*U132+V230*V132+W230*W132+X230*X132+Y230*Y132+Z230*Z132+AA230*AA132+AB230*AB132+AC230*AC132+AD230*AD132+AE230*AE132+AF230*AF132+AG230*AG132+AH230*AH132+AI230*AI132+AJ230*AJ132+AK230*AK132+AL230*AL132+AM230*AM132+AN230*AN132+AO230*AO132+AP230*AP132+AQ230*AQ132+AR230*AR132+AS230*AS132+AT230*AT132+AU230*AU132+AV230*AV132+AW230*AW132+AX230*AX132+AY230*AY132+AZ230*AZ132+BA230*BA132+BB230*BB132+BC230*BC132+BD230*BD132+BE230*BE132+BF230*BF132+BG230*BG132+BH230*BH132+BI230*BI132+BJ230*BJ132+BK230*BK132+BL230*BL132+BM230*BM132+BN230*BN132+BO230*BO132+BP230*BP132+BQ230*BQ132+BR230*BR132+BS230*BS132+BT230*BT132+BU230*BU132+BV230*BV132+BW230*BW132+BX230*BX132+BY230*BY132+BZ230*BZ132+CA230*CA132+CB230*CB132+CC230*CC132</f>
        <v>0</v>
      </c>
    </row>
    <row r="133" spans="2:94" x14ac:dyDescent="0.25">
      <c r="B133" s="1584">
        <v>14</v>
      </c>
      <c r="C133" s="1524" t="s">
        <v>236</v>
      </c>
      <c r="D133" s="626" t="s">
        <v>289</v>
      </c>
      <c r="E133" s="973">
        <f>0</f>
        <v>0</v>
      </c>
      <c r="F133" s="973">
        <f>0</f>
        <v>0</v>
      </c>
      <c r="G133" s="973">
        <f>0</f>
        <v>0</v>
      </c>
      <c r="H133" s="973">
        <f>0</f>
        <v>0</v>
      </c>
      <c r="I133" s="973">
        <f>1-f_E</f>
        <v>0.92</v>
      </c>
      <c r="J133" s="973">
        <f>0</f>
        <v>0</v>
      </c>
      <c r="K133" s="973">
        <f>0</f>
        <v>0</v>
      </c>
      <c r="L133" s="973">
        <f>0</f>
        <v>0</v>
      </c>
      <c r="M133" s="973">
        <f>0</f>
        <v>0</v>
      </c>
      <c r="N133" s="973">
        <f>0</f>
        <v>0</v>
      </c>
      <c r="O133" s="973">
        <f>f_E</f>
        <v>0.08</v>
      </c>
      <c r="P133" s="973">
        <f>0</f>
        <v>0</v>
      </c>
      <c r="Q133" s="973">
        <f>0</f>
        <v>0</v>
      </c>
      <c r="R133" s="973">
        <f>0</f>
        <v>0</v>
      </c>
      <c r="S133" s="973">
        <f>-1</f>
        <v>-1</v>
      </c>
      <c r="T133" s="973">
        <f>0</f>
        <v>0</v>
      </c>
      <c r="U133" s="973">
        <f>0</f>
        <v>0</v>
      </c>
      <c r="V133" s="973">
        <f>0</f>
        <v>0</v>
      </c>
      <c r="W133" s="973">
        <f>0</f>
        <v>0</v>
      </c>
      <c r="X133" s="973">
        <f>0</f>
        <v>0</v>
      </c>
      <c r="Y133" s="973">
        <f>-f_E*(i_N_XE-i_N_BIO)</f>
        <v>8.0000000000000069E-4</v>
      </c>
      <c r="Z133" s="973">
        <f>0</f>
        <v>0</v>
      </c>
      <c r="AA133" s="973">
        <f>0</f>
        <v>0</v>
      </c>
      <c r="AB133" s="973">
        <f>0</f>
        <v>0</v>
      </c>
      <c r="AC133" s="973">
        <f>0</f>
        <v>0</v>
      </c>
      <c r="AD133" s="973">
        <f>(1-f_E)*i_N_BIO</f>
        <v>6.4400000000000013E-2</v>
      </c>
      <c r="AE133" s="973">
        <f>0</f>
        <v>0</v>
      </c>
      <c r="AF133" s="973">
        <f>0</f>
        <v>0</v>
      </c>
      <c r="AG133" s="973">
        <f>0</f>
        <v>0</v>
      </c>
      <c r="AH133" s="973">
        <f>0</f>
        <v>0</v>
      </c>
      <c r="AI133" s="973">
        <f>(1-f_E)*i_P_BIO</f>
        <v>1.84E-2</v>
      </c>
      <c r="AJ133" s="973">
        <f>0</f>
        <v>0</v>
      </c>
      <c r="AK133" s="973">
        <f>0</f>
        <v>0</v>
      </c>
      <c r="AL133" s="973">
        <f>0</f>
        <v>0</v>
      </c>
      <c r="AM133" s="973">
        <f>0</f>
        <v>0</v>
      </c>
      <c r="AN133" s="973">
        <f>(1-f_E)*(i_CIT_BIO-i_CIT_SB)</f>
        <v>6.0720000000000003E-2</v>
      </c>
      <c r="AO133" s="1002">
        <f>-i_INORG</f>
        <v>-0.11</v>
      </c>
      <c r="AP133" s="1001">
        <f>i_INORG*(1-i_Ca_INORG*(A_MCa+2*A_MCl)/A_MCa-i_Mg_INORG*(A_MMg+2*A_MCl)/A_MMg)*f_Na</f>
        <v>2.8804303582798466E-2</v>
      </c>
      <c r="AQ133" s="1001">
        <f>i_INORG*(i_Ca_INORG*(2*A_MCl)/A_MCa+i_Mg_INORG*(2*A_MCl)/A_MMg)+i_INORG*(1-i_Ca_INORG*(A_MCa+2*A_MCl)/A_MCa-i_Mg_INORG*(A_MMg+2*A_MCl)/A_MMg)*(1-f_Na)</f>
        <v>7.0195696417201539E-2</v>
      </c>
      <c r="AR133" s="1001">
        <f>i_INORG*i_Ca_INORG</f>
        <v>5.5000000000000005E-3</v>
      </c>
      <c r="AS133" s="1001">
        <f>i_INORG*i_Mg_INORG</f>
        <v>5.5000000000000005E-3</v>
      </c>
      <c r="AT133" s="993">
        <f>0</f>
        <v>0</v>
      </c>
      <c r="AU133" s="993">
        <f>0</f>
        <v>0</v>
      </c>
      <c r="AV133" s="993">
        <f>0</f>
        <v>0</v>
      </c>
      <c r="AW133" s="993">
        <f>0</f>
        <v>0</v>
      </c>
      <c r="AX133" s="993">
        <f>0</f>
        <v>0</v>
      </c>
      <c r="AY133" s="993">
        <f>0</f>
        <v>0</v>
      </c>
      <c r="AZ133" s="993">
        <f>0</f>
        <v>0</v>
      </c>
      <c r="BA133" s="993">
        <f>0</f>
        <v>0</v>
      </c>
      <c r="BB133" s="993">
        <f>0</f>
        <v>0</v>
      </c>
      <c r="BC133" s="993">
        <f>0</f>
        <v>0</v>
      </c>
      <c r="BD133" s="993">
        <f>0</f>
        <v>0</v>
      </c>
      <c r="BE133" s="993">
        <f>0</f>
        <v>0</v>
      </c>
      <c r="BF133" s="993">
        <f>0</f>
        <v>0</v>
      </c>
      <c r="BG133" s="993">
        <f>0</f>
        <v>0</v>
      </c>
      <c r="BH133" s="993">
        <f>0</f>
        <v>0</v>
      </c>
      <c r="BI133" s="993">
        <f>0</f>
        <v>0</v>
      </c>
      <c r="BJ133" s="993">
        <f>0</f>
        <v>0</v>
      </c>
      <c r="BK133" s="993">
        <f>0</f>
        <v>0</v>
      </c>
      <c r="BL133" s="1635">
        <f>0</f>
        <v>0</v>
      </c>
      <c r="BM133" s="993">
        <f>0</f>
        <v>0</v>
      </c>
      <c r="BN133" s="993">
        <f>0</f>
        <v>0</v>
      </c>
      <c r="BO133" s="993">
        <f>0</f>
        <v>0</v>
      </c>
      <c r="BP133" s="1416">
        <f>0</f>
        <v>0</v>
      </c>
      <c r="BQ133" s="2365">
        <f>0</f>
        <v>0</v>
      </c>
      <c r="BR133" s="993">
        <f>0</f>
        <v>0</v>
      </c>
      <c r="BS133" s="993">
        <f>0</f>
        <v>0</v>
      </c>
      <c r="BT133" s="993">
        <f>0</f>
        <v>0</v>
      </c>
      <c r="BU133" s="993">
        <f>0</f>
        <v>0</v>
      </c>
      <c r="BV133" s="993">
        <f>0</f>
        <v>0</v>
      </c>
      <c r="BW133" s="993">
        <f>0</f>
        <v>0</v>
      </c>
      <c r="BX133" s="993">
        <f>0</f>
        <v>0</v>
      </c>
      <c r="BY133" s="993">
        <f>0</f>
        <v>0</v>
      </c>
      <c r="BZ133" s="993">
        <f>0</f>
        <v>0</v>
      </c>
      <c r="CA133" s="993">
        <f>0</f>
        <v>0</v>
      </c>
      <c r="CB133" s="993">
        <f>0</f>
        <v>0</v>
      </c>
      <c r="CC133" s="993">
        <f>0</f>
        <v>0</v>
      </c>
      <c r="CD133" s="1651">
        <f>b_MEOLO_T*X_MEOLO*(M_satSO2_KiO2_MEOLO+η_b_anox*M_satSNO2_KNO2_MEOLO*M_inhSO2_KiO2_MEOLO+m_tox_anox*M_satSNO3_KNO3_MEOLO*M_inhSNO2_KNO2_MEOLO*M_inhSO2_KiO2_MEOLO)</f>
        <v>5.0294816066972559E-2</v>
      </c>
      <c r="CF133" s="2385">
        <f>E220*E133+F220*F133+G220*G133+H220*H133+I220*I133+J220*J133+K220*K133+L220*L133+M220*M133+N220*N133+O220*O133+P220*P133+Q220*Q133+R220*R133+S220*S133+T220*T133+U220*U133+V220*V133+W220*W133+X220*X133+Y220*Y133+Z220*Z133+AA220*AA133+AB220*AB133+AC220*AC133+AD220*AD133+AE220*AE133+AF220*AF133+AG220*AG133+AH220*AH133+AI220*AI133+AJ220*AJ133+AK220*AK133+AL220*AL133+AM220*AM133+AN220*AN133+AO220*AO133+AP220*AP133+AQ220*AQ133+AR220*AR133+AS220*AS133+AT220*AT133+AU220*AU133+AV220*AV133+AW220*AW133+AX220*AX133+AY220*AY133+AZ220*AZ133+BA220*BA133+BB220*BB133+BC220*BC133+BD220*BD133+BE220*BE133+BF220*BF133+BG220*BG133+BH220*BH133+BI220*BI133+BJ220*BJ133+BK220*BK133+BL220*BL133+BM220*BM133+BN220*BN133+BO220*BO133+BP220*BP133+BQ220*BQ133+BR220*BR133+BS220*BS133+BT220*BT133+BU220*BU133+BV220*BV133+BW220*BW133+BX220*BX133+BY220*BY133+BZ220*BZ133+CA220*CA133+CB220*CB133+CC220*CC133</f>
        <v>0</v>
      </c>
      <c r="CG133" s="2385">
        <f>E221*E133+F221*F133+G221*G133+H221*H133+I221*I133+J221*J133+K221*K133+L221*L133+M221*M133+N221*N133+O221*O133+P221*P133+Q221*Q133+R221*R133+S221*S133+T221*T133+U221*U133+V221*V133+W221*W133+X221*X133+Y221*Y133+Z221*Z133+AA221*AA133+AB221*AB133+AC221*AC133+AD221*AD133+AE221*AE133+AF221*AF133+AG221*AG133+AH221*AH133+AI221*AI133+AJ221*AJ133+AK221*AK133+AL221*AL133+AM221*AM133+AN221*AN133+AO221*AO133+AP221*AP133+AQ221*AQ133+AR221*AR133+AS221*AS133+AT221*AT133+AU221*AU133+AV221*AV133+AW221*AW133+AX221*AX133+AY221*AY133+AZ221*AZ133+BA221*BA133+BB221*BB133+BC221*BC133+BD221*BD133+BE221*BE133+BF221*BF133+BG221*BG133+BH221*BH133+BI221*BI133+BJ221*BJ133+BK221*BK133+BL221*BL133+BM221*BM133+BN221*BN133+BO221*BO133+BP221*BP133+BQ221*BQ133+BR221*BR133+BS221*BS133+BT221*BT133+BU221*BU133+BV221*BV133+BW221*BW133+BX221*BX133+BY221*BY133+BZ221*BZ133+CA221*CA133+CB221*CB133+CC221*CC133</f>
        <v>6.9388939039072284E-18</v>
      </c>
      <c r="CH133" s="2386">
        <f>E222*E133+F222*F133+G222*G133+H222*H133+I222*I133+J222*J133+K222*K133+L222*L133+M222*M133+N222*N133+O222*O133+P222*P133+Q222*Q133+R222*R133+S222*S133+T222*T133+U222*U133+V222*V133+W222*W133+X222*X133+Y222*Y133+Z222*Z133+AA222*AA133+AB222*AB133+AC222*AC133+AD222*AD133+AE222*AE133+AF222*AF133+AG222*AG133+AH222*AH133+AI222*AI133+AJ222*AJ133+AK222*AK133+AL222*AL133+AM222*AM133+AN222*AN133+AO222*AO133+AP222*AP133+AQ222*AQ133+AR222*AR133+AS222*AS133+AT222*AT133+AU222*AU133+AV222*AV133+AW222*AW133+AX222*AX133+AY222*AY133+AZ222*AZ133+BA222*BA133+BB222*BB133+BC222*BC133+BD222*BD133+BE222*BE133+BF222*BF133+BG222*BG133+BH222*BH133+BI222*BI133+BJ222*BJ133+BK222*BK133+BL222*BL133+BM222*BM133+BN222*BN133+BO222*BO133+BP222*BP133+BQ222*BQ133+BR222*BR133+BS222*BS133+BT222*BT133+BU222*BU133+BV222*BV133+BW222*BW133+BX222*BX133+BY222*BY133+BZ222*BZ133+CA222*CA133+CB222*CB133+CC222*CC133</f>
        <v>0</v>
      </c>
      <c r="CI133" s="2387">
        <f>E223*E133+F223*F133+G223*G133+H223*H133+I223*I133+J223*J133+K223*K133+L223*L133+M223*M133+N223*N133+O223*O133+P223*P133+Q223*Q133+R223*R133+S223*S133+T223*T133+U223*U133+V223*V133+W223*W133+X223*X133+Y223*Y133+Z223*Z133+AA223*AA133+AB223*AB133+AC223*AC133+AD223*AD133+AE223*AE133+AF223*AF133+AG223*AG133+AH223*AH133+AI223*AI133+AJ223*AJ133+AK223*AK133+AL223*AL133+AM223*AM133+AN223*AN133+AO223*AO133+AP223*AP133+AQ223*AQ133+AR223*AR133+AS223*AS133+AT223*AT133+AU223*AU133+AV223*AV133+AW223*AW133+AX223*AX133+AY223*AY133+AZ223*AZ133+BA223*BA133+BB223*BB133+BC223*BC133+BD223*BD133+BE223*BE133+BF223*BF133+BG223*BG133+BH223*BH133+BI223*BI133+BJ223*BJ133+BK223*BK133+BL223*BL133+BM223*BM133+BN223*BN133+BO223*BO133+BP223*BP133+BQ223*BQ133+BR223*BR133+BS223*BS133+BT223*BT133+BU223*BU133+BV223*BV133+BW223*BW133+BX223*BX133+BY223*BY133+BZ223*BZ133+CA223*CA133+CB223*CB133+CC223*CC133</f>
        <v>0</v>
      </c>
      <c r="CJ133" s="2387">
        <f>E224*E133+F224*F133+G224*G133+H224*H133+I224*I133+J224*J133+K224*K133+L224*L133+M224*M133+N224*N133+O224*O133+P224*P133+Q224*Q133+R224*R133+S224*S133+T224*T133+U224*U133+V224*V133+W224*W133+X224*X133+Y224*Y133+Z224*Z133+AA224*AA133+AB224*AB133+AC224*AC133+AD224*AD133+AE224*AE133+AF224*AF133+AG224*AG133+AH224*AH133+AI224*AI133+AJ224*AJ133+AK224*AK133+AL224*AL133+AM224*AM133+AN224*AN133+AO224*AO133+AP224*AP133+AQ224*AQ133+AR224*AR133+AS224*AS133+AT224*AT133+AU224*AU133+AV224*AV133+AW224*AW133+AX224*AX133+AY224*AY133+AZ224*AZ133+BA224*BA133+BB224*BB133+BC224*BC133+BD224*BD133+BE224*BE133+BF224*BF133+BG224*BG133+BH224*BH133+BI224*BI133+BJ224*BJ133+BK224*BK133+BL224*BL133+BM224*BM133+BN224*BN133+BO224*BO133+BP224*BP133+BQ224*BQ133+BR224*BR133+BS224*BS133+BT224*BT133+BU224*BU133+BV224*BV133+BW224*BW133+BX224*BX133+BY224*BY133+BZ224*BZ133+CA224*CA133+CB224*CB133+CC224*CC133</f>
        <v>0</v>
      </c>
      <c r="CK133" s="2387">
        <f>E225*E133+F225*F133+G225*G133+H225*H133+I225*I133+J225*J133+K225*K133+L225*L133+M225*M133+N225*N133+O225*O133+P225*P133+Q225*Q133+R225*R133+S225*S133+T225*T133+U225*U133+V225*V133+W225*W133+X225*X133+Y225*Y133+Z225*Z133+AA225*AA133+AB225*AB133+AC225*AC133+AD225*AD133+AE225*AE133+AF225*AF133+AG225*AG133+AH225*AH133+AI225*AI133+AJ225*AJ133+AK225*AK133+AL225*AL133+AM225*AM133+AN225*AN133+AO225*AO133+AP225*AP133+AQ225*AQ133+AR225*AR133+AS225*AS133+AT225*AT133+AU225*AU133+AV225*AV133+AW225*AW133+AX225*AX133+AY225*AY133+AZ225*AZ133+BA225*BA133+BB225*BB133+BC225*BC133+BD225*BD133+BE225*BE133+BF225*BF133+BG225*BG133+BH225*BH133+BI225*BI133+BJ225*BJ133+BK225*BK133+BL225*BL133+BM225*BM133+BN225*BN133+BO225*BO133+BP225*BP133+BQ225*BQ133+BR225*BR133+BS225*BS133+BT225*BT133+BU225*BU133+BV225*BV133+BW225*BW133+BX225*BX133+BY225*BY133+BZ225*BZ133+CA225*CA133+CB225*CB133+CC225*CC133</f>
        <v>0</v>
      </c>
      <c r="CL133" s="2387">
        <f>E226*E133+F226*F133+G226*G133+H226*H133+I226*I133+J226*J133+K226*K133+L226*L133+M226*M133+N226*N133+O226*O133+P226*P133+Q226*Q133+R226*R133+S226*S133+T226*T133+U226*U133+V226*V133+W226*W133+X226*X133+Y226*Y133+Z226*Z133+AA226*AA133+AB226*AB133+AC226*AC133+AD226*AD133+AE226*AE133+AF226*AF133+AG226*AG133+AH226*AH133+AI226*AI133+AJ226*AJ133+AK226*AK133+AL226*AL133+AM226*AM133+AN226*AN133+AO226*AO133+AP226*AP133+AQ226*AQ133+AR226*AR133+AS226*AS133+AT226*AT133+AU226*AU133+AV226*AV133+AW226*AW133+AX226*AX133+AY226*AY133+AZ226*AZ133+BA226*BA133+BB226*BB133+BC226*BC133+BD226*BD133+BE226*BE133+BF226*BF133+BG226*BG133+BH226*BH133+BI226*BI133+BJ226*BJ133+BK226*BK133+BL226*BL133+BM226*BM133+BN226*BN133+BO226*BO133+BP226*BP133+BQ226*BQ133+BR226*BR133+BS226*BS133+BT226*BT133+BU226*BU133+BV226*BV133+BW226*BW133+BX226*BX133+BY226*BY133+BZ226*BZ133+CA226*CA133+CB226*CB133+CC226*CC133</f>
        <v>0</v>
      </c>
      <c r="CM133" s="2387">
        <f>E227*E133+F227*F133+G227*G133+H227*H133+I227*I133+J227*J133+K227*K133+L227*L133+M227*M133+N227*N133+O227*O133+P227*P133+Q227*Q133+R227*R133+S227*S133+T227*T133+U227*U133+V227*V133+W227*W133+X227*X133+Y227*Y133+Z227*Z133+AA227*AA133+AB227*AB133+AC227*AC133+AD227*AD133+AE227*AE133+AF227*AF133+AG227*AG133+AH227*AH133+AI227*AI133+AJ227*AJ133+AK227*AK133+AL227*AL133+AM227*AM133+AN227*AN133+AO227*AO133+AP227*AP133+AQ227*AQ133+AR227*AR133+AS227*AS133+AT227*AT133+AU227*AU133+AV227*AV133+AW227*AW133+AX227*AX133+AY227*AY133+AZ227*AZ133+BA227*BA133+BB227*BB133+BC227*BC133+BD227*BD133+BE227*BE133+BF227*BF133+BG227*BG133+BH227*BH133+BI227*BI133+BJ227*BJ133+BK227*BK133+BL227*BL133+BM227*BM133+BN227*BN133+BO227*BO133+BP227*BP133+BQ227*BQ133+BR227*BR133+BS227*BS133+BT227*BT133+BU227*BU133+BV227*BV133+BW227*BW133+BX227*BX133+BY227*BY133+BZ227*BZ133+CA227*CA133+CB227*CB133+CC227*CC133</f>
        <v>0</v>
      </c>
      <c r="CN133" s="2387">
        <f>E228*E133+F228*F133+G228*G133+H228*H133+I228*I133+J228*J133+K228*K133+L228*L133+M228*M133+N228*N133+O228*O133+P228*P133+Q228*Q133+R228*R133+S228*S133+T228*T133+U228*U133+V228*V133+W228*W133+X228*X133+Y228*Y133+Z228*Z133+AA228*AA133+AB228*AB133+AC228*AC133+AD228*AD133+AE228*AE133+AF228*AF133+AG228*AG133+AH228*AH133+AI228*AI133+AJ228*AJ133+AK228*AK133+AL228*AL133+AM228*AM133+AN228*AN133+AO228*AO133+AP228*AP133+AQ228*AQ133+AR228*AR133+AS228*AS133+AT228*AT133+AU228*AU133+AV228*AV133+AW228*AW133+AX228*AX133+AY228*AY133+AZ228*AZ133+BA228*BA133+BB228*BB133+BC228*BC133+BD228*BD133+BE228*BE133+BF228*BF133+BG228*BG133+BH228*BH133+BI228*BI133+BJ228*BJ133+BK228*BK133+BL228*BL133+BM228*BM133+BN228*BN133+BO228*BO133+BP228*BP133+BQ228*BQ133+BR228*BR133+BS228*BS133+BT228*BT133+BU228*BU133+BV228*BV133+BW228*BW133+BX228*BX133+BY228*BY133+BZ228*BZ133+CA228*CA133+CB228*CB133+CC228*CC133</f>
        <v>0</v>
      </c>
      <c r="CO133" s="2387">
        <f>E229*E133+F229*F133+G229*G133+H229*H133+I229*I133+J229*J133+K229*K133+L229*L133+M229*M133+N229*N133+O229*O133+P229*P133+Q229*Q133+R229*R133+S229*S133+T229*T133+U229*U133+V229*V133+W229*W133+X229*X133+Y229*Y133+Z229*Z133+AA229*AA133+AB229*AB133+AC229*AC133+AD229*AD133+AE229*AE133+AF229*AF133+AG229*AG133+AH229*AH133+AI229*AI133+AJ229*AJ133+AK229*AK133+AL229*AL133+AM229*AM133+AN229*AN133+AO229*AO133+AP229*AP133+AQ229*AQ133+AR229*AR133+AS229*AS133+AT229*AT133+AU229*AU133+AV229*AV133+AW229*AW133+AX229*AX133+AY229*AY133+AZ229*AZ133+BA229*BA133+BB229*BB133+BC229*BC133+BD229*BD133+BE229*BE133+BF229*BF133+BG229*BG133+BH229*BH133+BI229*BI133+BJ229*BJ133+BK229*BK133+BL229*BL133+BM229*BM133+BN229*BN133+BO229*BO133+BP229*BP133+BQ229*BQ133+BR229*BR133+BS229*BS133+BT229*BT133+BU229*BU133+BV229*BV133+BW229*BW133+BX229*BX133+BY229*BY133+BZ229*BZ133+CA229*CA133+CB229*CB133+CC229*CC133</f>
        <v>0</v>
      </c>
      <c r="CP133" s="2387">
        <f>E230*E133+F230*F133+G230*G133+H230*H133+I230*I133+J230*J133+K230*K133+L230*L133+M230*M133+N230*N133+O230*O133+P230*P133+Q230*Q133+R230*R133+S230*S133+T230*T133+U230*U133+V230*V133+W230*W133+X230*X133+Y230*Y133+Z230*Z133+AA230*AA133+AB230*AB133+AC230*AC133+AD230*AD133+AE230*AE133+AF230*AF133+AG230*AG133+AH230*AH133+AI230*AI133+AJ230*AJ133+AK230*AK133+AL230*AL133+AM230*AM133+AN230*AN133+AO230*AO133+AP230*AP133+AQ230*AQ133+AR230*AR133+AS230*AS133+AT230*AT133+AU230*AU133+AV230*AV133+AW230*AW133+AX230*AX133+AY230*AY133+AZ230*AZ133+BA230*BA133+BB230*BB133+BC230*BC133+BD230*BD133+BE230*BE133+BF230*BF133+BG230*BG133+BH230*BH133+BI230*BI133+BJ230*BJ133+BK230*BK133+BL230*BL133+BM230*BM133+BN230*BN133+BO230*BO133+BP230*BP133+BQ230*BQ133+BR230*BR133+BS230*BS133+BT230*BT133+BU230*BU133+BV230*BV133+BW230*BW133+BX230*BX133+BY230*BY133+BZ230*BZ133+CA230*CA133+CB230*CB133+CC230*CC133</f>
        <v>0</v>
      </c>
    </row>
    <row r="134" spans="2:94" x14ac:dyDescent="0.25">
      <c r="B134" s="1584">
        <v>15</v>
      </c>
      <c r="C134" s="1524" t="s">
        <v>237</v>
      </c>
      <c r="D134" s="626" t="s">
        <v>3080</v>
      </c>
      <c r="E134" s="973">
        <f>0</f>
        <v>0</v>
      </c>
      <c r="F134" s="973">
        <f>0</f>
        <v>0</v>
      </c>
      <c r="G134" s="973">
        <f>0</f>
        <v>0</v>
      </c>
      <c r="H134" s="973">
        <f>0</f>
        <v>0</v>
      </c>
      <c r="I134" s="973">
        <f>1-f_E</f>
        <v>0.92</v>
      </c>
      <c r="J134" s="973">
        <f>0</f>
        <v>0</v>
      </c>
      <c r="K134" s="973">
        <f>0</f>
        <v>0</v>
      </c>
      <c r="L134" s="973">
        <f>0</f>
        <v>0</v>
      </c>
      <c r="M134" s="973">
        <f>0</f>
        <v>0</v>
      </c>
      <c r="N134" s="973">
        <f>0</f>
        <v>0</v>
      </c>
      <c r="O134" s="973">
        <f>0</f>
        <v>0</v>
      </c>
      <c r="P134" s="973">
        <f>f_E</f>
        <v>0.08</v>
      </c>
      <c r="Q134" s="973">
        <f>0</f>
        <v>0</v>
      </c>
      <c r="R134" s="973">
        <f>0</f>
        <v>0</v>
      </c>
      <c r="S134" s="973">
        <f>-1</f>
        <v>-1</v>
      </c>
      <c r="T134" s="973">
        <f>0</f>
        <v>0</v>
      </c>
      <c r="U134" s="973">
        <f>0</f>
        <v>0</v>
      </c>
      <c r="V134" s="973">
        <f>0</f>
        <v>0</v>
      </c>
      <c r="W134" s="973">
        <f>0</f>
        <v>0</v>
      </c>
      <c r="X134" s="973">
        <f>0</f>
        <v>0</v>
      </c>
      <c r="Y134" s="973">
        <f>-f_E*(i_N_XE-i_N_BIO)</f>
        <v>8.0000000000000069E-4</v>
      </c>
      <c r="Z134" s="973">
        <f>0</f>
        <v>0</v>
      </c>
      <c r="AA134" s="973">
        <f>0</f>
        <v>0</v>
      </c>
      <c r="AB134" s="973">
        <f>0</f>
        <v>0</v>
      </c>
      <c r="AC134" s="973">
        <f>0</f>
        <v>0</v>
      </c>
      <c r="AD134" s="973">
        <f>(1-f_E)*i_N_BIO</f>
        <v>6.4400000000000013E-2</v>
      </c>
      <c r="AE134" s="973">
        <f>0</f>
        <v>0</v>
      </c>
      <c r="AF134" s="973">
        <f>0</f>
        <v>0</v>
      </c>
      <c r="AG134" s="973">
        <f>0</f>
        <v>0</v>
      </c>
      <c r="AH134" s="973">
        <f>0</f>
        <v>0</v>
      </c>
      <c r="AI134" s="973">
        <f>(1-f_E)*i_P_BIO</f>
        <v>1.84E-2</v>
      </c>
      <c r="AJ134" s="973">
        <f>0</f>
        <v>0</v>
      </c>
      <c r="AK134" s="973">
        <f>0</f>
        <v>0</v>
      </c>
      <c r="AL134" s="973">
        <f>0</f>
        <v>0</v>
      </c>
      <c r="AM134" s="973">
        <f>0</f>
        <v>0</v>
      </c>
      <c r="AN134" s="973">
        <f>(1-f_E)*(i_CIT_BIO-i_CIT_SB)</f>
        <v>6.0720000000000003E-2</v>
      </c>
      <c r="AO134" s="1002">
        <f>-i_INORG</f>
        <v>-0.11</v>
      </c>
      <c r="AP134" s="1001">
        <f>i_INORG*(1-i_Ca_INORG*(A_MCa+2*A_MCl)/A_MCa-i_Mg_INORG*(A_MMg+2*A_MCl)/A_MMg)*f_Na</f>
        <v>2.8804303582798466E-2</v>
      </c>
      <c r="AQ134" s="1001">
        <f>i_INORG*(i_Ca_INORG*(2*A_MCl)/A_MCa+i_Mg_INORG*(2*A_MCl)/A_MMg)+i_INORG*(1-i_Ca_INORG*(A_MCa+2*A_MCl)/A_MCa-i_Mg_INORG*(A_MMg+2*A_MCl)/A_MMg)*(1-f_Na)</f>
        <v>7.0195696417201539E-2</v>
      </c>
      <c r="AR134" s="1001">
        <f>i_INORG*i_Ca_INORG</f>
        <v>5.5000000000000005E-3</v>
      </c>
      <c r="AS134" s="1001">
        <f>i_INORG*i_Mg_INORG</f>
        <v>5.5000000000000005E-3</v>
      </c>
      <c r="AT134" s="993">
        <f>0</f>
        <v>0</v>
      </c>
      <c r="AU134" s="993">
        <f>0</f>
        <v>0</v>
      </c>
      <c r="AV134" s="993">
        <f>0</f>
        <v>0</v>
      </c>
      <c r="AW134" s="993">
        <f>0</f>
        <v>0</v>
      </c>
      <c r="AX134" s="993">
        <f>0</f>
        <v>0</v>
      </c>
      <c r="AY134" s="993">
        <f>0</f>
        <v>0</v>
      </c>
      <c r="AZ134" s="993">
        <f>0</f>
        <v>0</v>
      </c>
      <c r="BA134" s="993">
        <f>0</f>
        <v>0</v>
      </c>
      <c r="BB134" s="993">
        <f>0</f>
        <v>0</v>
      </c>
      <c r="BC134" s="993">
        <f>0</f>
        <v>0</v>
      </c>
      <c r="BD134" s="993">
        <f>0</f>
        <v>0</v>
      </c>
      <c r="BE134" s="993">
        <f>0</f>
        <v>0</v>
      </c>
      <c r="BF134" s="993">
        <f>0</f>
        <v>0</v>
      </c>
      <c r="BG134" s="993">
        <f>0</f>
        <v>0</v>
      </c>
      <c r="BH134" s="993">
        <f>0</f>
        <v>0</v>
      </c>
      <c r="BI134" s="993">
        <f>0</f>
        <v>0</v>
      </c>
      <c r="BJ134" s="993">
        <f>0</f>
        <v>0</v>
      </c>
      <c r="BK134" s="993">
        <f>0</f>
        <v>0</v>
      </c>
      <c r="BL134" s="1635">
        <f>0</f>
        <v>0</v>
      </c>
      <c r="BM134" s="993">
        <f>0</f>
        <v>0</v>
      </c>
      <c r="BN134" s="993">
        <f>0</f>
        <v>0</v>
      </c>
      <c r="BO134" s="993">
        <f>0</f>
        <v>0</v>
      </c>
      <c r="BP134" s="1416">
        <f>0</f>
        <v>0</v>
      </c>
      <c r="BQ134" s="2365">
        <f>0</f>
        <v>0</v>
      </c>
      <c r="BR134" s="993">
        <f>0</f>
        <v>0</v>
      </c>
      <c r="BS134" s="993">
        <f>0</f>
        <v>0</v>
      </c>
      <c r="BT134" s="993">
        <f>0</f>
        <v>0</v>
      </c>
      <c r="BU134" s="993">
        <f>0</f>
        <v>0</v>
      </c>
      <c r="BV134" s="993">
        <f>0</f>
        <v>0</v>
      </c>
      <c r="BW134" s="993">
        <f>0</f>
        <v>0</v>
      </c>
      <c r="BX134" s="993">
        <f>0</f>
        <v>0</v>
      </c>
      <c r="BY134" s="993">
        <f>0</f>
        <v>0</v>
      </c>
      <c r="BZ134" s="993">
        <f>0</f>
        <v>0</v>
      </c>
      <c r="CA134" s="993">
        <f>0</f>
        <v>0</v>
      </c>
      <c r="CB134" s="993">
        <f>0</f>
        <v>0</v>
      </c>
      <c r="CC134" s="993">
        <f>0</f>
        <v>0</v>
      </c>
      <c r="CD134" s="1651">
        <f>b_MEOLO_T*X_MEOLO*(η_b_ana*M_inhSNO2_KNO2_MEOLO*M_inhSNO3_KNO3_MEOLO*M_inhSO2_KiO2_MEOLO+m_tox_ana)</f>
        <v>5.0309909039684476E-7</v>
      </c>
      <c r="CF134" s="2385">
        <f>E220*E134+F220*F134+G220*G134+H220*H134+I220*I134+J220*J134+K220*K134+L220*L134+M220*M134+N220*N134+O220*O134+P220*P134+Q220*Q134+R220*R134+S220*S134+T220*T134+U220*U134+V220*V134+W220*W134+X220*X134+Y220*Y134+Z220*Z134+AA220*AA134+AB220*AB134+AC220*AC134+AD220*AD134+AE220*AE134+AF220*AF134+AG220*AG134+AH220*AH134+AI220*AI134+AJ220*AJ134+AK220*AK134+AL220*AL134+AM220*AM134+AN220*AN134+AO220*AO134+AP220*AP134+AQ220*AQ134+AR220*AR134+AS220*AS134+AT220*AT134+AU220*AU134+AV220*AV134+AW220*AW134+AX220*AX134+AY220*AY134+AZ220*AZ134+BA220*BA134+BB220*BB134+BC220*BC134+BD220*BD134+BE220*BE134+BF220*BF134+BG220*BG134+BH220*BH134+BI220*BI134+BJ220*BJ134+BK220*BK134+BL220*BL134+BM220*BM134+BN220*BN134+BO220*BO134+BP220*BP134+BQ220*BQ134+BR220*BR134+BS220*BS134+BT220*BT134+BU220*BU134+BV220*BV134+BW220*BW134+BX220*BX134+BY220*BY134+BZ220*BZ134+CA220*CA134+CB220*CB134+CC220*CC134</f>
        <v>0</v>
      </c>
      <c r="CG134" s="2385">
        <f>E221*E134+F221*F134+G221*G134+H221*H134+I221*I134+J221*J134+K221*K134+L221*L134+M221*M134+N221*N134+O221*O134+P221*P134+Q221*Q134+R221*R134+S221*S134+T221*T134+U221*U134+V221*V134+W221*W134+X221*X134+Y221*Y134+Z221*Z134+AA221*AA134+AB221*AB134+AC221*AC134+AD221*AD134+AE221*AE134+AF221*AF134+AG221*AG134+AH221*AH134+AI221*AI134+AJ221*AJ134+AK221*AK134+AL221*AL134+AM221*AM134+AN221*AN134+AO221*AO134+AP221*AP134+AQ221*AQ134+AR221*AR134+AS221*AS134+AT221*AT134+AU221*AU134+AV221*AV134+AW221*AW134+AX221*AX134+AY221*AY134+AZ221*AZ134+BA221*BA134+BB221*BB134+BC221*BC134+BD221*BD134+BE221*BE134+BF221*BF134+BG221*BG134+BH221*BH134+BI221*BI134+BJ221*BJ134+BK221*BK134+BL221*BL134+BM221*BM134+BN221*BN134+BO221*BO134+BP221*BP134+BQ221*BQ134+BR221*BR134+BS221*BS134+BT221*BT134+BU221*BU134+BV221*BV134+BW221*BW134+BX221*BX134+BY221*BY134+BZ221*BZ134+CA221*CA134+CB221*CB134+CC221*CC134</f>
        <v>6.9388939039072284E-18</v>
      </c>
      <c r="CH134" s="2386">
        <f>E222*E134+F222*F134+G222*G134+H222*H134+I222*I134+J222*J134+K222*K134+L222*L134+M222*M134+N222*N134+O222*O134+P222*P134+Q222*Q134+R222*R134+S222*S134+T222*T134+U222*U134+V222*V134+W222*W134+X222*X134+Y222*Y134+Z222*Z134+AA222*AA134+AB222*AB134+AC222*AC134+AD222*AD134+AE222*AE134+AF222*AF134+AG222*AG134+AH222*AH134+AI222*AI134+AJ222*AJ134+AK222*AK134+AL222*AL134+AM222*AM134+AN222*AN134+AO222*AO134+AP222*AP134+AQ222*AQ134+AR222*AR134+AS222*AS134+AT222*AT134+AU222*AU134+AV222*AV134+AW222*AW134+AX222*AX134+AY222*AY134+AZ222*AZ134+BA222*BA134+BB222*BB134+BC222*BC134+BD222*BD134+BE222*BE134+BF222*BF134+BG222*BG134+BH222*BH134+BI222*BI134+BJ222*BJ134+BK222*BK134+BL222*BL134+BM222*BM134+BN222*BN134+BO222*BO134+BP222*BP134+BQ222*BQ134+BR222*BR134+BS222*BS134+BT222*BT134+BU222*BU134+BV222*BV134+BW222*BW134+BX222*BX134+BY222*BY134+BZ222*BZ134+CA222*CA134+CB222*CB134+CC222*CC134</f>
        <v>0</v>
      </c>
      <c r="CI134" s="2387">
        <f>E223*E134+F223*F134+G223*G134+H223*H134+I223*I134+J223*J134+K223*K134+L223*L134+M223*M134+N223*N134+O223*O134+P223*P134+Q223*Q134+R223*R134+S223*S134+T223*T134+U223*U134+V223*V134+W223*W134+X223*X134+Y223*Y134+Z223*Z134+AA223*AA134+AB223*AB134+AC223*AC134+AD223*AD134+AE223*AE134+AF223*AF134+AG223*AG134+AH223*AH134+AI223*AI134+AJ223*AJ134+AK223*AK134+AL223*AL134+AM223*AM134+AN223*AN134+AO223*AO134+AP223*AP134+AQ223*AQ134+AR223*AR134+AS223*AS134+AT223*AT134+AU223*AU134+AV223*AV134+AW223*AW134+AX223*AX134+AY223*AY134+AZ223*AZ134+BA223*BA134+BB223*BB134+BC223*BC134+BD223*BD134+BE223*BE134+BF223*BF134+BG223*BG134+BH223*BH134+BI223*BI134+BJ223*BJ134+BK223*BK134+BL223*BL134+BM223*BM134+BN223*BN134+BO223*BO134+BP223*BP134+BQ223*BQ134+BR223*BR134+BS223*BS134+BT223*BT134+BU223*BU134+BV223*BV134+BW223*BW134+BX223*BX134+BY223*BY134+BZ223*BZ134+CA223*CA134+CB223*CB134+CC223*CC134</f>
        <v>0</v>
      </c>
      <c r="CJ134" s="2387">
        <f>E224*E134+F224*F134+G224*G134+H224*H134+I224*I134+J224*J134+K224*K134+L224*L134+M224*M134+N224*N134+O224*O134+P224*P134+Q224*Q134+R224*R134+S224*S134+T224*T134+U224*U134+V224*V134+W224*W134+X224*X134+Y224*Y134+Z224*Z134+AA224*AA134+AB224*AB134+AC224*AC134+AD224*AD134+AE224*AE134+AF224*AF134+AG224*AG134+AH224*AH134+AI224*AI134+AJ224*AJ134+AK224*AK134+AL224*AL134+AM224*AM134+AN224*AN134+AO224*AO134+AP224*AP134+AQ224*AQ134+AR224*AR134+AS224*AS134+AT224*AT134+AU224*AU134+AV224*AV134+AW224*AW134+AX224*AX134+AY224*AY134+AZ224*AZ134+BA224*BA134+BB224*BB134+BC224*BC134+BD224*BD134+BE224*BE134+BF224*BF134+BG224*BG134+BH224*BH134+BI224*BI134+BJ224*BJ134+BK224*BK134+BL224*BL134+BM224*BM134+BN224*BN134+BO224*BO134+BP224*BP134+BQ224*BQ134+BR224*BR134+BS224*BS134+BT224*BT134+BU224*BU134+BV224*BV134+BW224*BW134+BX224*BX134+BY224*BY134+BZ224*BZ134+CA224*CA134+CB224*CB134+CC224*CC134</f>
        <v>0</v>
      </c>
      <c r="CK134" s="2387">
        <f>E225*E134+F225*F134+G225*G134+H225*H134+I225*I134+J225*J134+K225*K134+L225*L134+M225*M134+N225*N134+O225*O134+P225*P134+Q225*Q134+R225*R134+S225*S134+T225*T134+U225*U134+V225*V134+W225*W134+X225*X134+Y225*Y134+Z225*Z134+AA225*AA134+AB225*AB134+AC225*AC134+AD225*AD134+AE225*AE134+AF225*AF134+AG225*AG134+AH225*AH134+AI225*AI134+AJ225*AJ134+AK225*AK134+AL225*AL134+AM225*AM134+AN225*AN134+AO225*AO134+AP225*AP134+AQ225*AQ134+AR225*AR134+AS225*AS134+AT225*AT134+AU225*AU134+AV225*AV134+AW225*AW134+AX225*AX134+AY225*AY134+AZ225*AZ134+BA225*BA134+BB225*BB134+BC225*BC134+BD225*BD134+BE225*BE134+BF225*BF134+BG225*BG134+BH225*BH134+BI225*BI134+BJ225*BJ134+BK225*BK134+BL225*BL134+BM225*BM134+BN225*BN134+BO225*BO134+BP225*BP134+BQ225*BQ134+BR225*BR134+BS225*BS134+BT225*BT134+BU225*BU134+BV225*BV134+BW225*BW134+BX225*BX134+BY225*BY134+BZ225*BZ134+CA225*CA134+CB225*CB134+CC225*CC134</f>
        <v>0</v>
      </c>
      <c r="CL134" s="2387">
        <f>E226*E134+F226*F134+G226*G134+H226*H134+I226*I134+J226*J134+K226*K134+L226*L134+M226*M134+N226*N134+O226*O134+P226*P134+Q226*Q134+R226*R134+S226*S134+T226*T134+U226*U134+V226*V134+W226*W134+X226*X134+Y226*Y134+Z226*Z134+AA226*AA134+AB226*AB134+AC226*AC134+AD226*AD134+AE226*AE134+AF226*AF134+AG226*AG134+AH226*AH134+AI226*AI134+AJ226*AJ134+AK226*AK134+AL226*AL134+AM226*AM134+AN226*AN134+AO226*AO134+AP226*AP134+AQ226*AQ134+AR226*AR134+AS226*AS134+AT226*AT134+AU226*AU134+AV226*AV134+AW226*AW134+AX226*AX134+AY226*AY134+AZ226*AZ134+BA226*BA134+BB226*BB134+BC226*BC134+BD226*BD134+BE226*BE134+BF226*BF134+BG226*BG134+BH226*BH134+BI226*BI134+BJ226*BJ134+BK226*BK134+BL226*BL134+BM226*BM134+BN226*BN134+BO226*BO134+BP226*BP134+BQ226*BQ134+BR226*BR134+BS226*BS134+BT226*BT134+BU226*BU134+BV226*BV134+BW226*BW134+BX226*BX134+BY226*BY134+BZ226*BZ134+CA226*CA134+CB226*CB134+CC226*CC134</f>
        <v>0</v>
      </c>
      <c r="CM134" s="2387">
        <f>E227*E134+F227*F134+G227*G134+H227*H134+I227*I134+J227*J134+K227*K134+L227*L134+M227*M134+N227*N134+O227*O134+P227*P134+Q227*Q134+R227*R134+S227*S134+T227*T134+U227*U134+V227*V134+W227*W134+X227*X134+Y227*Y134+Z227*Z134+AA227*AA134+AB227*AB134+AC227*AC134+AD227*AD134+AE227*AE134+AF227*AF134+AG227*AG134+AH227*AH134+AI227*AI134+AJ227*AJ134+AK227*AK134+AL227*AL134+AM227*AM134+AN227*AN134+AO227*AO134+AP227*AP134+AQ227*AQ134+AR227*AR134+AS227*AS134+AT227*AT134+AU227*AU134+AV227*AV134+AW227*AW134+AX227*AX134+AY227*AY134+AZ227*AZ134+BA227*BA134+BB227*BB134+BC227*BC134+BD227*BD134+BE227*BE134+BF227*BF134+BG227*BG134+BH227*BH134+BI227*BI134+BJ227*BJ134+BK227*BK134+BL227*BL134+BM227*BM134+BN227*BN134+BO227*BO134+BP227*BP134+BQ227*BQ134+BR227*BR134+BS227*BS134+BT227*BT134+BU227*BU134+BV227*BV134+BW227*BW134+BX227*BX134+BY227*BY134+BZ227*BZ134+CA227*CA134+CB227*CB134+CC227*CC134</f>
        <v>0</v>
      </c>
      <c r="CN134" s="2387">
        <f>E228*E134+F228*F134+G228*G134+H228*H134+I228*I134+J228*J134+K228*K134+L228*L134+M228*M134+N228*N134+O228*O134+P228*P134+Q228*Q134+R228*R134+S228*S134+T228*T134+U228*U134+V228*V134+W228*W134+X228*X134+Y228*Y134+Z228*Z134+AA228*AA134+AB228*AB134+AC228*AC134+AD228*AD134+AE228*AE134+AF228*AF134+AG228*AG134+AH228*AH134+AI228*AI134+AJ228*AJ134+AK228*AK134+AL228*AL134+AM228*AM134+AN228*AN134+AO228*AO134+AP228*AP134+AQ228*AQ134+AR228*AR134+AS228*AS134+AT228*AT134+AU228*AU134+AV228*AV134+AW228*AW134+AX228*AX134+AY228*AY134+AZ228*AZ134+BA228*BA134+BB228*BB134+BC228*BC134+BD228*BD134+BE228*BE134+BF228*BF134+BG228*BG134+BH228*BH134+BI228*BI134+BJ228*BJ134+BK228*BK134+BL228*BL134+BM228*BM134+BN228*BN134+BO228*BO134+BP228*BP134+BQ228*BQ134+BR228*BR134+BS228*BS134+BT228*BT134+BU228*BU134+BV228*BV134+BW228*BW134+BX228*BX134+BY228*BY134+BZ228*BZ134+CA228*CA134+CB228*CB134+CC228*CC134</f>
        <v>0</v>
      </c>
      <c r="CO134" s="2387">
        <f>E229*E134+F229*F134+G229*G134+H229*H134+I229*I134+J229*J134+K229*K134+L229*L134+M229*M134+N229*N134+O229*O134+P229*P134+Q229*Q134+R229*R134+S229*S134+T229*T134+U229*U134+V229*V134+W229*W134+X229*X134+Y229*Y134+Z229*Z134+AA229*AA134+AB229*AB134+AC229*AC134+AD229*AD134+AE229*AE134+AF229*AF134+AG229*AG134+AH229*AH134+AI229*AI134+AJ229*AJ134+AK229*AK134+AL229*AL134+AM229*AM134+AN229*AN134+AO229*AO134+AP229*AP134+AQ229*AQ134+AR229*AR134+AS229*AS134+AT229*AT134+AU229*AU134+AV229*AV134+AW229*AW134+AX229*AX134+AY229*AY134+AZ229*AZ134+BA229*BA134+BB229*BB134+BC229*BC134+BD229*BD134+BE229*BE134+BF229*BF134+BG229*BG134+BH229*BH134+BI229*BI134+BJ229*BJ134+BK229*BK134+BL229*BL134+BM229*BM134+BN229*BN134+BO229*BO134+BP229*BP134+BQ229*BQ134+BR229*BR134+BS229*BS134+BT229*BT134+BU229*BU134+BV229*BV134+BW229*BW134+BX229*BX134+BY229*BY134+BZ229*BZ134+CA229*CA134+CB229*CB134+CC229*CC134</f>
        <v>0</v>
      </c>
      <c r="CP134" s="2387">
        <f>E230*E134+F230*F134+G230*G134+H230*H134+I230*I134+J230*J134+K230*K134+L230*L134+M230*M134+N230*N134+O230*O134+P230*P134+Q230*Q134+R230*R134+S230*S134+T230*T134+U230*U134+V230*V134+W230*W134+X230*X134+Y230*Y134+Z230*Z134+AA230*AA134+AB230*AB134+AC230*AC134+AD230*AD134+AE230*AE134+AF230*AF134+AG230*AG134+AH230*AH134+AI230*AI134+AJ230*AJ134+AK230*AK134+AL230*AL134+AM230*AM134+AN230*AN134+AO230*AO134+AP230*AP134+AQ230*AQ134+AR230*AR134+AS230*AS134+AT230*AT134+AU230*AU134+AV230*AV134+AW230*AW134+AX230*AX134+AY230*AY134+AZ230*AZ134+BA230*BA134+BB230*BB134+BC230*BC134+BD230*BD134+BE230*BE134+BF230*BF134+BG230*BG134+BH230*BH134+BI230*BI134+BJ230*BJ134+BK230*BK134+BL230*BL134+BM230*BM134+BN230*BN134+BO230*BO134+BP230*BP134+BQ230*BQ134+BR230*BR134+BS230*BS134+BT230*BT134+BU230*BU134+BV230*BV134+BW230*BW134+BX230*BX134+BY230*BY134+BZ230*BZ134+CA230*CA134+CB230*CB134+CC230*CC134</f>
        <v>0</v>
      </c>
    </row>
    <row r="135" spans="2:94" ht="18" x14ac:dyDescent="0.25">
      <c r="B135" s="1585">
        <v>16</v>
      </c>
      <c r="C135" s="628" t="s">
        <v>238</v>
      </c>
      <c r="D135" s="629" t="s">
        <v>4422</v>
      </c>
      <c r="E135" s="974">
        <f>0</f>
        <v>0</v>
      </c>
      <c r="F135" s="974">
        <f>0</f>
        <v>0</v>
      </c>
      <c r="G135" s="974">
        <f>0</f>
        <v>0</v>
      </c>
      <c r="H135" s="974">
        <f>0</f>
        <v>0</v>
      </c>
      <c r="I135" s="974">
        <f>0</f>
        <v>0</v>
      </c>
      <c r="J135" s="974">
        <f>0</f>
        <v>0</v>
      </c>
      <c r="K135" s="974">
        <f>0</f>
        <v>0</v>
      </c>
      <c r="L135" s="974">
        <f>0</f>
        <v>0</v>
      </c>
      <c r="M135" s="1417">
        <f>-(X_PHA/X_STC)/Y_CASTO_STC_ox</f>
        <v>-1.371742112482853</v>
      </c>
      <c r="N135" s="1417">
        <f>-(X_GLY/X_STC)/Y_CASTO_STC_ox</f>
        <v>-0.20576131687242796</v>
      </c>
      <c r="O135" s="974">
        <f>0</f>
        <v>0</v>
      </c>
      <c r="P135" s="974">
        <f>0</f>
        <v>0</v>
      </c>
      <c r="Q135" s="974">
        <f>0</f>
        <v>0</v>
      </c>
      <c r="R135" s="974">
        <f>1</f>
        <v>1</v>
      </c>
      <c r="S135" s="974">
        <f>0</f>
        <v>0</v>
      </c>
      <c r="T135" s="974">
        <f>0</f>
        <v>0</v>
      </c>
      <c r="U135" s="974">
        <f>0</f>
        <v>0</v>
      </c>
      <c r="V135" s="974">
        <f>0</f>
        <v>0</v>
      </c>
      <c r="W135" s="974">
        <f>0</f>
        <v>0</v>
      </c>
      <c r="X135" s="974">
        <f>0</f>
        <v>0</v>
      </c>
      <c r="Y135" s="974">
        <f>-i_N_BIO</f>
        <v>-7.0000000000000007E-2</v>
      </c>
      <c r="Z135" s="974">
        <f>0</f>
        <v>0</v>
      </c>
      <c r="AA135" s="974">
        <f>0</f>
        <v>0</v>
      </c>
      <c r="AB135" s="974">
        <f>0</f>
        <v>0</v>
      </c>
      <c r="AC135" s="974">
        <f>0</f>
        <v>0</v>
      </c>
      <c r="AD135" s="974">
        <f>0</f>
        <v>0</v>
      </c>
      <c r="AE135" s="974">
        <f>0</f>
        <v>0</v>
      </c>
      <c r="AF135" s="1078">
        <f>-i_P_BIO</f>
        <v>-0.02</v>
      </c>
      <c r="AG135" s="974">
        <f>0</f>
        <v>0</v>
      </c>
      <c r="AH135" s="974">
        <f>0</f>
        <v>0</v>
      </c>
      <c r="AI135" s="974">
        <f>0</f>
        <v>0</v>
      </c>
      <c r="AJ135" s="974">
        <f>0</f>
        <v>0</v>
      </c>
      <c r="AK135" s="1417">
        <f>-(1-Y_CASTO_STC_ox)/Y_CASTO_STC_ox</f>
        <v>-0.57750342935528098</v>
      </c>
      <c r="AL135" s="975">
        <f>0</f>
        <v>0</v>
      </c>
      <c r="AM135" s="975">
        <f>0</f>
        <v>0</v>
      </c>
      <c r="AN135" s="1417">
        <f>(i_CIT_STC/Y_CASTO_STC_ox)-i_CIT_BIO</f>
        <v>0.18195061728395057</v>
      </c>
      <c r="AO135" s="1003">
        <f>i_INORG</f>
        <v>0.11</v>
      </c>
      <c r="AP135" s="1417">
        <f>-i_INORG*(1-i_Ca_INORG*(A_MCa+2*A_MCl)/A_MCa-i_Mg_INORG*(A_MMg+2*A_MCl)/A_MMg)*f_Na</f>
        <v>-2.8804303582798466E-2</v>
      </c>
      <c r="AQ135" s="1417">
        <f>-i_INORG*(i_Ca_INORG*(2*A_MCl)/A_MCa+i_Mg_INORG*(2*A_MCl)/A_MMg)-i_INORG*(1-i_Ca_INORG*(A_MCa+2*A_MCl)/A_MCa-i_Mg_INORG*(A_MMg+2*A_MCl)/A_MMg)*(1-f_Na)</f>
        <v>-7.0195696417201539E-2</v>
      </c>
      <c r="AR135" s="1417">
        <f>-i_INORG*i_Ca_INORG</f>
        <v>-5.5000000000000005E-3</v>
      </c>
      <c r="AS135" s="1417">
        <f>-i_INORG*i_Mg_INORG</f>
        <v>-5.5000000000000005E-3</v>
      </c>
      <c r="AT135" s="1417">
        <f>0</f>
        <v>0</v>
      </c>
      <c r="AU135" s="975">
        <f>0</f>
        <v>0</v>
      </c>
      <c r="AV135" s="975">
        <f>0</f>
        <v>0</v>
      </c>
      <c r="AW135" s="975">
        <f>0</f>
        <v>0</v>
      </c>
      <c r="AX135" s="975">
        <f>0</f>
        <v>0</v>
      </c>
      <c r="AY135" s="975">
        <f>0</f>
        <v>0</v>
      </c>
      <c r="AZ135" s="975">
        <f>0</f>
        <v>0</v>
      </c>
      <c r="BA135" s="975">
        <f>0</f>
        <v>0</v>
      </c>
      <c r="BB135" s="975">
        <f>0</f>
        <v>0</v>
      </c>
      <c r="BC135" s="975">
        <f>0</f>
        <v>0</v>
      </c>
      <c r="BD135" s="975">
        <f>0</f>
        <v>0</v>
      </c>
      <c r="BE135" s="975">
        <f>0</f>
        <v>0</v>
      </c>
      <c r="BF135" s="975">
        <f>0</f>
        <v>0</v>
      </c>
      <c r="BG135" s="975">
        <f>0</f>
        <v>0</v>
      </c>
      <c r="BH135" s="975">
        <f>0</f>
        <v>0</v>
      </c>
      <c r="BI135" s="975">
        <f>0</f>
        <v>0</v>
      </c>
      <c r="BJ135" s="975">
        <f>0</f>
        <v>0</v>
      </c>
      <c r="BK135" s="975">
        <f>0</f>
        <v>0</v>
      </c>
      <c r="BL135" s="1078">
        <f>0</f>
        <v>0</v>
      </c>
      <c r="BM135" s="975">
        <f>0</f>
        <v>0</v>
      </c>
      <c r="BN135" s="975">
        <f>0</f>
        <v>0</v>
      </c>
      <c r="BO135" s="975">
        <f>0</f>
        <v>0</v>
      </c>
      <c r="BP135" s="1417">
        <f>0</f>
        <v>0</v>
      </c>
      <c r="BQ135" s="2366">
        <f>0</f>
        <v>0</v>
      </c>
      <c r="BR135" s="975">
        <f>0</f>
        <v>0</v>
      </c>
      <c r="BS135" s="975">
        <f>0</f>
        <v>0</v>
      </c>
      <c r="BT135" s="975">
        <f>0</f>
        <v>0</v>
      </c>
      <c r="BU135" s="975">
        <f>0</f>
        <v>0</v>
      </c>
      <c r="BV135" s="975">
        <f>0</f>
        <v>0</v>
      </c>
      <c r="BW135" s="975">
        <f>0</f>
        <v>0</v>
      </c>
      <c r="BX135" s="975">
        <f>0</f>
        <v>0</v>
      </c>
      <c r="BY135" s="975">
        <f>0</f>
        <v>0</v>
      </c>
      <c r="BZ135" s="975">
        <f>0</f>
        <v>0</v>
      </c>
      <c r="CA135" s="975">
        <f>0</f>
        <v>0</v>
      </c>
      <c r="CB135" s="975">
        <f>0</f>
        <v>0</v>
      </c>
      <c r="CC135" s="975">
        <f>0</f>
        <v>0</v>
      </c>
      <c r="CD135" s="1652">
        <f>µ_CASTO_T*X_CASTO*M_RsatXSTC_XCASTO_KSTC*M_satSO2_KO2_CASTO*M_satSNHx_KNHx_BIO*M_satSPO4_KPO4_BIO*M_satSCAT_KCAT*M_satSAN_KAN*M_satSCa_KCa_PAO*M_satSMg_KMg_PAO*B_ellinhpH</f>
        <v>151.76849076728641</v>
      </c>
      <c r="CF135" s="2385">
        <f>E220*E135+F220*F135+G220*G135+H220*H135+I220*I135+J220*J135+K220*K135+L220*L135+M220*M135+N220*N135+O220*O135+P220*P135+Q220*Q135+R220*R135+S220*S135+T220*T135+U220*U135+V220*V135+W220*W135+X220*X135+Y220*Y135+Z220*Z135+AA220*AA135+AB220*AB135+AC220*AC135+AD220*AD135+AE220*AE135+AF220*AF135+AG220*AG135+AH220*AH135+AI220*AI135+AJ220*AJ135+AK220*AK135+AL220*AL135+AM220*AM135+AN220*AN135+AO220*AO135+AP220*AP135+AQ220*AQ135+AR220*AR135+AS220*AS135+AT220*AT135+AU220*AU135+AV220*AV135+AW220*AW135+AX220*AX135+AY220*AY135+AZ220*AZ135+BA220*BA135+BB220*BB135+BC220*BC135+BD220*BD135+BE220*BE135+BF220*BF135+BG220*BG135+BH220*BH135+BI220*BI135+BJ220*BJ135+BK220*BK135+BL220*BL135+BM220*BM135+BN220*BN135+BO220*BO135+BP220*BP135+BQ220*BQ135+BR220*BR135+BS220*BS135+BT220*BT135+BU220*BU135+BV220*BV135+BW220*BW135+BX220*BX135+BY220*BY135+BZ220*BZ135+CA220*CA135+CB220*CB135+CC220*CC135</f>
        <v>0</v>
      </c>
      <c r="CG135" s="2385">
        <f>E221*E135+F221*F135+G221*G135+H221*H135+I221*I135+J221*J135+K221*K135+L221*L135+M221*M135+N221*N135+O221*O135+P221*P135+Q221*Q135+R221*R135+S221*S135+T221*T135+U221*U135+V221*V135+W221*W135+X221*X135+Y221*Y135+Z221*Z135+AA221*AA135+AB221*AB135+AC221*AC135+AD221*AD135+AE221*AE135+AF221*AF135+AG221*AG135+AH221*AH135+AI221*AI135+AJ221*AJ135+AK221*AK135+AL221*AL135+AM221*AM135+AN221*AN135+AO221*AO135+AP221*AP135+AQ221*AQ135+AR221*AR135+AS221*AS135+AT221*AT135+AU221*AU135+AV221*AV135+AW221*AW135+AX221*AX135+AY221*AY135+AZ221*AZ135+BA221*BA135+BB221*BB135+BC221*BC135+BD221*BD135+BE221*BE135+BF221*BF135+BG221*BG135+BH221*BH135+BI221*BI135+BJ221*BJ135+BK221*BK135+BL221*BL135+BM221*BM135+BN221*BN135+BO221*BO135+BP221*BP135+BQ221*BQ135+BR221*BR135+BS221*BS135+BT221*BT135+BU221*BU135+BV221*BV135+BW221*BW135+BX221*BX135+BY221*BY135+BZ221*BZ135+CA221*CA135+CB221*CB135+CC221*CC135</f>
        <v>0</v>
      </c>
      <c r="CH135" s="2386">
        <f>E222*E135+F222*F135+G222*G135+H222*H135+I222*I135+J222*J135+K222*K135+L222*L135+M222*M135+N222*N135+O222*O135+P222*P135+Q222*Q135+R222*R135+S222*S135+T222*T135+U222*U135+V222*V135+W222*W135+X222*X135+Y222*Y135+Z222*Z135+AA222*AA135+AB222*AB135+AC222*AC135+AD222*AD135+AE222*AE135+AF222*AF135+AG222*AG135+AH222*AH135+AI222*AI135+AJ222*AJ135+AK222*AK135+AL222*AL135+AM222*AM135+AN222*AN135+AO222*AO135+AP222*AP135+AQ222*AQ135+AR222*AR135+AS222*AS135+AT222*AT135+AU222*AU135+AV222*AV135+AW222*AW135+AX222*AX135+AY222*AY135+AZ222*AZ135+BA222*BA135+BB222*BB135+BC222*BC135+BD222*BD135+BE222*BE135+BF222*BF135+BG222*BG135+BH222*BH135+BI222*BI135+BJ222*BJ135+BK222*BK135+BL222*BL135+BM222*BM135+BN222*BN135+BO222*BO135+BP222*BP135+BQ222*BQ135+BR222*BR135+BS222*BS135+BT222*BT135+BU222*BU135+BV222*BV135+BW222*BW135+BX222*BX135+BY222*BY135+BZ222*BZ135+CA222*CA135+CB222*CB135+CC222*CC135</f>
        <v>0</v>
      </c>
      <c r="CI135" s="2387">
        <f>E223*E135+F223*F135+G223*G135+H223*H135+I223*I135+J223*J135+K223*K135+L223*L135+M223*M135+N223*N135+O223*O135+P223*P135+Q223*Q135+R223*R135+S223*S135+T223*T135+U223*U135+V223*V135+W223*W135+X223*X135+Y223*Y135+Z223*Z135+AA223*AA135+AB223*AB135+AC223*AC135+AD223*AD135+AE223*AE135+AF223*AF135+AG223*AG135+AH223*AH135+AI223*AI135+AJ223*AJ135+AK223*AK135+AL223*AL135+AM223*AM135+AN223*AN135+AO223*AO135+AP223*AP135+AQ223*AQ135+AR223*AR135+AS223*AS135+AT223*AT135+AU223*AU135+AV223*AV135+AW223*AW135+AX223*AX135+AY223*AY135+AZ223*AZ135+BA223*BA135+BB223*BB135+BC223*BC135+BD223*BD135+BE223*BE135+BF223*BF135+BG223*BG135+BH223*BH135+BI223*BI135+BJ223*BJ135+BK223*BK135+BL223*BL135+BM223*BM135+BN223*BN135+BO223*BO135+BP223*BP135+BQ223*BQ135+BR223*BR135+BS223*BS135+BT223*BT135+BU223*BU135+BV223*BV135+BW223*BW135+BX223*BX135+BY223*BY135+BZ223*BZ135+CA223*CA135+CB223*CB135+CC223*CC135</f>
        <v>0</v>
      </c>
      <c r="CJ135" s="2387">
        <f>E224*E135+F224*F135+G224*G135+H224*H135+I224*I135+J224*J135+K224*K135+L224*L135+M224*M135+N224*N135+O224*O135+P224*P135+Q224*Q135+R224*R135+S224*S135+T224*T135+U224*U135+V224*V135+W224*W135+X224*X135+Y224*Y135+Z224*Z135+AA224*AA135+AB224*AB135+AC224*AC135+AD224*AD135+AE224*AE135+AF224*AF135+AG224*AG135+AH224*AH135+AI224*AI135+AJ224*AJ135+AK224*AK135+AL224*AL135+AM224*AM135+AN224*AN135+AO224*AO135+AP224*AP135+AQ224*AQ135+AR224*AR135+AS224*AS135+AT224*AT135+AU224*AU135+AV224*AV135+AW224*AW135+AX224*AX135+AY224*AY135+AZ224*AZ135+BA224*BA135+BB224*BB135+BC224*BC135+BD224*BD135+BE224*BE135+BF224*BF135+BG224*BG135+BH224*BH135+BI224*BI135+BJ224*BJ135+BK224*BK135+BL224*BL135+BM224*BM135+BN224*BN135+BO224*BO135+BP224*BP135+BQ224*BQ135+BR224*BR135+BS224*BS135+BT224*BT135+BU224*BU135+BV224*BV135+BW224*BW135+BX224*BX135+BY224*BY135+BZ224*BZ135+CA224*CA135+CB224*CB135+CC224*CC135</f>
        <v>0</v>
      </c>
      <c r="CK135" s="2387">
        <f>E225*E135+F225*F135+G225*G135+H225*H135+I225*I135+J225*J135+K225*K135+L225*L135+M225*M135+N225*N135+O225*O135+P225*P135+Q225*Q135+R225*R135+S225*S135+T225*T135+U225*U135+V225*V135+W225*W135+X225*X135+Y225*Y135+Z225*Z135+AA225*AA135+AB225*AB135+AC225*AC135+AD225*AD135+AE225*AE135+AF225*AF135+AG225*AG135+AH225*AH135+AI225*AI135+AJ225*AJ135+AK225*AK135+AL225*AL135+AM225*AM135+AN225*AN135+AO225*AO135+AP225*AP135+AQ225*AQ135+AR225*AR135+AS225*AS135+AT225*AT135+AU225*AU135+AV225*AV135+AW225*AW135+AX225*AX135+AY225*AY135+AZ225*AZ135+BA225*BA135+BB225*BB135+BC225*BC135+BD225*BD135+BE225*BE135+BF225*BF135+BG225*BG135+BH225*BH135+BI225*BI135+BJ225*BJ135+BK225*BK135+BL225*BL135+BM225*BM135+BN225*BN135+BO225*BO135+BP225*BP135+BQ225*BQ135+BR225*BR135+BS225*BS135+BT225*BT135+BU225*BU135+BV225*BV135+BW225*BW135+BX225*BX135+BY225*BY135+BZ225*BZ135+CA225*CA135+CB225*CB135+CC225*CC135</f>
        <v>0</v>
      </c>
      <c r="CL135" s="2387">
        <f>E226*E135+F226*F135+G226*G135+H226*H135+I226*I135+J226*J135+K226*K135+L226*L135+M226*M135+N226*N135+O226*O135+P226*P135+Q226*Q135+R226*R135+S226*S135+T226*T135+U226*U135+V226*V135+W226*W135+X226*X135+Y226*Y135+Z226*Z135+AA226*AA135+AB226*AB135+AC226*AC135+AD226*AD135+AE226*AE135+AF226*AF135+AG226*AG135+AH226*AH135+AI226*AI135+AJ226*AJ135+AK226*AK135+AL226*AL135+AM226*AM135+AN226*AN135+AO226*AO135+AP226*AP135+AQ226*AQ135+AR226*AR135+AS226*AS135+AT226*AT135+AU226*AU135+AV226*AV135+AW226*AW135+AX226*AX135+AY226*AY135+AZ226*AZ135+BA226*BA135+BB226*BB135+BC226*BC135+BD226*BD135+BE226*BE135+BF226*BF135+BG226*BG135+BH226*BH135+BI226*BI135+BJ226*BJ135+BK226*BK135+BL226*BL135+BM226*BM135+BN226*BN135+BO226*BO135+BP226*BP135+BQ226*BQ135+BR226*BR135+BS226*BS135+BT226*BT135+BU226*BU135+BV226*BV135+BW226*BW135+BX226*BX135+BY226*BY135+BZ226*BZ135+CA226*CA135+CB226*CB135+CC226*CC135</f>
        <v>0</v>
      </c>
      <c r="CM135" s="2387">
        <f>E227*E135+F227*F135+G227*G135+H227*H135+I227*I135+J227*J135+K227*K135+L227*L135+M227*M135+N227*N135+O227*O135+P227*P135+Q227*Q135+R227*R135+S227*S135+T227*T135+U227*U135+V227*V135+W227*W135+X227*X135+Y227*Y135+Z227*Z135+AA227*AA135+AB227*AB135+AC227*AC135+AD227*AD135+AE227*AE135+AF227*AF135+AG227*AG135+AH227*AH135+AI227*AI135+AJ227*AJ135+AK227*AK135+AL227*AL135+AM227*AM135+AN227*AN135+AO227*AO135+AP227*AP135+AQ227*AQ135+AR227*AR135+AS227*AS135+AT227*AT135+AU227*AU135+AV227*AV135+AW227*AW135+AX227*AX135+AY227*AY135+AZ227*AZ135+BA227*BA135+BB227*BB135+BC227*BC135+BD227*BD135+BE227*BE135+BF227*BF135+BG227*BG135+BH227*BH135+BI227*BI135+BJ227*BJ135+BK227*BK135+BL227*BL135+BM227*BM135+BN227*BN135+BO227*BO135+BP227*BP135+BQ227*BQ135+BR227*BR135+BS227*BS135+BT227*BT135+BU227*BU135+BV227*BV135+BW227*BW135+BX227*BX135+BY227*BY135+BZ227*BZ135+CA227*CA135+CB227*CB135+CC227*CC135</f>
        <v>0</v>
      </c>
      <c r="CN135" s="2387">
        <f>E228*E135+F228*F135+G228*G135+H228*H135+I228*I135+J228*J135+K228*K135+L228*L135+M228*M135+N228*N135+O228*O135+P228*P135+Q228*Q135+R228*R135+S228*S135+T228*T135+U228*U135+V228*V135+W228*W135+X228*X135+Y228*Y135+Z228*Z135+AA228*AA135+AB228*AB135+AC228*AC135+AD228*AD135+AE228*AE135+AF228*AF135+AG228*AG135+AH228*AH135+AI228*AI135+AJ228*AJ135+AK228*AK135+AL228*AL135+AM228*AM135+AN228*AN135+AO228*AO135+AP228*AP135+AQ228*AQ135+AR228*AR135+AS228*AS135+AT228*AT135+AU228*AU135+AV228*AV135+AW228*AW135+AX228*AX135+AY228*AY135+AZ228*AZ135+BA228*BA135+BB228*BB135+BC228*BC135+BD228*BD135+BE228*BE135+BF228*BF135+BG228*BG135+BH228*BH135+BI228*BI135+BJ228*BJ135+BK228*BK135+BL228*BL135+BM228*BM135+BN228*BN135+BO228*BO135+BP228*BP135+BQ228*BQ135+BR228*BR135+BS228*BS135+BT228*BT135+BU228*BU135+BV228*BV135+BW228*BW135+BX228*BX135+BY228*BY135+BZ228*BZ135+CA228*CA135+CB228*CB135+CC228*CC135</f>
        <v>0</v>
      </c>
      <c r="CO135" s="2387">
        <f>E229*E135+F229*F135+G229*G135+H229*H135+I229*I135+J229*J135+K229*K135+L229*L135+M229*M135+N229*N135+O229*O135+P229*P135+Q229*Q135+R229*R135+S229*S135+T229*T135+U229*U135+V229*V135+W229*W135+X229*X135+Y229*Y135+Z229*Z135+AA229*AA135+AB229*AB135+AC229*AC135+AD229*AD135+AE229*AE135+AF229*AF135+AG229*AG135+AH229*AH135+AI229*AI135+AJ229*AJ135+AK229*AK135+AL229*AL135+AM229*AM135+AN229*AN135+AO229*AO135+AP229*AP135+AQ229*AQ135+AR229*AR135+AS229*AS135+AT229*AT135+AU229*AU135+AV229*AV135+AW229*AW135+AX229*AX135+AY229*AY135+AZ229*AZ135+BA229*BA135+BB229*BB135+BC229*BC135+BD229*BD135+BE229*BE135+BF229*BF135+BG229*BG135+BH229*BH135+BI229*BI135+BJ229*BJ135+BK229*BK135+BL229*BL135+BM229*BM135+BN229*BN135+BO229*BO135+BP229*BP135+BQ229*BQ135+BR229*BR135+BS229*BS135+BT229*BT135+BU229*BU135+BV229*BV135+BW229*BW135+BX229*BX135+BY229*BY135+BZ229*BZ135+CA229*CA135+CB229*CB135+CC229*CC135</f>
        <v>0</v>
      </c>
      <c r="CP135" s="2387">
        <f>E230*E135+F230*F135+G230*G135+H230*H135+I230*I135+J230*J135+K230*K135+L230*L135+M230*M135+N230*N135+O230*O135+P230*P135+Q230*Q135+R230*R135+S230*S135+T230*T135+U230*U135+V230*V135+W230*W135+X230*X135+Y230*Y135+Z230*Z135+AA230*AA135+AB230*AB135+AC230*AC135+AD230*AD135+AE230*AE135+AF230*AF135+AG230*AG135+AH230*AH135+AI230*AI135+AJ230*AJ135+AK230*AK135+AL230*AL135+AM230*AM135+AN230*AN135+AO230*AO135+AP230*AP135+AQ230*AQ135+AR230*AR135+AS230*AS135+AT230*AT135+AU230*AU135+AV230*AV135+AW230*AW135+AX230*AX135+AY230*AY135+AZ230*AZ135+BA230*BA135+BB230*BB135+BC230*BC135+BD230*BD135+BE230*BE135+BF230*BF135+BG230*BG135+BH230*BH135+BI230*BI135+BJ230*BJ135+BK230*BK135+BL230*BL135+BM230*BM135+BN230*BN135+BO230*BO135+BP230*BP135+BQ230*BQ135+BR230*BR135+BS230*BS135+BT230*BT135+BU230*BU135+BV230*BV135+BW230*BW135+BX230*BX135+BY230*BY135+BZ230*BZ135+CA230*CA135+CB230*CB135+CC230*CC135</f>
        <v>0</v>
      </c>
    </row>
    <row r="136" spans="2:94" ht="18" x14ac:dyDescent="0.25">
      <c r="B136" s="1585">
        <v>17</v>
      </c>
      <c r="C136" s="628" t="s">
        <v>239</v>
      </c>
      <c r="D136" s="629" t="s">
        <v>4421</v>
      </c>
      <c r="E136" s="974">
        <f>0</f>
        <v>0</v>
      </c>
      <c r="F136" s="974">
        <f>0</f>
        <v>0</v>
      </c>
      <c r="G136" s="974">
        <f>0</f>
        <v>0</v>
      </c>
      <c r="H136" s="974">
        <f>0</f>
        <v>0</v>
      </c>
      <c r="I136" s="974">
        <f>0</f>
        <v>0</v>
      </c>
      <c r="J136" s="974">
        <f>0</f>
        <v>0</v>
      </c>
      <c r="K136" s="974">
        <f>0</f>
        <v>0</v>
      </c>
      <c r="L136" s="974">
        <f>0</f>
        <v>0</v>
      </c>
      <c r="M136" s="1417">
        <f>-(X_PHA/X_STC)/Y_CASTO_STC_anox</f>
        <v>-1.680672268907563</v>
      </c>
      <c r="N136" s="1417">
        <f>-(X_GLY/X_STC)/Y_CASTO_STC_anox</f>
        <v>-0.25210084033613445</v>
      </c>
      <c r="O136" s="974">
        <f>0</f>
        <v>0</v>
      </c>
      <c r="P136" s="974">
        <f>0</f>
        <v>0</v>
      </c>
      <c r="Q136" s="974">
        <f>0</f>
        <v>0</v>
      </c>
      <c r="R136" s="974">
        <f>1</f>
        <v>1</v>
      </c>
      <c r="S136" s="974">
        <f>0</f>
        <v>0</v>
      </c>
      <c r="T136" s="974">
        <f>0</f>
        <v>0</v>
      </c>
      <c r="U136" s="974">
        <f>0</f>
        <v>0</v>
      </c>
      <c r="V136" s="974">
        <f>0</f>
        <v>0</v>
      </c>
      <c r="W136" s="974">
        <f>0</f>
        <v>0</v>
      </c>
      <c r="X136" s="974">
        <f>0</f>
        <v>0</v>
      </c>
      <c r="Y136" s="974">
        <f>-i_N_BIO</f>
        <v>-7.0000000000000007E-2</v>
      </c>
      <c r="Z136" s="975">
        <f>-(1-Y_CASTO_STC_anox)/(E_EQN2_NO2*Y_CASTO_STC_anox)</f>
        <v>-0.54439846116078094</v>
      </c>
      <c r="AA136" s="975">
        <f>0</f>
        <v>0</v>
      </c>
      <c r="AB136" s="975">
        <f>(1-Y_CASTO_STC_anox)/(E_EQN2_NO2*Y_CASTO_STC_anox)</f>
        <v>0.54439846116078094</v>
      </c>
      <c r="AC136" s="974">
        <f>0</f>
        <v>0</v>
      </c>
      <c r="AD136" s="974">
        <f>0</f>
        <v>0</v>
      </c>
      <c r="AE136" s="974">
        <f>0</f>
        <v>0</v>
      </c>
      <c r="AF136" s="1078">
        <f>-i_P_BIO</f>
        <v>-0.02</v>
      </c>
      <c r="AG136" s="974">
        <f>0</f>
        <v>0</v>
      </c>
      <c r="AH136" s="974">
        <f>0</f>
        <v>0</v>
      </c>
      <c r="AI136" s="974">
        <f>0</f>
        <v>0</v>
      </c>
      <c r="AJ136" s="974">
        <f>0</f>
        <v>0</v>
      </c>
      <c r="AK136" s="975">
        <f>0</f>
        <v>0</v>
      </c>
      <c r="AL136" s="975">
        <f>0</f>
        <v>0</v>
      </c>
      <c r="AM136" s="975">
        <f>0</f>
        <v>0</v>
      </c>
      <c r="AN136" s="1417">
        <f>(i_CIT_STC/Y_CASTO_STC_anox)-i_CIT_BIO</f>
        <v>0.30220168067226894</v>
      </c>
      <c r="AO136" s="1003">
        <f>i_INORG</f>
        <v>0.11</v>
      </c>
      <c r="AP136" s="1417">
        <f>-i_INORG*(1-i_Ca_INORG*(A_MCa+2*A_MCl)/A_MCa-i_Mg_INORG*(A_MMg+2*A_MCl)/A_MMg)*f_Na</f>
        <v>-2.8804303582798466E-2</v>
      </c>
      <c r="AQ136" s="1417">
        <f>-i_INORG*(i_Ca_INORG*(2*A_MCl)/A_MCa+i_Mg_INORG*(2*A_MCl)/A_MMg)-i_INORG*(1-i_Ca_INORG*(A_MCa+2*A_MCl)/A_MCa-i_Mg_INORG*(A_MMg+2*A_MCl)/A_MMg)*(1-f_Na)</f>
        <v>-7.0195696417201539E-2</v>
      </c>
      <c r="AR136" s="1417">
        <f>-i_INORG*i_Ca_INORG</f>
        <v>-5.5000000000000005E-3</v>
      </c>
      <c r="AS136" s="1417">
        <f>-i_INORG*i_Mg_INORG</f>
        <v>-5.5000000000000005E-3</v>
      </c>
      <c r="AT136" s="1417">
        <f>0</f>
        <v>0</v>
      </c>
      <c r="AU136" s="975">
        <f>0</f>
        <v>0</v>
      </c>
      <c r="AV136" s="975">
        <f>0</f>
        <v>0</v>
      </c>
      <c r="AW136" s="975">
        <f>0</f>
        <v>0</v>
      </c>
      <c r="AX136" s="975">
        <f>0</f>
        <v>0</v>
      </c>
      <c r="AY136" s="975">
        <f>0</f>
        <v>0</v>
      </c>
      <c r="AZ136" s="975">
        <f>0</f>
        <v>0</v>
      </c>
      <c r="BA136" s="975">
        <f>0</f>
        <v>0</v>
      </c>
      <c r="BB136" s="975">
        <f>0</f>
        <v>0</v>
      </c>
      <c r="BC136" s="975">
        <f>0</f>
        <v>0</v>
      </c>
      <c r="BD136" s="975">
        <f>0</f>
        <v>0</v>
      </c>
      <c r="BE136" s="975">
        <f>0</f>
        <v>0</v>
      </c>
      <c r="BF136" s="975">
        <f>0</f>
        <v>0</v>
      </c>
      <c r="BG136" s="975">
        <f>0</f>
        <v>0</v>
      </c>
      <c r="BH136" s="975">
        <f>0</f>
        <v>0</v>
      </c>
      <c r="BI136" s="975">
        <f>0</f>
        <v>0</v>
      </c>
      <c r="BJ136" s="975">
        <f>0</f>
        <v>0</v>
      </c>
      <c r="BK136" s="975">
        <f>0</f>
        <v>0</v>
      </c>
      <c r="BL136" s="1078">
        <f>0</f>
        <v>0</v>
      </c>
      <c r="BM136" s="975">
        <f>0</f>
        <v>0</v>
      </c>
      <c r="BN136" s="975">
        <f>0</f>
        <v>0</v>
      </c>
      <c r="BO136" s="975">
        <f>0</f>
        <v>0</v>
      </c>
      <c r="BP136" s="1417">
        <f>0</f>
        <v>0</v>
      </c>
      <c r="BQ136" s="2366">
        <f>0</f>
        <v>0</v>
      </c>
      <c r="BR136" s="975">
        <f>0</f>
        <v>0</v>
      </c>
      <c r="BS136" s="975">
        <f>0</f>
        <v>0</v>
      </c>
      <c r="BT136" s="975">
        <f>0</f>
        <v>0</v>
      </c>
      <c r="BU136" s="975">
        <f>0</f>
        <v>0</v>
      </c>
      <c r="BV136" s="975">
        <f>0</f>
        <v>0</v>
      </c>
      <c r="BW136" s="975">
        <f>0</f>
        <v>0</v>
      </c>
      <c r="BX136" s="975">
        <f>0</f>
        <v>0</v>
      </c>
      <c r="BY136" s="975">
        <f>0</f>
        <v>0</v>
      </c>
      <c r="BZ136" s="975">
        <f>0</f>
        <v>0</v>
      </c>
      <c r="CA136" s="975">
        <f>0</f>
        <v>0</v>
      </c>
      <c r="CB136" s="975">
        <f>0</f>
        <v>0</v>
      </c>
      <c r="CC136" s="975">
        <f>0</f>
        <v>0</v>
      </c>
      <c r="CD136" s="1652">
        <f>µ_CASTO_T*X_CASTO*η_CASTO_anox*M_RsatXSTC_XCASTO_KSTC*M_satSNO2_KNO2_CASTO*M_inhSO2_KO2_CASTO*M_satSNHx_KNHx_BIO*M_satSPO4_KPO4_BIO*M_satSCAT_KCAT*M_satSAN_KAN*M_satSCa_KCa_PAO*M_satSMg_KMg_PAO*B_ellinhpH</f>
        <v>1.6694533984401503</v>
      </c>
      <c r="CF136" s="2385">
        <f>E220*E136+F220*F136+G220*G136+H220*H136+I220*I136+J220*J136+K220*K136+L220*L136+M220*M136+N220*N136+O220*O136+P220*P136+Q220*Q136+R220*R136+S220*S136+T220*T136+U220*U136+V220*V136+W220*W136+X220*X136+Y220*Y136+Z220*Z136+AA220*AA136+AB220*AB136+AC220*AC136+AD220*AD136+AE220*AE136+AF220*AF136+AG220*AG136+AH220*AH136+AI220*AI136+AJ220*AJ136+AK220*AK136+AL220*AL136+AM220*AM136+AN220*AN136+AO220*AO136+AP220*AP136+AQ220*AQ136+AR220*AR136+AS220*AS136+AT220*AT136+AU220*AU136+AV220*AV136+AW220*AW136+AX220*AX136+AY220*AY136+AZ220*AZ136+BA220*BA136+BB220*BB136+BC220*BC136+BD220*BD136+BE220*BE136+BF220*BF136+BG220*BG136+BH220*BH136+BI220*BI136+BJ220*BJ136+BK220*BK136+BL220*BL136+BM220*BM136+BN220*BN136+BO220*BO136+BP220*BP136+BQ220*BQ136+BR220*BR136+BS220*BS136+BT220*BT136+BU220*BU136+BV220*BV136+BW220*BW136+BX220*BX136+BY220*BY136+BZ220*BZ136+CA220*CA136+CB220*CB136+CC220*CC136</f>
        <v>-1.1102230246251565E-16</v>
      </c>
      <c r="CG136" s="2385">
        <f>E221*E136+F221*F136+G221*G136+H221*H136+I221*I136+J221*J136+K221*K136+L221*L136+M221*M136+N221*N136+O221*O136+P221*P136+Q221*Q136+R221*R136+S221*S136+T221*T136+U221*U136+V221*V136+W221*W136+X221*X136+Y221*Y136+Z221*Z136+AA221*AA136+AB221*AB136+AC221*AC136+AD221*AD136+AE221*AE136+AF221*AF136+AG221*AG136+AH221*AH136+AI221*AI136+AJ221*AJ136+AK221*AK136+AL221*AL136+AM221*AM136+AN221*AN136+AO221*AO136+AP221*AP136+AQ221*AQ136+AR221*AR136+AS221*AS136+AT221*AT136+AU221*AU136+AV221*AV136+AW221*AW136+AX221*AX136+AY221*AY136+AZ221*AZ136+BA221*BA136+BB221*BB136+BC221*BC136+BD221*BD136+BE221*BE136+BF221*BF136+BG221*BG136+BH221*BH136+BI221*BI136+BJ221*BJ136+BK221*BK136+BL221*BL136+BM221*BM136+BN221*BN136+BO221*BO136+BP221*BP136+BQ221*BQ136+BR221*BR136+BS221*BS136+BT221*BT136+BU221*BU136+BV221*BV136+BW221*BW136+BX221*BX136+BY221*BY136+BZ221*BZ136+CA221*CA136+CB221*CB136+CC221*CC136</f>
        <v>0</v>
      </c>
      <c r="CH136" s="2386">
        <f>E222*E136+F222*F136+G222*G136+H222*H136+I222*I136+J222*J136+K222*K136+L222*L136+M222*M136+N222*N136+O222*O136+P222*P136+Q222*Q136+R222*R136+S222*S136+T222*T136+U222*U136+V222*V136+W222*W136+X222*X136+Y222*Y136+Z222*Z136+AA222*AA136+AB222*AB136+AC222*AC136+AD222*AD136+AE222*AE136+AF222*AF136+AG222*AG136+AH222*AH136+AI222*AI136+AJ222*AJ136+AK222*AK136+AL222*AL136+AM222*AM136+AN222*AN136+AO222*AO136+AP222*AP136+AQ222*AQ136+AR222*AR136+AS222*AS136+AT222*AT136+AU222*AU136+AV222*AV136+AW222*AW136+AX222*AX136+AY222*AY136+AZ222*AZ136+BA222*BA136+BB222*BB136+BC222*BC136+BD222*BD136+BE222*BE136+BF222*BF136+BG222*BG136+BH222*BH136+BI222*BI136+BJ222*BJ136+BK222*BK136+BL222*BL136+BM222*BM136+BN222*BN136+BO222*BO136+BP222*BP136+BQ222*BQ136+BR222*BR136+BS222*BS136+BT222*BT136+BU222*BU136+BV222*BV136+BW222*BW136+BX222*BX136+BY222*BY136+BZ222*BZ136+CA222*CA136+CB222*CB136+CC222*CC136</f>
        <v>0</v>
      </c>
      <c r="CI136" s="2387">
        <f>E223*E136+F223*F136+G223*G136+H223*H136+I223*I136+J223*J136+K223*K136+L223*L136+M223*M136+N223*N136+O223*O136+P223*P136+Q223*Q136+R223*R136+S223*S136+T223*T136+U223*U136+V223*V136+W223*W136+X223*X136+Y223*Y136+Z223*Z136+AA223*AA136+AB223*AB136+AC223*AC136+AD223*AD136+AE223*AE136+AF223*AF136+AG223*AG136+AH223*AH136+AI223*AI136+AJ223*AJ136+AK223*AK136+AL223*AL136+AM223*AM136+AN223*AN136+AO223*AO136+AP223*AP136+AQ223*AQ136+AR223*AR136+AS223*AS136+AT223*AT136+AU223*AU136+AV223*AV136+AW223*AW136+AX223*AX136+AY223*AY136+AZ223*AZ136+BA223*BA136+BB223*BB136+BC223*BC136+BD223*BD136+BE223*BE136+BF223*BF136+BG223*BG136+BH223*BH136+BI223*BI136+BJ223*BJ136+BK223*BK136+BL223*BL136+BM223*BM136+BN223*BN136+BO223*BO136+BP223*BP136+BQ223*BQ136+BR223*BR136+BS223*BS136+BT223*BT136+BU223*BU136+BV223*BV136+BW223*BW136+BX223*BX136+BY223*BY136+BZ223*BZ136+CA223*CA136+CB223*CB136+CC223*CC136</f>
        <v>0</v>
      </c>
      <c r="CJ136" s="2387">
        <f>E224*E136+F224*F136+G224*G136+H224*H136+I224*I136+J224*J136+K224*K136+L224*L136+M224*M136+N224*N136+O224*O136+P224*P136+Q224*Q136+R224*R136+S224*S136+T224*T136+U224*U136+V224*V136+W224*W136+X224*X136+Y224*Y136+Z224*Z136+AA224*AA136+AB224*AB136+AC224*AC136+AD224*AD136+AE224*AE136+AF224*AF136+AG224*AG136+AH224*AH136+AI224*AI136+AJ224*AJ136+AK224*AK136+AL224*AL136+AM224*AM136+AN224*AN136+AO224*AO136+AP224*AP136+AQ224*AQ136+AR224*AR136+AS224*AS136+AT224*AT136+AU224*AU136+AV224*AV136+AW224*AW136+AX224*AX136+AY224*AY136+AZ224*AZ136+BA224*BA136+BB224*BB136+BC224*BC136+BD224*BD136+BE224*BE136+BF224*BF136+BG224*BG136+BH224*BH136+BI224*BI136+BJ224*BJ136+BK224*BK136+BL224*BL136+BM224*BM136+BN224*BN136+BO224*BO136+BP224*BP136+BQ224*BQ136+BR224*BR136+BS224*BS136+BT224*BT136+BU224*BU136+BV224*BV136+BW224*BW136+BX224*BX136+BY224*BY136+BZ224*BZ136+CA224*CA136+CB224*CB136+CC224*CC136</f>
        <v>0</v>
      </c>
      <c r="CK136" s="2387">
        <f>E225*E136+F225*F136+G225*G136+H225*H136+I225*I136+J225*J136+K225*K136+L225*L136+M225*M136+N225*N136+O225*O136+P225*P136+Q225*Q136+R225*R136+S225*S136+T225*T136+U225*U136+V225*V136+W225*W136+X225*X136+Y225*Y136+Z225*Z136+AA225*AA136+AB225*AB136+AC225*AC136+AD225*AD136+AE225*AE136+AF225*AF136+AG225*AG136+AH225*AH136+AI225*AI136+AJ225*AJ136+AK225*AK136+AL225*AL136+AM225*AM136+AN225*AN136+AO225*AO136+AP225*AP136+AQ225*AQ136+AR225*AR136+AS225*AS136+AT225*AT136+AU225*AU136+AV225*AV136+AW225*AW136+AX225*AX136+AY225*AY136+AZ225*AZ136+BA225*BA136+BB225*BB136+BC225*BC136+BD225*BD136+BE225*BE136+BF225*BF136+BG225*BG136+BH225*BH136+BI225*BI136+BJ225*BJ136+BK225*BK136+BL225*BL136+BM225*BM136+BN225*BN136+BO225*BO136+BP225*BP136+BQ225*BQ136+BR225*BR136+BS225*BS136+BT225*BT136+BU225*BU136+BV225*BV136+BW225*BW136+BX225*BX136+BY225*BY136+BZ225*BZ136+CA225*CA136+CB225*CB136+CC225*CC136</f>
        <v>0</v>
      </c>
      <c r="CL136" s="2387">
        <f>E226*E136+F226*F136+G226*G136+H226*H136+I226*I136+J226*J136+K226*K136+L226*L136+M226*M136+N226*N136+O226*O136+P226*P136+Q226*Q136+R226*R136+S226*S136+T226*T136+U226*U136+V226*V136+W226*W136+X226*X136+Y226*Y136+Z226*Z136+AA226*AA136+AB226*AB136+AC226*AC136+AD226*AD136+AE226*AE136+AF226*AF136+AG226*AG136+AH226*AH136+AI226*AI136+AJ226*AJ136+AK226*AK136+AL226*AL136+AM226*AM136+AN226*AN136+AO226*AO136+AP226*AP136+AQ226*AQ136+AR226*AR136+AS226*AS136+AT226*AT136+AU226*AU136+AV226*AV136+AW226*AW136+AX226*AX136+AY226*AY136+AZ226*AZ136+BA226*BA136+BB226*BB136+BC226*BC136+BD226*BD136+BE226*BE136+BF226*BF136+BG226*BG136+BH226*BH136+BI226*BI136+BJ226*BJ136+BK226*BK136+BL226*BL136+BM226*BM136+BN226*BN136+BO226*BO136+BP226*BP136+BQ226*BQ136+BR226*BR136+BS226*BS136+BT226*BT136+BU226*BU136+BV226*BV136+BW226*BW136+BX226*BX136+BY226*BY136+BZ226*BZ136+CA226*CA136+CB226*CB136+CC226*CC136</f>
        <v>0</v>
      </c>
      <c r="CM136" s="2387">
        <f>E227*E136+F227*F136+G227*G136+H227*H136+I227*I136+J227*J136+K227*K136+L227*L136+M227*M136+N227*N136+O227*O136+P227*P136+Q227*Q136+R227*R136+S227*S136+T227*T136+U227*U136+V227*V136+W227*W136+X227*X136+Y227*Y136+Z227*Z136+AA227*AA136+AB227*AB136+AC227*AC136+AD227*AD136+AE227*AE136+AF227*AF136+AG227*AG136+AH227*AH136+AI227*AI136+AJ227*AJ136+AK227*AK136+AL227*AL136+AM227*AM136+AN227*AN136+AO227*AO136+AP227*AP136+AQ227*AQ136+AR227*AR136+AS227*AS136+AT227*AT136+AU227*AU136+AV227*AV136+AW227*AW136+AX227*AX136+AY227*AY136+AZ227*AZ136+BA227*BA136+BB227*BB136+BC227*BC136+BD227*BD136+BE227*BE136+BF227*BF136+BG227*BG136+BH227*BH136+BI227*BI136+BJ227*BJ136+BK227*BK136+BL227*BL136+BM227*BM136+BN227*BN136+BO227*BO136+BP227*BP136+BQ227*BQ136+BR227*BR136+BS227*BS136+BT227*BT136+BU227*BU136+BV227*BV136+BW227*BW136+BX227*BX136+BY227*BY136+BZ227*BZ136+CA227*CA136+CB227*CB136+CC227*CC136</f>
        <v>0</v>
      </c>
      <c r="CN136" s="2387">
        <f>E228*E136+F228*F136+G228*G136+H228*H136+I228*I136+J228*J136+K228*K136+L228*L136+M228*M136+N228*N136+O228*O136+P228*P136+Q228*Q136+R228*R136+S228*S136+T228*T136+U228*U136+V228*V136+W228*W136+X228*X136+Y228*Y136+Z228*Z136+AA228*AA136+AB228*AB136+AC228*AC136+AD228*AD136+AE228*AE136+AF228*AF136+AG228*AG136+AH228*AH136+AI228*AI136+AJ228*AJ136+AK228*AK136+AL228*AL136+AM228*AM136+AN228*AN136+AO228*AO136+AP228*AP136+AQ228*AQ136+AR228*AR136+AS228*AS136+AT228*AT136+AU228*AU136+AV228*AV136+AW228*AW136+AX228*AX136+AY228*AY136+AZ228*AZ136+BA228*BA136+BB228*BB136+BC228*BC136+BD228*BD136+BE228*BE136+BF228*BF136+BG228*BG136+BH228*BH136+BI228*BI136+BJ228*BJ136+BK228*BK136+BL228*BL136+BM228*BM136+BN228*BN136+BO228*BO136+BP228*BP136+BQ228*BQ136+BR228*BR136+BS228*BS136+BT228*BT136+BU228*BU136+BV228*BV136+BW228*BW136+BX228*BX136+BY228*BY136+BZ228*BZ136+CA228*CA136+CB228*CB136+CC228*CC136</f>
        <v>0</v>
      </c>
      <c r="CO136" s="2387">
        <f>E229*E136+F229*F136+G229*G136+H229*H136+I229*I136+J229*J136+K229*K136+L229*L136+M229*M136+N229*N136+O229*O136+P229*P136+Q229*Q136+R229*R136+S229*S136+T229*T136+U229*U136+V229*V136+W229*W136+X229*X136+Y229*Y136+Z229*Z136+AA229*AA136+AB229*AB136+AC229*AC136+AD229*AD136+AE229*AE136+AF229*AF136+AG229*AG136+AH229*AH136+AI229*AI136+AJ229*AJ136+AK229*AK136+AL229*AL136+AM229*AM136+AN229*AN136+AO229*AO136+AP229*AP136+AQ229*AQ136+AR229*AR136+AS229*AS136+AT229*AT136+AU229*AU136+AV229*AV136+AW229*AW136+AX229*AX136+AY229*AY136+AZ229*AZ136+BA229*BA136+BB229*BB136+BC229*BC136+BD229*BD136+BE229*BE136+BF229*BF136+BG229*BG136+BH229*BH136+BI229*BI136+BJ229*BJ136+BK229*BK136+BL229*BL136+BM229*BM136+BN229*BN136+BO229*BO136+BP229*BP136+BQ229*BQ136+BR229*BR136+BS229*BS136+BT229*BT136+BU229*BU136+BV229*BV136+BW229*BW136+BX229*BX136+BY229*BY136+BZ229*BZ136+CA229*CA136+CB229*CB136+CC229*CC136</f>
        <v>0</v>
      </c>
      <c r="CP136" s="2387">
        <f>E230*E136+F230*F136+G230*G136+H230*H136+I230*I136+J230*J136+K230*K136+L230*L136+M230*M136+N230*N136+O230*O136+P230*P136+Q230*Q136+R230*R136+S230*S136+T230*T136+U230*U136+V230*V136+W230*W136+X230*X136+Y230*Y136+Z230*Z136+AA230*AA136+AB230*AB136+AC230*AC136+AD230*AD136+AE230*AE136+AF230*AF136+AG230*AG136+AH230*AH136+AI230*AI136+AJ230*AJ136+AK230*AK136+AL230*AL136+AM230*AM136+AN230*AN136+AO230*AO136+AP230*AP136+AQ230*AQ136+AR230*AR136+AS230*AS136+AT230*AT136+AU230*AU136+AV230*AV136+AW230*AW136+AX230*AX136+AY230*AY136+AZ230*AZ136+BA230*BA136+BB230*BB136+BC230*BC136+BD230*BD136+BE230*BE136+BF230*BF136+BG230*BG136+BH230*BH136+BI230*BI136+BJ230*BJ136+BK230*BK136+BL230*BL136+BM230*BM136+BN230*BN136+BO230*BO136+BP230*BP136+BQ230*BQ136+BR230*BR136+BS230*BS136+BT230*BT136+BU230*BU136+BV230*BV136+BW230*BW136+BX230*BX136+BY230*BY136+BZ230*BZ136+CA230*CA136+CB230*CB136+CC230*CC136</f>
        <v>0</v>
      </c>
    </row>
    <row r="137" spans="2:94" ht="18" x14ac:dyDescent="0.25">
      <c r="B137" s="1585">
        <v>18</v>
      </c>
      <c r="C137" s="628" t="s">
        <v>240</v>
      </c>
      <c r="D137" s="629" t="s">
        <v>4420</v>
      </c>
      <c r="E137" s="974">
        <f>0</f>
        <v>0</v>
      </c>
      <c r="F137" s="974">
        <f>0</f>
        <v>0</v>
      </c>
      <c r="G137" s="974">
        <f>0</f>
        <v>0</v>
      </c>
      <c r="H137" s="974">
        <f>0</f>
        <v>0</v>
      </c>
      <c r="I137" s="974">
        <f>0</f>
        <v>0</v>
      </c>
      <c r="J137" s="974">
        <f>0</f>
        <v>0</v>
      </c>
      <c r="K137" s="974">
        <f>0</f>
        <v>0</v>
      </c>
      <c r="L137" s="974">
        <f>0</f>
        <v>0</v>
      </c>
      <c r="M137" s="1417">
        <f>-(X_PHA/X_STC)/Y_CASTO_STC_anox</f>
        <v>-1.680672268907563</v>
      </c>
      <c r="N137" s="1417">
        <f>-(X_GLY/X_STC)/Y_CASTO_STC_anox</f>
        <v>-0.25210084033613445</v>
      </c>
      <c r="O137" s="974">
        <f>0</f>
        <v>0</v>
      </c>
      <c r="P137" s="974">
        <f>0</f>
        <v>0</v>
      </c>
      <c r="Q137" s="974">
        <f>0</f>
        <v>0</v>
      </c>
      <c r="R137" s="974">
        <f>1</f>
        <v>1</v>
      </c>
      <c r="S137" s="974">
        <f>0</f>
        <v>0</v>
      </c>
      <c r="T137" s="974">
        <f>0</f>
        <v>0</v>
      </c>
      <c r="U137" s="974">
        <f>0</f>
        <v>0</v>
      </c>
      <c r="V137" s="974">
        <f>0</f>
        <v>0</v>
      </c>
      <c r="W137" s="974">
        <f>0</f>
        <v>0</v>
      </c>
      <c r="X137" s="974">
        <f>0</f>
        <v>0</v>
      </c>
      <c r="Y137" s="974">
        <f>-i_N_BIO</f>
        <v>-7.0000000000000007E-2</v>
      </c>
      <c r="Z137" s="975">
        <f>(1-Y_CASTO_STC_anox)/(E_EQNO2_NO3*Y_CASTO_STC_anox)</f>
        <v>0.81659769174117147</v>
      </c>
      <c r="AA137" s="975">
        <f>-(1-Y_CASTO_STC_anox)/(E_EQNO2_NO3*Y_CASTO_STC_anox)</f>
        <v>-0.81659769174117147</v>
      </c>
      <c r="AB137" s="975">
        <f>0</f>
        <v>0</v>
      </c>
      <c r="AC137" s="974">
        <f>0</f>
        <v>0</v>
      </c>
      <c r="AD137" s="974">
        <f>0</f>
        <v>0</v>
      </c>
      <c r="AE137" s="974">
        <f>0</f>
        <v>0</v>
      </c>
      <c r="AF137" s="1078">
        <f>-i_P_BIO</f>
        <v>-0.02</v>
      </c>
      <c r="AG137" s="974">
        <f>0</f>
        <v>0</v>
      </c>
      <c r="AH137" s="974">
        <f>0</f>
        <v>0</v>
      </c>
      <c r="AI137" s="974">
        <f>0</f>
        <v>0</v>
      </c>
      <c r="AJ137" s="974">
        <f>0</f>
        <v>0</v>
      </c>
      <c r="AK137" s="974">
        <f>0</f>
        <v>0</v>
      </c>
      <c r="AL137" s="974">
        <f>0</f>
        <v>0</v>
      </c>
      <c r="AM137" s="974">
        <f>0</f>
        <v>0</v>
      </c>
      <c r="AN137" s="1417">
        <f>(i_CIT_STC/Y_CASTO_STC_anox)-i_CIT_BIO</f>
        <v>0.30220168067226894</v>
      </c>
      <c r="AO137" s="1003">
        <f>i_INORG</f>
        <v>0.11</v>
      </c>
      <c r="AP137" s="1417">
        <f>-i_INORG*(1-i_Ca_INORG*(A_MCa+2*A_MCl)/A_MCa-i_Mg_INORG*(A_MMg+2*A_MCl)/A_MMg)*f_Na</f>
        <v>-2.8804303582798466E-2</v>
      </c>
      <c r="AQ137" s="1417">
        <f>-i_INORG*(i_Ca_INORG*(2*A_MCl)/A_MCa+i_Mg_INORG*(2*A_MCl)/A_MMg)-i_INORG*(1-i_Ca_INORG*(A_MCa+2*A_MCl)/A_MCa-i_Mg_INORG*(A_MMg+2*A_MCl)/A_MMg)*(1-f_Na)</f>
        <v>-7.0195696417201539E-2</v>
      </c>
      <c r="AR137" s="1417">
        <f>-i_INORG*i_Ca_INORG</f>
        <v>-5.5000000000000005E-3</v>
      </c>
      <c r="AS137" s="1417">
        <f>-i_INORG*i_Mg_INORG</f>
        <v>-5.5000000000000005E-3</v>
      </c>
      <c r="AT137" s="1417">
        <f>0</f>
        <v>0</v>
      </c>
      <c r="AU137" s="975">
        <f>0</f>
        <v>0</v>
      </c>
      <c r="AV137" s="975">
        <f>0</f>
        <v>0</v>
      </c>
      <c r="AW137" s="975">
        <f>0</f>
        <v>0</v>
      </c>
      <c r="AX137" s="975">
        <f>0</f>
        <v>0</v>
      </c>
      <c r="AY137" s="975">
        <f>0</f>
        <v>0</v>
      </c>
      <c r="AZ137" s="975">
        <f>0</f>
        <v>0</v>
      </c>
      <c r="BA137" s="975">
        <f>0</f>
        <v>0</v>
      </c>
      <c r="BB137" s="975">
        <f>0</f>
        <v>0</v>
      </c>
      <c r="BC137" s="975">
        <f>0</f>
        <v>0</v>
      </c>
      <c r="BD137" s="975">
        <f>0</f>
        <v>0</v>
      </c>
      <c r="BE137" s="975">
        <f>0</f>
        <v>0</v>
      </c>
      <c r="BF137" s="975">
        <f>0</f>
        <v>0</v>
      </c>
      <c r="BG137" s="975">
        <f>0</f>
        <v>0</v>
      </c>
      <c r="BH137" s="975">
        <f>0</f>
        <v>0</v>
      </c>
      <c r="BI137" s="975">
        <f>0</f>
        <v>0</v>
      </c>
      <c r="BJ137" s="975">
        <f>0</f>
        <v>0</v>
      </c>
      <c r="BK137" s="975">
        <f>0</f>
        <v>0</v>
      </c>
      <c r="BL137" s="1078">
        <f>0</f>
        <v>0</v>
      </c>
      <c r="BM137" s="975">
        <f>0</f>
        <v>0</v>
      </c>
      <c r="BN137" s="975">
        <f>0</f>
        <v>0</v>
      </c>
      <c r="BO137" s="975">
        <f>0</f>
        <v>0</v>
      </c>
      <c r="BP137" s="1417">
        <f>0</f>
        <v>0</v>
      </c>
      <c r="BQ137" s="2366">
        <f>0</f>
        <v>0</v>
      </c>
      <c r="BR137" s="975">
        <f>0</f>
        <v>0</v>
      </c>
      <c r="BS137" s="975">
        <f>0</f>
        <v>0</v>
      </c>
      <c r="BT137" s="975">
        <f>0</f>
        <v>0</v>
      </c>
      <c r="BU137" s="975">
        <f>0</f>
        <v>0</v>
      </c>
      <c r="BV137" s="975">
        <f>0</f>
        <v>0</v>
      </c>
      <c r="BW137" s="975">
        <f>0</f>
        <v>0</v>
      </c>
      <c r="BX137" s="975">
        <f>0</f>
        <v>0</v>
      </c>
      <c r="BY137" s="975">
        <f>0</f>
        <v>0</v>
      </c>
      <c r="BZ137" s="975">
        <f>0</f>
        <v>0</v>
      </c>
      <c r="CA137" s="975">
        <f>0</f>
        <v>0</v>
      </c>
      <c r="CB137" s="975">
        <f>0</f>
        <v>0</v>
      </c>
      <c r="CC137" s="975">
        <f>0</f>
        <v>0</v>
      </c>
      <c r="CD137" s="1652">
        <f>µ_CASTO_T*X_CASTO*η_CASTO_anox*M_RsatXSTC_XCASTO_KSTC*M_satSNO3_KNO3_CASTO*M_inhSO2_KO2_CASTO*M_inhSNO2_KNO2_CASTO*M_satSNHx_KNHx_BIO*M_satSPO4_KPO4_BIO*M_satSCAT_KCAT*M_satSAN_KAN*M_satSCa_KCa_PAO*M_satSMg_KMg_PAO*B_ellinhpH</f>
        <v>0.81835950903928945</v>
      </c>
      <c r="CF137" s="2385">
        <f>E220*E137+F220*F137+G220*G137+H220*H137+I220*I137+J220*J137+K220*K137+L220*L137+M220*M137+N220*N137+O220*O137+P220*P137+Q220*Q137+R220*R137+S220*S137+T220*T137+U220*U137+V220*V137+W220*W137+X220*X137+Y220*Y137+Z220*Z137+AA220*AA137+AB220*AB137+AC220*AC137+AD220*AD137+AE220*AE137+AF220*AF137+AG220*AG137+AH220*AH137+AI220*AI137+AJ220*AJ137+AK220*AK137+AL220*AL137+AM220*AM137+AN220*AN137+AO220*AO137+AP220*AP137+AQ220*AQ137+AR220*AR137+AS220*AS137+AT220*AT137+AU220*AU137+AV220*AV137+AW220*AW137+AX220*AX137+AY220*AY137+AZ220*AZ137+BA220*BA137+BB220*BB137+BC220*BC137+BD220*BD137+BE220*BE137+BF220*BF137+BG220*BG137+BH220*BH137+BI220*BI137+BJ220*BJ137+BK220*BK137+BL220*BL137+BM220*BM137+BN220*BN137+BO220*BO137+BP220*BP137+BQ220*BQ137+BR220*BR137+BS220*BS137+BT220*BT137+BU220*BU137+BV220*BV137+BW220*BW137+BX220*BX137+BY220*BY137+BZ220*BZ137+CA220*CA137+CB220*CB137+CC220*CC137</f>
        <v>0</v>
      </c>
      <c r="CG137" s="2385">
        <f>E221*E137+F221*F137+G221*G137+H221*H137+I221*I137+J221*J137+K221*K137+L221*L137+M221*M137+N221*N137+O221*O137+P221*P137+Q221*Q137+R221*R137+S221*S137+T221*T137+U221*U137+V221*V137+W221*W137+X221*X137+Y221*Y137+Z221*Z137+AA221*AA137+AB221*AB137+AC221*AC137+AD221*AD137+AE221*AE137+AF221*AF137+AG221*AG137+AH221*AH137+AI221*AI137+AJ221*AJ137+AK221*AK137+AL221*AL137+AM221*AM137+AN221*AN137+AO221*AO137+AP221*AP137+AQ221*AQ137+AR221*AR137+AS221*AS137+AT221*AT137+AU221*AU137+AV221*AV137+AW221*AW137+AX221*AX137+AY221*AY137+AZ221*AZ137+BA221*BA137+BB221*BB137+BC221*BC137+BD221*BD137+BE221*BE137+BF221*BF137+BG221*BG137+BH221*BH137+BI221*BI137+BJ221*BJ137+BK221*BK137+BL221*BL137+BM221*BM137+BN221*BN137+BO221*BO137+BP221*BP137+BQ221*BQ137+BR221*BR137+BS221*BS137+BT221*BT137+BU221*BU137+BV221*BV137+BW221*BW137+BX221*BX137+BY221*BY137+BZ221*BZ137+CA221*CA137+CB221*CB137+CC221*CC137</f>
        <v>0</v>
      </c>
      <c r="CH137" s="2386">
        <f>E222*E137+F222*F137+G222*G137+H222*H137+I222*I137+J222*J137+K222*K137+L222*L137+M222*M137+N222*N137+O222*O137+P222*P137+Q222*Q137+R222*R137+S222*S137+T222*T137+U222*U137+V222*V137+W222*W137+X222*X137+Y222*Y137+Z222*Z137+AA222*AA137+AB222*AB137+AC222*AC137+AD222*AD137+AE222*AE137+AF222*AF137+AG222*AG137+AH222*AH137+AI222*AI137+AJ222*AJ137+AK222*AK137+AL222*AL137+AM222*AM137+AN222*AN137+AO222*AO137+AP222*AP137+AQ222*AQ137+AR222*AR137+AS222*AS137+AT222*AT137+AU222*AU137+AV222*AV137+AW222*AW137+AX222*AX137+AY222*AY137+AZ222*AZ137+BA222*BA137+BB222*BB137+BC222*BC137+BD222*BD137+BE222*BE137+BF222*BF137+BG222*BG137+BH222*BH137+BI222*BI137+BJ222*BJ137+BK222*BK137+BL222*BL137+BM222*BM137+BN222*BN137+BO222*BO137+BP222*BP137+BQ222*BQ137+BR222*BR137+BS222*BS137+BT222*BT137+BU222*BU137+BV222*BV137+BW222*BW137+BX222*BX137+BY222*BY137+BZ222*BZ137+CA222*CA137+CB222*CB137+CC222*CC137</f>
        <v>0</v>
      </c>
      <c r="CI137" s="2387">
        <f>E223*E137+F223*F137+G223*G137+H223*H137+I223*I137+J223*J137+K223*K137+L223*L137+M223*M137+N223*N137+O223*O137+P223*P137+Q223*Q137+R223*R137+S223*S137+T223*T137+U223*U137+V223*V137+W223*W137+X223*X137+Y223*Y137+Z223*Z137+AA223*AA137+AB223*AB137+AC223*AC137+AD223*AD137+AE223*AE137+AF223*AF137+AG223*AG137+AH223*AH137+AI223*AI137+AJ223*AJ137+AK223*AK137+AL223*AL137+AM223*AM137+AN223*AN137+AO223*AO137+AP223*AP137+AQ223*AQ137+AR223*AR137+AS223*AS137+AT223*AT137+AU223*AU137+AV223*AV137+AW223*AW137+AX223*AX137+AY223*AY137+AZ223*AZ137+BA223*BA137+BB223*BB137+BC223*BC137+BD223*BD137+BE223*BE137+BF223*BF137+BG223*BG137+BH223*BH137+BI223*BI137+BJ223*BJ137+BK223*BK137+BL223*BL137+BM223*BM137+BN223*BN137+BO223*BO137+BP223*BP137+BQ223*BQ137+BR223*BR137+BS223*BS137+BT223*BT137+BU223*BU137+BV223*BV137+BW223*BW137+BX223*BX137+BY223*BY137+BZ223*BZ137+CA223*CA137+CB223*CB137+CC223*CC137</f>
        <v>0</v>
      </c>
      <c r="CJ137" s="2387">
        <f>E224*E137+F224*F137+G224*G137+H224*H137+I224*I137+J224*J137+K224*K137+L224*L137+M224*M137+N224*N137+O224*O137+P224*P137+Q224*Q137+R224*R137+S224*S137+T224*T137+U224*U137+V224*V137+W224*W137+X224*X137+Y224*Y137+Z224*Z137+AA224*AA137+AB224*AB137+AC224*AC137+AD224*AD137+AE224*AE137+AF224*AF137+AG224*AG137+AH224*AH137+AI224*AI137+AJ224*AJ137+AK224*AK137+AL224*AL137+AM224*AM137+AN224*AN137+AO224*AO137+AP224*AP137+AQ224*AQ137+AR224*AR137+AS224*AS137+AT224*AT137+AU224*AU137+AV224*AV137+AW224*AW137+AX224*AX137+AY224*AY137+AZ224*AZ137+BA224*BA137+BB224*BB137+BC224*BC137+BD224*BD137+BE224*BE137+BF224*BF137+BG224*BG137+BH224*BH137+BI224*BI137+BJ224*BJ137+BK224*BK137+BL224*BL137+BM224*BM137+BN224*BN137+BO224*BO137+BP224*BP137+BQ224*BQ137+BR224*BR137+BS224*BS137+BT224*BT137+BU224*BU137+BV224*BV137+BW224*BW137+BX224*BX137+BY224*BY137+BZ224*BZ137+CA224*CA137+CB224*CB137+CC224*CC137</f>
        <v>0</v>
      </c>
      <c r="CK137" s="2387">
        <f>E225*E137+F225*F137+G225*G137+H225*H137+I225*I137+J225*J137+K225*K137+L225*L137+M225*M137+N225*N137+O225*O137+P225*P137+Q225*Q137+R225*R137+S225*S137+T225*T137+U225*U137+V225*V137+W225*W137+X225*X137+Y225*Y137+Z225*Z137+AA225*AA137+AB225*AB137+AC225*AC137+AD225*AD137+AE225*AE137+AF225*AF137+AG225*AG137+AH225*AH137+AI225*AI137+AJ225*AJ137+AK225*AK137+AL225*AL137+AM225*AM137+AN225*AN137+AO225*AO137+AP225*AP137+AQ225*AQ137+AR225*AR137+AS225*AS137+AT225*AT137+AU225*AU137+AV225*AV137+AW225*AW137+AX225*AX137+AY225*AY137+AZ225*AZ137+BA225*BA137+BB225*BB137+BC225*BC137+BD225*BD137+BE225*BE137+BF225*BF137+BG225*BG137+BH225*BH137+BI225*BI137+BJ225*BJ137+BK225*BK137+BL225*BL137+BM225*BM137+BN225*BN137+BO225*BO137+BP225*BP137+BQ225*BQ137+BR225*BR137+BS225*BS137+BT225*BT137+BU225*BU137+BV225*BV137+BW225*BW137+BX225*BX137+BY225*BY137+BZ225*BZ137+CA225*CA137+CB225*CB137+CC225*CC137</f>
        <v>0</v>
      </c>
      <c r="CL137" s="2387">
        <f>E226*E137+F226*F137+G226*G137+H226*H137+I226*I137+J226*J137+K226*K137+L226*L137+M226*M137+N226*N137+O226*O137+P226*P137+Q226*Q137+R226*R137+S226*S137+T226*T137+U226*U137+V226*V137+W226*W137+X226*X137+Y226*Y137+Z226*Z137+AA226*AA137+AB226*AB137+AC226*AC137+AD226*AD137+AE226*AE137+AF226*AF137+AG226*AG137+AH226*AH137+AI226*AI137+AJ226*AJ137+AK226*AK137+AL226*AL137+AM226*AM137+AN226*AN137+AO226*AO137+AP226*AP137+AQ226*AQ137+AR226*AR137+AS226*AS137+AT226*AT137+AU226*AU137+AV226*AV137+AW226*AW137+AX226*AX137+AY226*AY137+AZ226*AZ137+BA226*BA137+BB226*BB137+BC226*BC137+BD226*BD137+BE226*BE137+BF226*BF137+BG226*BG137+BH226*BH137+BI226*BI137+BJ226*BJ137+BK226*BK137+BL226*BL137+BM226*BM137+BN226*BN137+BO226*BO137+BP226*BP137+BQ226*BQ137+BR226*BR137+BS226*BS137+BT226*BT137+BU226*BU137+BV226*BV137+BW226*BW137+BX226*BX137+BY226*BY137+BZ226*BZ137+CA226*CA137+CB226*CB137+CC226*CC137</f>
        <v>0</v>
      </c>
      <c r="CM137" s="2387">
        <f>E227*E137+F227*F137+G227*G137+H227*H137+I227*I137+J227*J137+K227*K137+L227*L137+M227*M137+N227*N137+O227*O137+P227*P137+Q227*Q137+R227*R137+S227*S137+T227*T137+U227*U137+V227*V137+W227*W137+X227*X137+Y227*Y137+Z227*Z137+AA227*AA137+AB227*AB137+AC227*AC137+AD227*AD137+AE227*AE137+AF227*AF137+AG227*AG137+AH227*AH137+AI227*AI137+AJ227*AJ137+AK227*AK137+AL227*AL137+AM227*AM137+AN227*AN137+AO227*AO137+AP227*AP137+AQ227*AQ137+AR227*AR137+AS227*AS137+AT227*AT137+AU227*AU137+AV227*AV137+AW227*AW137+AX227*AX137+AY227*AY137+AZ227*AZ137+BA227*BA137+BB227*BB137+BC227*BC137+BD227*BD137+BE227*BE137+BF227*BF137+BG227*BG137+BH227*BH137+BI227*BI137+BJ227*BJ137+BK227*BK137+BL227*BL137+BM227*BM137+BN227*BN137+BO227*BO137+BP227*BP137+BQ227*BQ137+BR227*BR137+BS227*BS137+BT227*BT137+BU227*BU137+BV227*BV137+BW227*BW137+BX227*BX137+BY227*BY137+BZ227*BZ137+CA227*CA137+CB227*CB137+CC227*CC137</f>
        <v>0</v>
      </c>
      <c r="CN137" s="2387">
        <f>E228*E137+F228*F137+G228*G137+H228*H137+I228*I137+J228*J137+K228*K137+L228*L137+M228*M137+N228*N137+O228*O137+P228*P137+Q228*Q137+R228*R137+S228*S137+T228*T137+U228*U137+V228*V137+W228*W137+X228*X137+Y228*Y137+Z228*Z137+AA228*AA137+AB228*AB137+AC228*AC137+AD228*AD137+AE228*AE137+AF228*AF137+AG228*AG137+AH228*AH137+AI228*AI137+AJ228*AJ137+AK228*AK137+AL228*AL137+AM228*AM137+AN228*AN137+AO228*AO137+AP228*AP137+AQ228*AQ137+AR228*AR137+AS228*AS137+AT228*AT137+AU228*AU137+AV228*AV137+AW228*AW137+AX228*AX137+AY228*AY137+AZ228*AZ137+BA228*BA137+BB228*BB137+BC228*BC137+BD228*BD137+BE228*BE137+BF228*BF137+BG228*BG137+BH228*BH137+BI228*BI137+BJ228*BJ137+BK228*BK137+BL228*BL137+BM228*BM137+BN228*BN137+BO228*BO137+BP228*BP137+BQ228*BQ137+BR228*BR137+BS228*BS137+BT228*BT137+BU228*BU137+BV228*BV137+BW228*BW137+BX228*BX137+BY228*BY137+BZ228*BZ137+CA228*CA137+CB228*CB137+CC228*CC137</f>
        <v>0</v>
      </c>
      <c r="CO137" s="2387">
        <f>E229*E137+F229*F137+G229*G137+H229*H137+I229*I137+J229*J137+K229*K137+L229*L137+M229*M137+N229*N137+O229*O137+P229*P137+Q229*Q137+R229*R137+S229*S137+T229*T137+U229*U137+V229*V137+W229*W137+X229*X137+Y229*Y137+Z229*Z137+AA229*AA137+AB229*AB137+AC229*AC137+AD229*AD137+AE229*AE137+AF229*AF137+AG229*AG137+AH229*AH137+AI229*AI137+AJ229*AJ137+AK229*AK137+AL229*AL137+AM229*AM137+AN229*AN137+AO229*AO137+AP229*AP137+AQ229*AQ137+AR229*AR137+AS229*AS137+AT229*AT137+AU229*AU137+AV229*AV137+AW229*AW137+AX229*AX137+AY229*AY137+AZ229*AZ137+BA229*BA137+BB229*BB137+BC229*BC137+BD229*BD137+BE229*BE137+BF229*BF137+BG229*BG137+BH229*BH137+BI229*BI137+BJ229*BJ137+BK229*BK137+BL229*BL137+BM229*BM137+BN229*BN137+BO229*BO137+BP229*BP137+BQ229*BQ137+BR229*BR137+BS229*BS137+BT229*BT137+BU229*BU137+BV229*BV137+BW229*BW137+BX229*BX137+BY229*BY137+BZ229*BZ137+CA229*CA137+CB229*CB137+CC229*CC137</f>
        <v>0</v>
      </c>
      <c r="CP137" s="2387">
        <f>E230*E137+F230*F137+G230*G137+H230*H137+I230*I137+J230*J137+K230*K137+L230*L137+M230*M137+N230*N137+O230*O137+P230*P137+Q230*Q137+R230*R137+S230*S137+T230*T137+U230*U137+V230*V137+W230*W137+X230*X137+Y230*Y137+Z230*Z137+AA230*AA137+AB230*AB137+AC230*AC137+AD230*AD137+AE230*AE137+AF230*AF137+AG230*AG137+AH230*AH137+AI230*AI137+AJ230*AJ137+AK230*AK137+AL230*AL137+AM230*AM137+AN230*AN137+AO230*AO137+AP230*AP137+AQ230*AQ137+AR230*AR137+AS230*AS137+AT230*AT137+AU230*AU137+AV230*AV137+AW230*AW137+AX230*AX137+AY230*AY137+AZ230*AZ137+BA230*BA137+BB230*BB137+BC230*BC137+BD230*BD137+BE230*BE137+BF230*BF137+BG230*BG137+BH230*BH137+BI230*BI137+BJ230*BJ137+BK230*BK137+BL230*BL137+BM230*BM137+BN230*BN137+BO230*BO137+BP230*BP137+BQ230*BQ137+BR230*BR137+BS230*BS137+BT230*BT137+BU230*BU137+BV230*BV137+BW230*BW137+BX230*BX137+BY230*BY137+BZ230*BZ137+CA230*CA137+CB230*CB137+CC230*CC137</f>
        <v>0</v>
      </c>
    </row>
    <row r="138" spans="2:94" ht="18" x14ac:dyDescent="0.25">
      <c r="B138" s="1585">
        <v>19</v>
      </c>
      <c r="C138" s="1070" t="s">
        <v>241</v>
      </c>
      <c r="D138" s="1071" t="s">
        <v>4423</v>
      </c>
      <c r="E138" s="1479">
        <f>0</f>
        <v>0</v>
      </c>
      <c r="F138" s="1479">
        <f>0</f>
        <v>0</v>
      </c>
      <c r="G138" s="1479">
        <f>0</f>
        <v>0</v>
      </c>
      <c r="H138" s="1479">
        <f>0</f>
        <v>0</v>
      </c>
      <c r="I138" s="1479">
        <f>0</f>
        <v>0</v>
      </c>
      <c r="J138" s="1479">
        <f>0</f>
        <v>0</v>
      </c>
      <c r="K138" s="1479">
        <f>0</f>
        <v>0</v>
      </c>
      <c r="L138" s="1479">
        <f>0</f>
        <v>0</v>
      </c>
      <c r="M138" s="1078">
        <f>0</f>
        <v>0</v>
      </c>
      <c r="N138" s="1078">
        <f>0</f>
        <v>0</v>
      </c>
      <c r="O138" s="1479">
        <f>0</f>
        <v>0</v>
      </c>
      <c r="P138" s="1479">
        <f>0</f>
        <v>0</v>
      </c>
      <c r="Q138" s="1479">
        <f>0</f>
        <v>0</v>
      </c>
      <c r="R138" s="1417">
        <f>-Y_PP_CASTO_ox</f>
        <v>-0.33</v>
      </c>
      <c r="S138" s="1479">
        <f>0</f>
        <v>0</v>
      </c>
      <c r="T138" s="1479">
        <f>0</f>
        <v>0</v>
      </c>
      <c r="U138" s="1479">
        <f>0</f>
        <v>0</v>
      </c>
      <c r="V138" s="1479">
        <f>0</f>
        <v>0</v>
      </c>
      <c r="W138" s="1479">
        <f>0</f>
        <v>0</v>
      </c>
      <c r="X138" s="1479">
        <f>0</f>
        <v>0</v>
      </c>
      <c r="Y138" s="1418">
        <f>i_N_BIO*Y_PP_CASTO_ox</f>
        <v>2.3100000000000002E-2</v>
      </c>
      <c r="Z138" s="1078">
        <f>0</f>
        <v>0</v>
      </c>
      <c r="AA138" s="1078">
        <f>0</f>
        <v>0</v>
      </c>
      <c r="AB138" s="1479">
        <f>0</f>
        <v>0</v>
      </c>
      <c r="AC138" s="1479">
        <f>0</f>
        <v>0</v>
      </c>
      <c r="AD138" s="1479">
        <f>0</f>
        <v>0</v>
      </c>
      <c r="AE138" s="1479">
        <f>0</f>
        <v>0</v>
      </c>
      <c r="AF138" s="1078">
        <f>i_P_BIO*Y_PP_CASTO_ox-1</f>
        <v>-0.99339999999999995</v>
      </c>
      <c r="AG138" s="1479">
        <f>1</f>
        <v>1</v>
      </c>
      <c r="AH138" s="1479">
        <f>0</f>
        <v>0</v>
      </c>
      <c r="AI138" s="1479">
        <f>0</f>
        <v>0</v>
      </c>
      <c r="AJ138" s="1479">
        <f>0</f>
        <v>0</v>
      </c>
      <c r="AK138" s="1417">
        <f>-Y_PP_CASTO_ox</f>
        <v>-0.33</v>
      </c>
      <c r="AL138" s="1479">
        <f>0</f>
        <v>0</v>
      </c>
      <c r="AM138" s="1479">
        <f>0</f>
        <v>0</v>
      </c>
      <c r="AN138" s="1417">
        <f>i_CIT_BIO*Y_PP_CASTO_ox</f>
        <v>0.11616</v>
      </c>
      <c r="AO138" s="1417">
        <f>-i_INORG*Y_PP_CASTO_ox</f>
        <v>-3.6299999999999999E-2</v>
      </c>
      <c r="AP138" s="1078">
        <f>Y_PP_CASTO_ox*i_INORG*(1-i_Ca_INORG*(A_MCa+2*A_MCl)/A_MCa-i_Mg_INORG*(A_MMg+2*A_MCl)/A_MMg)*f_Na</f>
        <v>9.5054201823234919E-3</v>
      </c>
      <c r="AQ138" s="1078">
        <f>Y_PP_CASTO_ox*(i_INORG*(i_Ca_INORG*(2*A_MCl)/A_MCa+i_Mg_INORG*(2*A_MCl)/A_MMg)+i_INORG*(1-i_Ca_INORG*(A_MCa+2*A_MCl)/A_MCa-i_Mg_INORG*(A_MMg+2*A_MCl)/A_MMg)*(1-f_Na))</f>
        <v>2.3164579817676507E-2</v>
      </c>
      <c r="AR138" s="1078">
        <f>Y_PP_CASTO_ox*i_INORG*i_Ca_INORG-i_Ca_PP*A_MCa/A_MP</f>
        <v>-0.12757838702613272</v>
      </c>
      <c r="AS138" s="1078">
        <f>Y_PP_CASTO_ox*i_INORG*i_Mg_INORG-i_Mg_PP*A_MMg/A_MP</f>
        <v>-0.27282874347136937</v>
      </c>
      <c r="AT138" s="1078">
        <f>-i_K_PP*A_MK/A_MP</f>
        <v>-0.12623038734377579</v>
      </c>
      <c r="AU138" s="1078">
        <f>0</f>
        <v>0</v>
      </c>
      <c r="AV138" s="1078">
        <f>0</f>
        <v>0</v>
      </c>
      <c r="AW138" s="1078">
        <f>0</f>
        <v>0</v>
      </c>
      <c r="AX138" s="1078">
        <f>0</f>
        <v>0</v>
      </c>
      <c r="AY138" s="1078">
        <f>0</f>
        <v>0</v>
      </c>
      <c r="AZ138" s="1078">
        <f>0</f>
        <v>0</v>
      </c>
      <c r="BA138" s="1078">
        <f>0</f>
        <v>0</v>
      </c>
      <c r="BB138" s="1078">
        <f>0</f>
        <v>0</v>
      </c>
      <c r="BC138" s="1078">
        <f>0</f>
        <v>0</v>
      </c>
      <c r="BD138" s="1078">
        <f>0</f>
        <v>0</v>
      </c>
      <c r="BE138" s="1078">
        <f>0</f>
        <v>0</v>
      </c>
      <c r="BF138" s="1078">
        <f>0</f>
        <v>0</v>
      </c>
      <c r="BG138" s="1078">
        <f>0</f>
        <v>0</v>
      </c>
      <c r="BH138" s="1078">
        <f>0</f>
        <v>0</v>
      </c>
      <c r="BI138" s="1078">
        <f>0</f>
        <v>0</v>
      </c>
      <c r="BJ138" s="1078">
        <f>0</f>
        <v>0</v>
      </c>
      <c r="BK138" s="1078">
        <f>0</f>
        <v>0</v>
      </c>
      <c r="BL138" s="1078">
        <f>0</f>
        <v>0</v>
      </c>
      <c r="BM138" s="1078">
        <f>0</f>
        <v>0</v>
      </c>
      <c r="BN138" s="1078">
        <f>0</f>
        <v>0</v>
      </c>
      <c r="BO138" s="1078">
        <f>0</f>
        <v>0</v>
      </c>
      <c r="BP138" s="1417">
        <f>0</f>
        <v>0</v>
      </c>
      <c r="BQ138" s="2366">
        <f>0</f>
        <v>0</v>
      </c>
      <c r="BR138" s="1078">
        <f>0</f>
        <v>0</v>
      </c>
      <c r="BS138" s="1078">
        <f>0</f>
        <v>0</v>
      </c>
      <c r="BT138" s="1078">
        <f>0</f>
        <v>0</v>
      </c>
      <c r="BU138" s="1078">
        <f>0</f>
        <v>0</v>
      </c>
      <c r="BV138" s="1078">
        <f>0</f>
        <v>0</v>
      </c>
      <c r="BW138" s="1078">
        <f>0</f>
        <v>0</v>
      </c>
      <c r="BX138" s="1078">
        <f>0</f>
        <v>0</v>
      </c>
      <c r="BY138" s="1078">
        <f>0</f>
        <v>0</v>
      </c>
      <c r="BZ138" s="1078">
        <f>0</f>
        <v>0</v>
      </c>
      <c r="CA138" s="1078">
        <f>0</f>
        <v>0</v>
      </c>
      <c r="CB138" s="1078">
        <f>0</f>
        <v>0</v>
      </c>
      <c r="CC138" s="1078">
        <f>0</f>
        <v>0</v>
      </c>
      <c r="CD138" s="1652">
        <f>q_PAO_PP_T*X_PAO/(X_PP+X_PP_PAO_min)*X_PAO*M_satSO2_KO2_CASTO*L_ogsatSPO4_KPO4_PAO*L_oginhXPP_XPAO_max*M_satSCa_KCa_PAO*M_satSMg_KMg_PAO*M_satSK_KK_PAO*B_ellinhpH</f>
        <v>304.44877528388929</v>
      </c>
      <c r="CF138" s="2385">
        <f>E220*E138+F220*F138+G220*G138+H220*H138+I220*I138+J220*J138+K220*K138+L220*L138+M220*M138+N220*N138+O220*O138+P220*P138+Q220*Q138+R220*R138+S220*S138+T220*T138+U220*U138+V220*V138+W220*W138+X220*X138+Y220*Y138+Z220*Z138+AA220*AA138+AB220*AB138+AC220*AC138+AD220*AD138+AE220*AE138+AF220*AF138+AG220*AG138+AH220*AH138+AI220*AI138+AJ220*AJ138+AK220*AK138+AL220*AL138+AM220*AM138+AN220*AN138+AO220*AO138+AP220*AP138+AQ220*AQ138+AR220*AR138+AS220*AS138+AT220*AT138+AU220*AU138+AV220*AV138+AW220*AW138+AX220*AX138+AY220*AY138+AZ220*AZ138+BA220*BA138+BB220*BB138+BC220*BC138+BD220*BD138+BE220*BE138+BF220*BF138+BG220*BG138+BH220*BH138+BI220*BI138+BJ220*BJ138+BK220*BK138+BL220*BL138+BM220*BM138+BN220*BN138+BO220*BO138+BP220*BP138+BQ220*BQ138+BR220*BR138+BS220*BS138+BT220*BT138+BU220*BU138+BV220*BV138+BW220*BW138+BX220*BX138+BY220*BY138+BZ220*BZ138+CA220*CA138+CB220*CB138+CC220*CC138</f>
        <v>0</v>
      </c>
      <c r="CG138" s="2385">
        <f>E221*E138+F221*F138+G221*G138+H221*H138+I221*I138+J221*J138+K221*K138+L221*L138+M221*M138+N221*N138+O221*O138+P221*P138+Q221*Q138+R221*R138+S221*S138+T221*T138+U221*U138+V221*V138+W221*W138+X221*X138+Y221*Y138+Z221*Z138+AA221*AA138+AB221*AB138+AC221*AC138+AD221*AD138+AE221*AE138+AF221*AF138+AG221*AG138+AH221*AH138+AI221*AI138+AJ221*AJ138+AK221*AK138+AL221*AL138+AM221*AM138+AN221*AN138+AO221*AO138+AP221*AP138+AQ221*AQ138+AR221*AR138+AS221*AS138+AT221*AT138+AU221*AU138+AV221*AV138+AW221*AW138+AX221*AX138+AY221*AY138+AZ221*AZ138+BA221*BA138+BB221*BB138+BC221*BC138+BD221*BD138+BE221*BE138+BF221*BF138+BG221*BG138+BH221*BH138+BI221*BI138+BJ221*BJ138+BK221*BK138+BL221*BL138+BM221*BM138+BN221*BN138+BO221*BO138+BP221*BP138+BQ221*BQ138+BR221*BR138+BS221*BS138+BT221*BT138+BU221*BU138+BV221*BV138+BW221*BW138+BX221*BX138+BY221*BY138+BZ221*BZ138+CA221*CA138+CB221*CB138+CC221*CC138</f>
        <v>0</v>
      </c>
      <c r="CH138" s="2386">
        <f>E222*E138+F222*F138+G222*G138+H222*H138+I222*I138+J222*J138+K222*K138+L222*L138+M222*M138+N222*N138+O222*O138+P222*P138+Q222*Q138+R222*R138+S222*S138+T222*T138+U222*U138+V222*V138+W222*W138+X222*X138+Y222*Y138+Z222*Z138+AA222*AA138+AB222*AB138+AC222*AC138+AD222*AD138+AE222*AE138+AF222*AF138+AG222*AG138+AH222*AH138+AI222*AI138+AJ222*AJ138+AK222*AK138+AL222*AL138+AM222*AM138+AN222*AN138+AO222*AO138+AP222*AP138+AQ222*AQ138+AR222*AR138+AS222*AS138+AT222*AT138+AU222*AU138+AV222*AV138+AW222*AW138+AX222*AX138+AY222*AY138+AZ222*AZ138+BA222*BA138+BB222*BB138+BC222*BC138+BD222*BD138+BE222*BE138+BF222*BF138+BG222*BG138+BH222*BH138+BI222*BI138+BJ222*BJ138+BK222*BK138+BL222*BL138+BM222*BM138+BN222*BN138+BO222*BO138+BP222*BP138+BQ222*BQ138+BR222*BR138+BS222*BS138+BT222*BT138+BU222*BU138+BV222*BV138+BW222*BW138+BX222*BX138+BY222*BY138+BZ222*BZ138+CA222*CA138+CB222*CB138+CC222*CC138</f>
        <v>0</v>
      </c>
      <c r="CI138" s="2387">
        <f>E223*E138+F223*F138+G223*G138+H223*H138+I223*I138+J223*J138+K223*K138+L223*L138+M223*M138+N223*N138+O223*O138+P223*P138+Q223*Q138+R223*R138+S223*S138+T223*T138+U223*U138+V223*V138+W223*W138+X223*X138+Y223*Y138+Z223*Z138+AA223*AA138+AB223*AB138+AC223*AC138+AD223*AD138+AE223*AE138+AF223*AF138+AG223*AG138+AH223*AH138+AI223*AI138+AJ223*AJ138+AK223*AK138+AL223*AL138+AM223*AM138+AN223*AN138+AO223*AO138+AP223*AP138+AQ223*AQ138+AR223*AR138+AS223*AS138+AT223*AT138+AU223*AU138+AV223*AV138+AW223*AW138+AX223*AX138+AY223*AY138+AZ223*AZ138+BA223*BA138+BB223*BB138+BC223*BC138+BD223*BD138+BE223*BE138+BF223*BF138+BG223*BG138+BH223*BH138+BI223*BI138+BJ223*BJ138+BK223*BK138+BL223*BL138+BM223*BM138+BN223*BN138+BO223*BO138+BP223*BP138+BQ223*BQ138+BR223*BR138+BS223*BS138+BT223*BT138+BU223*BU138+BV223*BV138+BW223*BW138+BX223*BX138+BY223*BY138+BZ223*BZ138+CA223*CA138+CB223*CB138+CC223*CC138</f>
        <v>0</v>
      </c>
      <c r="CJ138" s="2387">
        <f>E224*E138+F224*F138+G224*G138+H224*H138+I224*I138+J224*J138+K224*K138+L224*L138+M224*M138+N224*N138+O224*O138+P224*P138+Q224*Q138+R224*R138+S224*S138+T224*T138+U224*U138+V224*V138+W224*W138+X224*X138+Y224*Y138+Z224*Z138+AA224*AA138+AB224*AB138+AC224*AC138+AD224*AD138+AE224*AE138+AF224*AF138+AG224*AG138+AH224*AH138+AI224*AI138+AJ224*AJ138+AK224*AK138+AL224*AL138+AM224*AM138+AN224*AN138+AO224*AO138+AP224*AP138+AQ224*AQ138+AR224*AR138+AS224*AS138+AT224*AT138+AU224*AU138+AV224*AV138+AW224*AW138+AX224*AX138+AY224*AY138+AZ224*AZ138+BA224*BA138+BB224*BB138+BC224*BC138+BD224*BD138+BE224*BE138+BF224*BF138+BG224*BG138+BH224*BH138+BI224*BI138+BJ224*BJ138+BK224*BK138+BL224*BL138+BM224*BM138+BN224*BN138+BO224*BO138+BP224*BP138+BQ224*BQ138+BR224*BR138+BS224*BS138+BT224*BT138+BU224*BU138+BV224*BV138+BW224*BW138+BX224*BX138+BY224*BY138+BZ224*BZ138+CA224*CA138+CB224*CB138+CC224*CC138</f>
        <v>-1.7347234759768071E-18</v>
      </c>
      <c r="CK138" s="2387">
        <f>E225*E138+F225*F138+G225*G138+H225*H138+I225*I138+J225*J138+K225*K138+L225*L138+M225*M138+N225*N138+O225*O138+P225*P138+Q225*Q138+R225*R138+S225*S138+T225*T138+U225*U138+V225*V138+W225*W138+X225*X138+Y225*Y138+Z225*Z138+AA225*AA138+AB225*AB138+AC225*AC138+AD225*AD138+AE225*AE138+AF225*AF138+AG225*AG138+AH225*AH138+AI225*AI138+AJ225*AJ138+AK225*AK138+AL225*AL138+AM225*AM138+AN225*AN138+AO225*AO138+AP225*AP138+AQ225*AQ138+AR225*AR138+AS225*AS138+AT225*AT138+AU225*AU138+AV225*AV138+AW225*AW138+AX225*AX138+AY225*AY138+AZ225*AZ138+BA225*BA138+BB225*BB138+BC225*BC138+BD225*BD138+BE225*BE138+BF225*BF138+BG225*BG138+BH225*BH138+BI225*BI138+BJ225*BJ138+BK225*BK138+BL225*BL138+BM225*BM138+BN225*BN138+BO225*BO138+BP225*BP138+BQ225*BQ138+BR225*BR138+BS225*BS138+BT225*BT138+BU225*BU138+BV225*BV138+BW225*BW138+BX225*BX138+BY225*BY138+BZ225*BZ138+CA225*CA138+CB225*CB138+CC225*CC138</f>
        <v>0</v>
      </c>
      <c r="CL138" s="2387">
        <f>E226*E138+F226*F138+G226*G138+H226*H138+I226*I138+J226*J138+K226*K138+L226*L138+M226*M138+N226*N138+O226*O138+P226*P138+Q226*Q138+R226*R138+S226*S138+T226*T138+U226*U138+V226*V138+W226*W138+X226*X138+Y226*Y138+Z226*Z138+AA226*AA138+AB226*AB138+AC226*AC138+AD226*AD138+AE226*AE138+AF226*AF138+AG226*AG138+AH226*AH138+AI226*AI138+AJ226*AJ138+AK226*AK138+AL226*AL138+AM226*AM138+AN226*AN138+AO226*AO138+AP226*AP138+AQ226*AQ138+AR226*AR138+AS226*AS138+AT226*AT138+AU226*AU138+AV226*AV138+AW226*AW138+AX226*AX138+AY226*AY138+AZ226*AZ138+BA226*BA138+BB226*BB138+BC226*BC138+BD226*BD138+BE226*BE138+BF226*BF138+BG226*BG138+BH226*BH138+BI226*BI138+BJ226*BJ138+BK226*BK138+BL226*BL138+BM226*BM138+BN226*BN138+BO226*BO138+BP226*BP138+BQ226*BQ138+BR226*BR138+BS226*BS138+BT226*BT138+BU226*BU138+BV226*BV138+BW226*BW138+BX226*BX138+BY226*BY138+BZ226*BZ138+CA226*CA138+CB226*CB138+CC226*CC138</f>
        <v>0</v>
      </c>
      <c r="CM138" s="2387">
        <f>E227*E138+F227*F138+G227*G138+H227*H138+I227*I138+J227*J138+K227*K138+L227*L138+M227*M138+N227*N138+O227*O138+P227*P138+Q227*Q138+R227*R138+S227*S138+T227*T138+U227*U138+V227*V138+W227*W138+X227*X138+Y227*Y138+Z227*Z138+AA227*AA138+AB227*AB138+AC227*AC138+AD227*AD138+AE227*AE138+AF227*AF138+AG227*AG138+AH227*AH138+AI227*AI138+AJ227*AJ138+AK227*AK138+AL227*AL138+AM227*AM138+AN227*AN138+AO227*AO138+AP227*AP138+AQ227*AQ138+AR227*AR138+AS227*AS138+AT227*AT138+AU227*AU138+AV227*AV138+AW227*AW138+AX227*AX138+AY227*AY138+AZ227*AZ138+BA227*BA138+BB227*BB138+BC227*BC138+BD227*BD138+BE227*BE138+BF227*BF138+BG227*BG138+BH227*BH138+BI227*BI138+BJ227*BJ138+BK227*BK138+BL227*BL138+BM227*BM138+BN227*BN138+BO227*BO138+BP227*BP138+BQ227*BQ138+BR227*BR138+BS227*BS138+BT227*BT138+BU227*BU138+BV227*BV138+BW227*BW138+BX227*BX138+BY227*BY138+BZ227*BZ138+CA227*CA138+CB227*CB138+CC227*CC138</f>
        <v>0</v>
      </c>
      <c r="CN138" s="2387">
        <f>E228*E138+F228*F138+G228*G138+H228*H138+I228*I138+J228*J138+K228*K138+L228*L138+M228*M138+N228*N138+O228*O138+P228*P138+Q228*Q138+R228*R138+S228*S138+T228*T138+U228*U138+V228*V138+W228*W138+X228*X138+Y228*Y138+Z228*Z138+AA228*AA138+AB228*AB138+AC228*AC138+AD228*AD138+AE228*AE138+AF228*AF138+AG228*AG138+AH228*AH138+AI228*AI138+AJ228*AJ138+AK228*AK138+AL228*AL138+AM228*AM138+AN228*AN138+AO228*AO138+AP228*AP138+AQ228*AQ138+AR228*AR138+AS228*AS138+AT228*AT138+AU228*AU138+AV228*AV138+AW228*AW138+AX228*AX138+AY228*AY138+AZ228*AZ138+BA228*BA138+BB228*BB138+BC228*BC138+BD228*BD138+BE228*BE138+BF228*BF138+BG228*BG138+BH228*BH138+BI228*BI138+BJ228*BJ138+BK228*BK138+BL228*BL138+BM228*BM138+BN228*BN138+BO228*BO138+BP228*BP138+BQ228*BQ138+BR228*BR138+BS228*BS138+BT228*BT138+BU228*BU138+BV228*BV138+BW228*BW138+BX228*BX138+BY228*BY138+BZ228*BZ138+CA228*CA138+CB228*CB138+CC228*CC138</f>
        <v>0</v>
      </c>
      <c r="CO138" s="2387">
        <f>E229*E138+F229*F138+G229*G138+H229*H138+I229*I138+J229*J138+K229*K138+L229*L138+M229*M138+N229*N138+O229*O138+P229*P138+Q229*Q138+R229*R138+S229*S138+T229*T138+U229*U138+V229*V138+W229*W138+X229*X138+Y229*Y138+Z229*Z138+AA229*AA138+AB229*AB138+AC229*AC138+AD229*AD138+AE229*AE138+AF229*AF138+AG229*AG138+AH229*AH138+AI229*AI138+AJ229*AJ138+AK229*AK138+AL229*AL138+AM229*AM138+AN229*AN138+AO229*AO138+AP229*AP138+AQ229*AQ138+AR229*AR138+AS229*AS138+AT229*AT138+AU229*AU138+AV229*AV138+AW229*AW138+AX229*AX138+AY229*AY138+AZ229*AZ138+BA229*BA138+BB229*BB138+BC229*BC138+BD229*BD138+BE229*BE138+BF229*BF138+BG229*BG138+BH229*BH138+BI229*BI138+BJ229*BJ138+BK229*BK138+BL229*BL138+BM229*BM138+BN229*BN138+BO229*BO138+BP229*BP138+BQ229*BQ138+BR229*BR138+BS229*BS138+BT229*BT138+BU229*BU138+BV229*BV138+BW229*BW138+BX229*BX138+BY229*BY138+BZ229*BZ138+CA229*CA138+CB229*CB138+CC229*CC138</f>
        <v>0</v>
      </c>
      <c r="CP138" s="2387">
        <f>E230*E138+F230*F138+G230*G138+H230*H138+I230*I138+J230*J138+K230*K138+L230*L138+M230*M138+N230*N138+O230*O138+P230*P138+Q230*Q138+R230*R138+S230*S138+T230*T138+U230*U138+V230*V138+W230*W138+X230*X138+Y230*Y138+Z230*Z138+AA230*AA138+AB230*AB138+AC230*AC138+AD230*AD138+AE230*AE138+AF230*AF138+AG230*AG138+AH230*AH138+AI230*AI138+AJ230*AJ138+AK230*AK138+AL230*AL138+AM230*AM138+AN230*AN138+AO230*AO138+AP230*AP138+AQ230*AQ138+AR230*AR138+AS230*AS138+AT230*AT138+AU230*AU138+AV230*AV138+AW230*AW138+AX230*AX138+AY230*AY138+AZ230*AZ138+BA230*BA138+BB230*BB138+BC230*BC138+BD230*BD138+BE230*BE138+BF230*BF138+BG230*BG138+BH230*BH138+BI230*BI138+BJ230*BJ138+BK230*BK138+BL230*BL138+BM230*BM138+BN230*BN138+BO230*BO138+BP230*BP138+BQ230*BQ138+BR230*BR138+BS230*BS138+BT230*BT138+BU230*BU138+BV230*BV138+BW230*BW138+BX230*BX138+BY230*BY138+BZ230*BZ138+CA230*CA138+CB230*CB138+CC230*CC138</f>
        <v>0</v>
      </c>
    </row>
    <row r="139" spans="2:94" ht="18" x14ac:dyDescent="0.25">
      <c r="B139" s="1585">
        <v>20</v>
      </c>
      <c r="C139" s="1070" t="s">
        <v>242</v>
      </c>
      <c r="D139" s="1071" t="s">
        <v>4424</v>
      </c>
      <c r="E139" s="1479">
        <f>0</f>
        <v>0</v>
      </c>
      <c r="F139" s="1479">
        <f>0</f>
        <v>0</v>
      </c>
      <c r="G139" s="1479">
        <f>0</f>
        <v>0</v>
      </c>
      <c r="H139" s="1479">
        <f>0</f>
        <v>0</v>
      </c>
      <c r="I139" s="1479">
        <f>0</f>
        <v>0</v>
      </c>
      <c r="J139" s="1479">
        <f>0</f>
        <v>0</v>
      </c>
      <c r="K139" s="1479">
        <f>0</f>
        <v>0</v>
      </c>
      <c r="L139" s="1479">
        <f>0</f>
        <v>0</v>
      </c>
      <c r="M139" s="1078">
        <f>0</f>
        <v>0</v>
      </c>
      <c r="N139" s="1078">
        <f>0</f>
        <v>0</v>
      </c>
      <c r="O139" s="1479">
        <f>0</f>
        <v>0</v>
      </c>
      <c r="P139" s="1479">
        <f>0</f>
        <v>0</v>
      </c>
      <c r="Q139" s="1479">
        <f>0</f>
        <v>0</v>
      </c>
      <c r="R139" s="1417">
        <f>-Y_PP_CASTO_anox</f>
        <v>-0.23</v>
      </c>
      <c r="S139" s="1479">
        <f>0</f>
        <v>0</v>
      </c>
      <c r="T139" s="1479">
        <f>0</f>
        <v>0</v>
      </c>
      <c r="U139" s="1479">
        <f>0</f>
        <v>0</v>
      </c>
      <c r="V139" s="1479">
        <f>0</f>
        <v>0</v>
      </c>
      <c r="W139" s="1479">
        <f>0</f>
        <v>0</v>
      </c>
      <c r="X139" s="1479">
        <f>0</f>
        <v>0</v>
      </c>
      <c r="Y139" s="1418">
        <f>i_N_BIO*Y_PP_CASTO_anox</f>
        <v>1.6100000000000003E-2</v>
      </c>
      <c r="Z139" s="1078">
        <f>-Y_PP_CASTO_anox/E_EQN2_NO2</f>
        <v>-0.13423590884658176</v>
      </c>
      <c r="AA139" s="1078">
        <f>0</f>
        <v>0</v>
      </c>
      <c r="AB139" s="1078">
        <f>Y_PP_CASTO_anox/E_EQN2_NO2</f>
        <v>0.13423590884658176</v>
      </c>
      <c r="AC139" s="1479">
        <f>0</f>
        <v>0</v>
      </c>
      <c r="AD139" s="1479">
        <f>0</f>
        <v>0</v>
      </c>
      <c r="AE139" s="1479">
        <f>0</f>
        <v>0</v>
      </c>
      <c r="AF139" s="1078">
        <f>i_P_BIO*Y_PP_CASTO_anox-1</f>
        <v>-0.99539999999999995</v>
      </c>
      <c r="AG139" s="1479">
        <f>1</f>
        <v>1</v>
      </c>
      <c r="AH139" s="1479">
        <f>0</f>
        <v>0</v>
      </c>
      <c r="AI139" s="1479">
        <f>0</f>
        <v>0</v>
      </c>
      <c r="AJ139" s="1479">
        <f>0</f>
        <v>0</v>
      </c>
      <c r="AK139" s="1479">
        <f>0</f>
        <v>0</v>
      </c>
      <c r="AL139" s="1479">
        <f>0</f>
        <v>0</v>
      </c>
      <c r="AM139" s="1479">
        <f>0</f>
        <v>0</v>
      </c>
      <c r="AN139" s="1417">
        <f>i_CIT_BIO*Y_PP_CASTO_anox</f>
        <v>8.0960000000000004E-2</v>
      </c>
      <c r="AO139" s="1417">
        <f>-i_INORG*Y_PP_CASTO_anox</f>
        <v>-2.53E-2</v>
      </c>
      <c r="AP139" s="1078">
        <f>Y_PP_CASTO_anox*i_INORG*(1-i_Ca_INORG*(A_MCa+2*A_MCl)/A_MCa-i_Mg_INORG*(A_MMg+2*A_MCl)/A_MMg)*f_Na</f>
        <v>6.6249898240436462E-3</v>
      </c>
      <c r="AQ139" s="1078">
        <f>Y_PP_CASTO_anox*(i_INORG*(i_Ca_INORG*(2*A_MCl)/A_MCa+i_Mg_INORG*(2*A_MCl)/A_MMg)+i_INORG*(1-i_Ca_INORG*(A_MCa+2*A_MCl)/A_MCa-i_Mg_INORG*(A_MMg+2*A_MCl)/A_MMg)*(1-f_Na))</f>
        <v>1.6145010175956355E-2</v>
      </c>
      <c r="AR139" s="1078">
        <f>Y_PP_CASTO_anox*i_INORG*i_Ca_INORG-i_Ca_PP*A_MCa/A_MP</f>
        <v>-0.12812838702613275</v>
      </c>
      <c r="AS139" s="1417">
        <f>Y_PP_CASTO_anox*i_INORG*i_Mg_INORG-i_Mg_PP*A_MMg/A_MP</f>
        <v>-0.27337874347136937</v>
      </c>
      <c r="AT139" s="1078">
        <f>-i_K_PP*A_MK/A_MP</f>
        <v>-0.12623038734377579</v>
      </c>
      <c r="AU139" s="1078">
        <f>0</f>
        <v>0</v>
      </c>
      <c r="AV139" s="1078">
        <f>0</f>
        <v>0</v>
      </c>
      <c r="AW139" s="1078">
        <f>0</f>
        <v>0</v>
      </c>
      <c r="AX139" s="1078">
        <f>0</f>
        <v>0</v>
      </c>
      <c r="AY139" s="1078">
        <f>0</f>
        <v>0</v>
      </c>
      <c r="AZ139" s="1078">
        <f>0</f>
        <v>0</v>
      </c>
      <c r="BA139" s="1078">
        <f>0</f>
        <v>0</v>
      </c>
      <c r="BB139" s="1078">
        <f>0</f>
        <v>0</v>
      </c>
      <c r="BC139" s="1078">
        <f>0</f>
        <v>0</v>
      </c>
      <c r="BD139" s="1078">
        <f>0</f>
        <v>0</v>
      </c>
      <c r="BE139" s="1078">
        <f>0</f>
        <v>0</v>
      </c>
      <c r="BF139" s="1078">
        <f>0</f>
        <v>0</v>
      </c>
      <c r="BG139" s="1078">
        <f>0</f>
        <v>0</v>
      </c>
      <c r="BH139" s="1078">
        <f>0</f>
        <v>0</v>
      </c>
      <c r="BI139" s="1078">
        <f>0</f>
        <v>0</v>
      </c>
      <c r="BJ139" s="1078">
        <f>0</f>
        <v>0</v>
      </c>
      <c r="BK139" s="1078">
        <f>0</f>
        <v>0</v>
      </c>
      <c r="BL139" s="1078">
        <f>0</f>
        <v>0</v>
      </c>
      <c r="BM139" s="1078">
        <f>0</f>
        <v>0</v>
      </c>
      <c r="BN139" s="1078">
        <f>0</f>
        <v>0</v>
      </c>
      <c r="BO139" s="1078">
        <f>0</f>
        <v>0</v>
      </c>
      <c r="BP139" s="1417">
        <f>0</f>
        <v>0</v>
      </c>
      <c r="BQ139" s="2366">
        <f>0</f>
        <v>0</v>
      </c>
      <c r="BR139" s="1078">
        <f>0</f>
        <v>0</v>
      </c>
      <c r="BS139" s="1078">
        <f>0</f>
        <v>0</v>
      </c>
      <c r="BT139" s="1078">
        <f>0</f>
        <v>0</v>
      </c>
      <c r="BU139" s="1078">
        <f>0</f>
        <v>0</v>
      </c>
      <c r="BV139" s="1078">
        <f>0</f>
        <v>0</v>
      </c>
      <c r="BW139" s="1078">
        <f>0</f>
        <v>0</v>
      </c>
      <c r="BX139" s="1078">
        <f>0</f>
        <v>0</v>
      </c>
      <c r="BY139" s="1078">
        <f>0</f>
        <v>0</v>
      </c>
      <c r="BZ139" s="1078">
        <f>0</f>
        <v>0</v>
      </c>
      <c r="CA139" s="1078">
        <f>0</f>
        <v>0</v>
      </c>
      <c r="CB139" s="1078">
        <f>0</f>
        <v>0</v>
      </c>
      <c r="CC139" s="1078">
        <f>0</f>
        <v>0</v>
      </c>
      <c r="CD139" s="1652">
        <f>q_PAO_PP_T*X_PAO/(X_PP+X_PP_PAO_min)*X_PAO*η_CASTO_anox*M_satSNO2_KNO2_CASTO*M_inhSO2_KO2_CASTO*L_ogsatSPO4_KPO4_PAO*L_oginhXPP_XPAO_max*M_satSCa_KCa_PAO*M_satSMg_KMg_PAO*M_satSK_KK_PAO*B_ellinhpH</f>
        <v>3.3489365281227821</v>
      </c>
      <c r="CF139" s="2385">
        <f>E220*E139+F220*F139+G220*G139+H220*H139+I220*I139+J220*J139+K220*K139+L220*L139+M220*M139+N220*N139+O220*O139+P220*P139+Q220*Q139+R220*R139+S220*S139+T220*T139+U220*U139+V220*V139+W220*W139+X220*X139+Y220*Y139+Z220*Z139+AA220*AA139+AB220*AB139+AC220*AC139+AD220*AD139+AE220*AE139+AF220*AF139+AG220*AG139+AH220*AH139+AI220*AI139+AJ220*AJ139+AK220*AK139+AL220*AL139+AM220*AM139+AN220*AN139+AO220*AO139+AP220*AP139+AQ220*AQ139+AR220*AR139+AS220*AS139+AT220*AT139+AU220*AU139+AV220*AV139+AW220*AW139+AX220*AX139+AY220*AY139+AZ220*AZ139+BA220*BA139+BB220*BB139+BC220*BC139+BD220*BD139+BE220*BE139+BF220*BF139+BG220*BG139+BH220*BH139+BI220*BI139+BJ220*BJ139+BK220*BK139+BL220*BL139+BM220*BM139+BN220*BN139+BO220*BO139+BP220*BP139+BQ220*BQ139+BR220*BR139+BS220*BS139+BT220*BT139+BU220*BU139+BV220*BV139+BW220*BW139+BX220*BX139+BY220*BY139+BZ220*BZ139+CA220*CA139+CB220*CB139+CC220*CC139</f>
        <v>0</v>
      </c>
      <c r="CG139" s="2385">
        <f>E221*E139+F221*F139+G221*G139+H221*H139+I221*I139+J221*J139+K221*K139+L221*L139+M221*M139+N221*N139+O221*O139+P221*P139+Q221*Q139+R221*R139+S221*S139+T221*T139+U221*U139+V221*V139+W221*W139+X221*X139+Y221*Y139+Z221*Z139+AA221*AA139+AB221*AB139+AC221*AC139+AD221*AD139+AE221*AE139+AF221*AF139+AG221*AG139+AH221*AH139+AI221*AI139+AJ221*AJ139+AK221*AK139+AL221*AL139+AM221*AM139+AN221*AN139+AO221*AO139+AP221*AP139+AQ221*AQ139+AR221*AR139+AS221*AS139+AT221*AT139+AU221*AU139+AV221*AV139+AW221*AW139+AX221*AX139+AY221*AY139+AZ221*AZ139+BA221*BA139+BB221*BB139+BC221*BC139+BD221*BD139+BE221*BE139+BF221*BF139+BG221*BG139+BH221*BH139+BI221*BI139+BJ221*BJ139+BK221*BK139+BL221*BL139+BM221*BM139+BN221*BN139+BO221*BO139+BP221*BP139+BQ221*BQ139+BR221*BR139+BS221*BS139+BT221*BT139+BU221*BU139+BV221*BV139+BW221*BW139+BX221*BX139+BY221*BY139+BZ221*BZ139+CA221*CA139+CB221*CB139+CC221*CC139</f>
        <v>0</v>
      </c>
      <c r="CH139" s="2386">
        <f>E222*E139+F222*F139+G222*G139+H222*H139+I222*I139+J222*J139+K222*K139+L222*L139+M222*M139+N222*N139+O222*O139+P222*P139+Q222*Q139+R222*R139+S222*S139+T222*T139+U222*U139+V222*V139+W222*W139+X222*X139+Y222*Y139+Z222*Z139+AA222*AA139+AB222*AB139+AC222*AC139+AD222*AD139+AE222*AE139+AF222*AF139+AG222*AG139+AH222*AH139+AI222*AI139+AJ222*AJ139+AK222*AK139+AL222*AL139+AM222*AM139+AN222*AN139+AO222*AO139+AP222*AP139+AQ222*AQ139+AR222*AR139+AS222*AS139+AT222*AT139+AU222*AU139+AV222*AV139+AW222*AW139+AX222*AX139+AY222*AY139+AZ222*AZ139+BA222*BA139+BB222*BB139+BC222*BC139+BD222*BD139+BE222*BE139+BF222*BF139+BG222*BG139+BH222*BH139+BI222*BI139+BJ222*BJ139+BK222*BK139+BL222*BL139+BM222*BM139+BN222*BN139+BO222*BO139+BP222*BP139+BQ222*BQ139+BR222*BR139+BS222*BS139+BT222*BT139+BU222*BU139+BV222*BV139+BW222*BW139+BX222*BX139+BY222*BY139+BZ222*BZ139+CA222*CA139+CB222*CB139+CC222*CC139</f>
        <v>0</v>
      </c>
      <c r="CI139" s="2387">
        <f>E223*E139+F223*F139+G223*G139+H223*H139+I223*I139+J223*J139+K223*K139+L223*L139+M223*M139+N223*N139+O223*O139+P223*P139+Q223*Q139+R223*R139+S223*S139+T223*T139+U223*U139+V223*V139+W223*W139+X223*X139+Y223*Y139+Z223*Z139+AA223*AA139+AB223*AB139+AC223*AC139+AD223*AD139+AE223*AE139+AF223*AF139+AG223*AG139+AH223*AH139+AI223*AI139+AJ223*AJ139+AK223*AK139+AL223*AL139+AM223*AM139+AN223*AN139+AO223*AO139+AP223*AP139+AQ223*AQ139+AR223*AR139+AS223*AS139+AT223*AT139+AU223*AU139+AV223*AV139+AW223*AW139+AX223*AX139+AY223*AY139+AZ223*AZ139+BA223*BA139+BB223*BB139+BC223*BC139+BD223*BD139+BE223*BE139+BF223*BF139+BG223*BG139+BH223*BH139+BI223*BI139+BJ223*BJ139+BK223*BK139+BL223*BL139+BM223*BM139+BN223*BN139+BO223*BO139+BP223*BP139+BQ223*BQ139+BR223*BR139+BS223*BS139+BT223*BT139+BU223*BU139+BV223*BV139+BW223*BW139+BX223*BX139+BY223*BY139+BZ223*BZ139+CA223*CA139+CB223*CB139+CC223*CC139</f>
        <v>0</v>
      </c>
      <c r="CJ139" s="2387">
        <f>E224*E139+F224*F139+G224*G139+H224*H139+I224*I139+J224*J139+K224*K139+L224*L139+M224*M139+N224*N139+O224*O139+P224*P139+Q224*Q139+R224*R139+S224*S139+T224*T139+U224*U139+V224*V139+W224*W139+X224*X139+Y224*Y139+Z224*Z139+AA224*AA139+AB224*AB139+AC224*AC139+AD224*AD139+AE224*AE139+AF224*AF139+AG224*AG139+AH224*AH139+AI224*AI139+AJ224*AJ139+AK224*AK139+AL224*AL139+AM224*AM139+AN224*AN139+AO224*AO139+AP224*AP139+AQ224*AQ139+AR224*AR139+AS224*AS139+AT224*AT139+AU224*AU139+AV224*AV139+AW224*AW139+AX224*AX139+AY224*AY139+AZ224*AZ139+BA224*BA139+BB224*BB139+BC224*BC139+BD224*BD139+BE224*BE139+BF224*BF139+BG224*BG139+BH224*BH139+BI224*BI139+BJ224*BJ139+BK224*BK139+BL224*BL139+BM224*BM139+BN224*BN139+BO224*BO139+BP224*BP139+BQ224*BQ139+BR224*BR139+BS224*BS139+BT224*BT139+BU224*BU139+BV224*BV139+BW224*BW139+BX224*BX139+BY224*BY139+BZ224*BZ139+CA224*CA139+CB224*CB139+CC224*CC139</f>
        <v>-8.6736173798840355E-19</v>
      </c>
      <c r="CK139" s="2387">
        <f>E225*E139+F225*F139+G225*G139+H225*H139+I225*I139+J225*J139+K225*K139+L225*L139+M225*M139+N225*N139+O225*O139+P225*P139+Q225*Q139+R225*R139+S225*S139+T225*T139+U225*U139+V225*V139+W225*W139+X225*X139+Y225*Y139+Z225*Z139+AA225*AA139+AB225*AB139+AC225*AC139+AD225*AD139+AE225*AE139+AF225*AF139+AG225*AG139+AH225*AH139+AI225*AI139+AJ225*AJ139+AK225*AK139+AL225*AL139+AM225*AM139+AN225*AN139+AO225*AO139+AP225*AP139+AQ225*AQ139+AR225*AR139+AS225*AS139+AT225*AT139+AU225*AU139+AV225*AV139+AW225*AW139+AX225*AX139+AY225*AY139+AZ225*AZ139+BA225*BA139+BB225*BB139+BC225*BC139+BD225*BD139+BE225*BE139+BF225*BF139+BG225*BG139+BH225*BH139+BI225*BI139+BJ225*BJ139+BK225*BK139+BL225*BL139+BM225*BM139+BN225*BN139+BO225*BO139+BP225*BP139+BQ225*BQ139+BR225*BR139+BS225*BS139+BT225*BT139+BU225*BU139+BV225*BV139+BW225*BW139+BX225*BX139+BY225*BY139+BZ225*BZ139+CA225*CA139+CB225*CB139+CC225*CC139</f>
        <v>0</v>
      </c>
      <c r="CL139" s="2387">
        <f>E226*E139+F226*F139+G226*G139+H226*H139+I226*I139+J226*J139+K226*K139+L226*L139+M226*M139+N226*N139+O226*O139+P226*P139+Q226*Q139+R226*R139+S226*S139+T226*T139+U226*U139+V226*V139+W226*W139+X226*X139+Y226*Y139+Z226*Z139+AA226*AA139+AB226*AB139+AC226*AC139+AD226*AD139+AE226*AE139+AF226*AF139+AG226*AG139+AH226*AH139+AI226*AI139+AJ226*AJ139+AK226*AK139+AL226*AL139+AM226*AM139+AN226*AN139+AO226*AO139+AP226*AP139+AQ226*AQ139+AR226*AR139+AS226*AS139+AT226*AT139+AU226*AU139+AV226*AV139+AW226*AW139+AX226*AX139+AY226*AY139+AZ226*AZ139+BA226*BA139+BB226*BB139+BC226*BC139+BD226*BD139+BE226*BE139+BF226*BF139+BG226*BG139+BH226*BH139+BI226*BI139+BJ226*BJ139+BK226*BK139+BL226*BL139+BM226*BM139+BN226*BN139+BO226*BO139+BP226*BP139+BQ226*BQ139+BR226*BR139+BS226*BS139+BT226*BT139+BU226*BU139+BV226*BV139+BW226*BW139+BX226*BX139+BY226*BY139+BZ226*BZ139+CA226*CA139+CB226*CB139+CC226*CC139</f>
        <v>0</v>
      </c>
      <c r="CM139" s="2387">
        <f>E227*E139+F227*F139+G227*G139+H227*H139+I227*I139+J227*J139+K227*K139+L227*L139+M227*M139+N227*N139+O227*O139+P227*P139+Q227*Q139+R227*R139+S227*S139+T227*T139+U227*U139+V227*V139+W227*W139+X227*X139+Y227*Y139+Z227*Z139+AA227*AA139+AB227*AB139+AC227*AC139+AD227*AD139+AE227*AE139+AF227*AF139+AG227*AG139+AH227*AH139+AI227*AI139+AJ227*AJ139+AK227*AK139+AL227*AL139+AM227*AM139+AN227*AN139+AO227*AO139+AP227*AP139+AQ227*AQ139+AR227*AR139+AS227*AS139+AT227*AT139+AU227*AU139+AV227*AV139+AW227*AW139+AX227*AX139+AY227*AY139+AZ227*AZ139+BA227*BA139+BB227*BB139+BC227*BC139+BD227*BD139+BE227*BE139+BF227*BF139+BG227*BG139+BH227*BH139+BI227*BI139+BJ227*BJ139+BK227*BK139+BL227*BL139+BM227*BM139+BN227*BN139+BO227*BO139+BP227*BP139+BQ227*BQ139+BR227*BR139+BS227*BS139+BT227*BT139+BU227*BU139+BV227*BV139+BW227*BW139+BX227*BX139+BY227*BY139+BZ227*BZ139+CA227*CA139+CB227*CB139+CC227*CC139</f>
        <v>0</v>
      </c>
      <c r="CN139" s="2387">
        <f>E228*E139+F228*F139+G228*G139+H228*H139+I228*I139+J228*J139+K228*K139+L228*L139+M228*M139+N228*N139+O228*O139+P228*P139+Q228*Q139+R228*R139+S228*S139+T228*T139+U228*U139+V228*V139+W228*W139+X228*X139+Y228*Y139+Z228*Z139+AA228*AA139+AB228*AB139+AC228*AC139+AD228*AD139+AE228*AE139+AF228*AF139+AG228*AG139+AH228*AH139+AI228*AI139+AJ228*AJ139+AK228*AK139+AL228*AL139+AM228*AM139+AN228*AN139+AO228*AO139+AP228*AP139+AQ228*AQ139+AR228*AR139+AS228*AS139+AT228*AT139+AU228*AU139+AV228*AV139+AW228*AW139+AX228*AX139+AY228*AY139+AZ228*AZ139+BA228*BA139+BB228*BB139+BC228*BC139+BD228*BD139+BE228*BE139+BF228*BF139+BG228*BG139+BH228*BH139+BI228*BI139+BJ228*BJ139+BK228*BK139+BL228*BL139+BM228*BM139+BN228*BN139+BO228*BO139+BP228*BP139+BQ228*BQ139+BR228*BR139+BS228*BS139+BT228*BT139+BU228*BU139+BV228*BV139+BW228*BW139+BX228*BX139+BY228*BY139+BZ228*BZ139+CA228*CA139+CB228*CB139+CC228*CC139</f>
        <v>0</v>
      </c>
      <c r="CO139" s="2387">
        <f>E229*E139+F229*F139+G229*G139+H229*H139+I229*I139+J229*J139+K229*K139+L229*L139+M229*M139+N229*N139+O229*O139+P229*P139+Q229*Q139+R229*R139+S229*S139+T229*T139+U229*U139+V229*V139+W229*W139+X229*X139+Y229*Y139+Z229*Z139+AA229*AA139+AB229*AB139+AC229*AC139+AD229*AD139+AE229*AE139+AF229*AF139+AG229*AG139+AH229*AH139+AI229*AI139+AJ229*AJ139+AK229*AK139+AL229*AL139+AM229*AM139+AN229*AN139+AO229*AO139+AP229*AP139+AQ229*AQ139+AR229*AR139+AS229*AS139+AT229*AT139+AU229*AU139+AV229*AV139+AW229*AW139+AX229*AX139+AY229*AY139+AZ229*AZ139+BA229*BA139+BB229*BB139+BC229*BC139+BD229*BD139+BE229*BE139+BF229*BF139+BG229*BG139+BH229*BH139+BI229*BI139+BJ229*BJ139+BK229*BK139+BL229*BL139+BM229*BM139+BN229*BN139+BO229*BO139+BP229*BP139+BQ229*BQ139+BR229*BR139+BS229*BS139+BT229*BT139+BU229*BU139+BV229*BV139+BW229*BW139+BX229*BX139+BY229*BY139+BZ229*BZ139+CA229*CA139+CB229*CB139+CC229*CC139</f>
        <v>0</v>
      </c>
      <c r="CP139" s="2387">
        <f>E230*E139+F230*F139+G230*G139+H230*H139+I230*I139+J230*J139+K230*K139+L230*L139+M230*M139+N230*N139+O230*O139+P230*P139+Q230*Q139+R230*R139+S230*S139+T230*T139+U230*U139+V230*V139+W230*W139+X230*X139+Y230*Y139+Z230*Z139+AA230*AA139+AB230*AB139+AC230*AC139+AD230*AD139+AE230*AE139+AF230*AF139+AG230*AG139+AH230*AH139+AI230*AI139+AJ230*AJ139+AK230*AK139+AL230*AL139+AM230*AM139+AN230*AN139+AO230*AO139+AP230*AP139+AQ230*AQ139+AR230*AR139+AS230*AS139+AT230*AT139+AU230*AU139+AV230*AV139+AW230*AW139+AX230*AX139+AY230*AY139+AZ230*AZ139+BA230*BA139+BB230*BB139+BC230*BC139+BD230*BD139+BE230*BE139+BF230*BF139+BG230*BG139+BH230*BH139+BI230*BI139+BJ230*BJ139+BK230*BK139+BL230*BL139+BM230*BM139+BN230*BN139+BO230*BO139+BP230*BP139+BQ230*BQ139+BR230*BR139+BS230*BS139+BT230*BT139+BU230*BU139+BV230*BV139+BW230*BW139+BX230*BX139+BY230*BY139+BZ230*BZ139+CA230*CA139+CB230*CB139+CC230*CC139</f>
        <v>0</v>
      </c>
    </row>
    <row r="140" spans="2:94" ht="18" x14ac:dyDescent="0.25">
      <c r="B140" s="1585">
        <v>21</v>
      </c>
      <c r="C140" s="1070" t="s">
        <v>243</v>
      </c>
      <c r="D140" s="1071" t="s">
        <v>4425</v>
      </c>
      <c r="E140" s="1479">
        <f>0</f>
        <v>0</v>
      </c>
      <c r="F140" s="1479">
        <f>0</f>
        <v>0</v>
      </c>
      <c r="G140" s="1479">
        <f>0</f>
        <v>0</v>
      </c>
      <c r="H140" s="1479">
        <f>0</f>
        <v>0</v>
      </c>
      <c r="I140" s="1479">
        <f>0</f>
        <v>0</v>
      </c>
      <c r="J140" s="1479">
        <f>0</f>
        <v>0</v>
      </c>
      <c r="K140" s="1479">
        <f>0</f>
        <v>0</v>
      </c>
      <c r="L140" s="1479">
        <f>0</f>
        <v>0</v>
      </c>
      <c r="M140" s="1078">
        <f>0</f>
        <v>0</v>
      </c>
      <c r="N140" s="1078">
        <f>0</f>
        <v>0</v>
      </c>
      <c r="O140" s="1479">
        <f>0</f>
        <v>0</v>
      </c>
      <c r="P140" s="1479">
        <f>0</f>
        <v>0</v>
      </c>
      <c r="Q140" s="1479">
        <f>0</f>
        <v>0</v>
      </c>
      <c r="R140" s="1417">
        <f>-Y_PP_CASTO_anox</f>
        <v>-0.23</v>
      </c>
      <c r="S140" s="1479">
        <f>0</f>
        <v>0</v>
      </c>
      <c r="T140" s="1479">
        <f>0</f>
        <v>0</v>
      </c>
      <c r="U140" s="1479">
        <f>0</f>
        <v>0</v>
      </c>
      <c r="V140" s="1479">
        <f>0</f>
        <v>0</v>
      </c>
      <c r="W140" s="1479">
        <f>0</f>
        <v>0</v>
      </c>
      <c r="X140" s="1479">
        <f>0</f>
        <v>0</v>
      </c>
      <c r="Y140" s="1418">
        <f>i_N_BIO*Y_PP_CASTO_anox</f>
        <v>1.6100000000000003E-2</v>
      </c>
      <c r="Z140" s="1078">
        <f>Y_PP_CASTO_anox/E_EQNO2_NO3</f>
        <v>0.20135386326987265</v>
      </c>
      <c r="AA140" s="1078">
        <f>-Y_PP_CASTO_anox/E_EQNO2_NO3</f>
        <v>-0.20135386326987265</v>
      </c>
      <c r="AB140" s="1479">
        <f>0</f>
        <v>0</v>
      </c>
      <c r="AC140" s="1479">
        <f>0</f>
        <v>0</v>
      </c>
      <c r="AD140" s="1479">
        <f>0</f>
        <v>0</v>
      </c>
      <c r="AE140" s="1479">
        <f>0</f>
        <v>0</v>
      </c>
      <c r="AF140" s="1078">
        <f>i_P_BIO*Y_PP_CASTO_anox-1</f>
        <v>-0.99539999999999995</v>
      </c>
      <c r="AG140" s="1479">
        <f>1</f>
        <v>1</v>
      </c>
      <c r="AH140" s="1479">
        <f>0</f>
        <v>0</v>
      </c>
      <c r="AI140" s="1479">
        <f>0</f>
        <v>0</v>
      </c>
      <c r="AJ140" s="1479">
        <f>0</f>
        <v>0</v>
      </c>
      <c r="AK140" s="1479">
        <f>0</f>
        <v>0</v>
      </c>
      <c r="AL140" s="1479">
        <f>0</f>
        <v>0</v>
      </c>
      <c r="AM140" s="1479">
        <f>0</f>
        <v>0</v>
      </c>
      <c r="AN140" s="1417">
        <f>i_CIT_BIO*Y_PP_CASTO_anox</f>
        <v>8.0960000000000004E-2</v>
      </c>
      <c r="AO140" s="1417">
        <f>-i_INORG*Y_PP_CASTO_anox</f>
        <v>-2.53E-2</v>
      </c>
      <c r="AP140" s="1078">
        <f>Y_PP_CASTO_anox*i_INORG*(1-i_Ca_INORG*(A_MCa+2*A_MCl)/A_MCa-i_Mg_INORG*(A_MMg+2*A_MCl)/A_MMg)*f_Na</f>
        <v>6.6249898240436462E-3</v>
      </c>
      <c r="AQ140" s="1078">
        <f>Y_PP_CASTO_anox*(i_INORG*(i_Ca_INORG*(2*A_MCl)/A_MCa+i_Mg_INORG*(2*A_MCl)/A_MMg)+i_INORG*(1-i_Ca_INORG*(A_MCa+2*A_MCl)/A_MCa-i_Mg_INORG*(A_MMg+2*A_MCl)/A_MMg)*(1-f_Na))</f>
        <v>1.6145010175956355E-2</v>
      </c>
      <c r="AR140" s="1078">
        <f>Y_PP_CASTO_anox*i_INORG*i_Ca_INORG-i_Ca_PP*A_MCa/A_MP</f>
        <v>-0.12812838702613275</v>
      </c>
      <c r="AS140" s="1417">
        <f>Y_PP_CASTO_anox*i_INORG*i_Mg_INORG-i_Mg_PP*A_MMg/A_MP</f>
        <v>-0.27337874347136937</v>
      </c>
      <c r="AT140" s="1078">
        <f>-i_K_PP*A_MK/A_MP</f>
        <v>-0.12623038734377579</v>
      </c>
      <c r="AU140" s="1078">
        <f>0</f>
        <v>0</v>
      </c>
      <c r="AV140" s="1078">
        <f>0</f>
        <v>0</v>
      </c>
      <c r="AW140" s="1078">
        <f>0</f>
        <v>0</v>
      </c>
      <c r="AX140" s="1078">
        <f>0</f>
        <v>0</v>
      </c>
      <c r="AY140" s="1078">
        <f>0</f>
        <v>0</v>
      </c>
      <c r="AZ140" s="1078">
        <f>0</f>
        <v>0</v>
      </c>
      <c r="BA140" s="1078">
        <f>0</f>
        <v>0</v>
      </c>
      <c r="BB140" s="1078">
        <f>0</f>
        <v>0</v>
      </c>
      <c r="BC140" s="1078">
        <f>0</f>
        <v>0</v>
      </c>
      <c r="BD140" s="1078">
        <f>0</f>
        <v>0</v>
      </c>
      <c r="BE140" s="1078">
        <f>0</f>
        <v>0</v>
      </c>
      <c r="BF140" s="1078">
        <f>0</f>
        <v>0</v>
      </c>
      <c r="BG140" s="1078">
        <f>0</f>
        <v>0</v>
      </c>
      <c r="BH140" s="1078">
        <f>0</f>
        <v>0</v>
      </c>
      <c r="BI140" s="1078">
        <f>0</f>
        <v>0</v>
      </c>
      <c r="BJ140" s="1078">
        <f>0</f>
        <v>0</v>
      </c>
      <c r="BK140" s="1078">
        <f>0</f>
        <v>0</v>
      </c>
      <c r="BL140" s="1078">
        <f>0</f>
        <v>0</v>
      </c>
      <c r="BM140" s="1078">
        <f>0</f>
        <v>0</v>
      </c>
      <c r="BN140" s="1078">
        <f>0</f>
        <v>0</v>
      </c>
      <c r="BO140" s="1078">
        <f>0</f>
        <v>0</v>
      </c>
      <c r="BP140" s="1417">
        <f>0</f>
        <v>0</v>
      </c>
      <c r="BQ140" s="2366">
        <f>0</f>
        <v>0</v>
      </c>
      <c r="BR140" s="1078">
        <f>0</f>
        <v>0</v>
      </c>
      <c r="BS140" s="1078">
        <f>0</f>
        <v>0</v>
      </c>
      <c r="BT140" s="1078">
        <f>0</f>
        <v>0</v>
      </c>
      <c r="BU140" s="1078">
        <f>0</f>
        <v>0</v>
      </c>
      <c r="BV140" s="1078">
        <f>0</f>
        <v>0</v>
      </c>
      <c r="BW140" s="1078">
        <f>0</f>
        <v>0</v>
      </c>
      <c r="BX140" s="1078">
        <f>0</f>
        <v>0</v>
      </c>
      <c r="BY140" s="1078">
        <f>0</f>
        <v>0</v>
      </c>
      <c r="BZ140" s="1078">
        <f>0</f>
        <v>0</v>
      </c>
      <c r="CA140" s="1078">
        <f>0</f>
        <v>0</v>
      </c>
      <c r="CB140" s="1078">
        <f>0</f>
        <v>0</v>
      </c>
      <c r="CC140" s="1078">
        <f>0</f>
        <v>0</v>
      </c>
      <c r="CD140" s="1652">
        <f>q_PAO_PP_T*X_PAO/(X_PP+X_PP_PAO_min)*X_PAO*η_CASTO_anox*M_satSNO3_KNO3_CASTO*M_inhSO2_KO2_CASTO*M_inhSNO2_KNO2_CASTO*L_ogsatSPO4_KPO4_PAO*L_oginhXPP_XPAO_max*M_satSCa_KCa_PAO*M_satSMg_KMg_PAO*M_satSK_KK_PAO*B_ellinhpH</f>
        <v>1.6416355530013644</v>
      </c>
      <c r="CF140" s="2385">
        <f>E220*E140+F220*F140+G220*G140+H220*H140+I220*I140+J220*J140+K220*K140+L220*L140+M220*M140+N220*N140+O220*O140+P220*P140+Q220*Q140+R220*R140+S220*S140+T220*T140+U220*U140+V220*V140+W220*W140+X220*X140+Y220*Y140+Z220*Z140+AA220*AA140+AB220*AB140+AC220*AC140+AD220*AD140+AE220*AE140+AF220*AF140+AG220*AG140+AH220*AH140+AI220*AI140+AJ220*AJ140+AK220*AK140+AL220*AL140+AM220*AM140+AN220*AN140+AO220*AO140+AP220*AP140+AQ220*AQ140+AR220*AR140+AS220*AS140+AT220*AT140+AU220*AU140+AV220*AV140+AW220*AW140+AX220*AX140+AY220*AY140+AZ220*AZ140+BA220*BA140+BB220*BB140+BC220*BC140+BD220*BD140+BE220*BE140+BF220*BF140+BG220*BG140+BH220*BH140+BI220*BI140+BJ220*BJ140+BK220*BK140+BL220*BL140+BM220*BM140+BN220*BN140+BO220*BO140+BP220*BP140+BQ220*BQ140+BR220*BR140+BS220*BS140+BT220*BT140+BU220*BU140+BV220*BV140+BW220*BW140+BX220*BX140+BY220*BY140+BZ220*BZ140+CA220*CA140+CB220*CB140+CC220*CC140</f>
        <v>1.1102230246251565E-16</v>
      </c>
      <c r="CG140" s="2385">
        <f>E221*E140+F221*F140+G221*G140+H221*H140+I221*I140+J221*J140+K221*K140+L221*L140+M221*M140+N221*N140+O221*O140+P221*P140+Q221*Q140+R221*R140+S221*S140+T221*T140+U221*U140+V221*V140+W221*W140+X221*X140+Y221*Y140+Z221*Z140+AA221*AA140+AB221*AB140+AC221*AC140+AD221*AD140+AE221*AE140+AF221*AF140+AG221*AG140+AH221*AH140+AI221*AI140+AJ221*AJ140+AK221*AK140+AL221*AL140+AM221*AM140+AN221*AN140+AO221*AO140+AP221*AP140+AQ221*AQ140+AR221*AR140+AS221*AS140+AT221*AT140+AU221*AU140+AV221*AV140+AW221*AW140+AX221*AX140+AY221*AY140+AZ221*AZ140+BA221*BA140+BB221*BB140+BC221*BC140+BD221*BD140+BE221*BE140+BF221*BF140+BG221*BG140+BH221*BH140+BI221*BI140+BJ221*BJ140+BK221*BK140+BL221*BL140+BM221*BM140+BN221*BN140+BO221*BO140+BP221*BP140+BQ221*BQ140+BR221*BR140+BS221*BS140+BT221*BT140+BU221*BU140+BV221*BV140+BW221*BW140+BX221*BX140+BY221*BY140+BZ221*BZ140+CA221*CA140+CB221*CB140+CC221*CC140</f>
        <v>0</v>
      </c>
      <c r="CH140" s="2386">
        <f>E222*E140+F222*F140+G222*G140+H222*H140+I222*I140+J222*J140+K222*K140+L222*L140+M222*M140+N222*N140+O222*O140+P222*P140+Q222*Q140+R222*R140+S222*S140+T222*T140+U222*U140+V222*V140+W222*W140+X222*X140+Y222*Y140+Z222*Z140+AA222*AA140+AB222*AB140+AC222*AC140+AD222*AD140+AE222*AE140+AF222*AF140+AG222*AG140+AH222*AH140+AI222*AI140+AJ222*AJ140+AK222*AK140+AL222*AL140+AM222*AM140+AN222*AN140+AO222*AO140+AP222*AP140+AQ222*AQ140+AR222*AR140+AS222*AS140+AT222*AT140+AU222*AU140+AV222*AV140+AW222*AW140+AX222*AX140+AY222*AY140+AZ222*AZ140+BA222*BA140+BB222*BB140+BC222*BC140+BD222*BD140+BE222*BE140+BF222*BF140+BG222*BG140+BH222*BH140+BI222*BI140+BJ222*BJ140+BK222*BK140+BL222*BL140+BM222*BM140+BN222*BN140+BO222*BO140+BP222*BP140+BQ222*BQ140+BR222*BR140+BS222*BS140+BT222*BT140+BU222*BU140+BV222*BV140+BW222*BW140+BX222*BX140+BY222*BY140+BZ222*BZ140+CA222*CA140+CB222*CB140+CC222*CC140</f>
        <v>0</v>
      </c>
      <c r="CI140" s="2387">
        <f>E223*E140+F223*F140+G223*G140+H223*H140+I223*I140+J223*J140+K223*K140+L223*L140+M223*M140+N223*N140+O223*O140+P223*P140+Q223*Q140+R223*R140+S223*S140+T223*T140+U223*U140+V223*V140+W223*W140+X223*X140+Y223*Y140+Z223*Z140+AA223*AA140+AB223*AB140+AC223*AC140+AD223*AD140+AE223*AE140+AF223*AF140+AG223*AG140+AH223*AH140+AI223*AI140+AJ223*AJ140+AK223*AK140+AL223*AL140+AM223*AM140+AN223*AN140+AO223*AO140+AP223*AP140+AQ223*AQ140+AR223*AR140+AS223*AS140+AT223*AT140+AU223*AU140+AV223*AV140+AW223*AW140+AX223*AX140+AY223*AY140+AZ223*AZ140+BA223*BA140+BB223*BB140+BC223*BC140+BD223*BD140+BE223*BE140+BF223*BF140+BG223*BG140+BH223*BH140+BI223*BI140+BJ223*BJ140+BK223*BK140+BL223*BL140+BM223*BM140+BN223*BN140+BO223*BO140+BP223*BP140+BQ223*BQ140+BR223*BR140+BS223*BS140+BT223*BT140+BU223*BU140+BV223*BV140+BW223*BW140+BX223*BX140+BY223*BY140+BZ223*BZ140+CA223*CA140+CB223*CB140+CC223*CC140</f>
        <v>0</v>
      </c>
      <c r="CJ140" s="2387">
        <f>E224*E140+F224*F140+G224*G140+H224*H140+I224*I140+J224*J140+K224*K140+L224*L140+M224*M140+N224*N140+O224*O140+P224*P140+Q224*Q140+R224*R140+S224*S140+T224*T140+U224*U140+V224*V140+W224*W140+X224*X140+Y224*Y140+Z224*Z140+AA224*AA140+AB224*AB140+AC224*AC140+AD224*AD140+AE224*AE140+AF224*AF140+AG224*AG140+AH224*AH140+AI224*AI140+AJ224*AJ140+AK224*AK140+AL224*AL140+AM224*AM140+AN224*AN140+AO224*AO140+AP224*AP140+AQ224*AQ140+AR224*AR140+AS224*AS140+AT224*AT140+AU224*AU140+AV224*AV140+AW224*AW140+AX224*AX140+AY224*AY140+AZ224*AZ140+BA224*BA140+BB224*BB140+BC224*BC140+BD224*BD140+BE224*BE140+BF224*BF140+BG224*BG140+BH224*BH140+BI224*BI140+BJ224*BJ140+BK224*BK140+BL224*BL140+BM224*BM140+BN224*BN140+BO224*BO140+BP224*BP140+BQ224*BQ140+BR224*BR140+BS224*BS140+BT224*BT140+BU224*BU140+BV224*BV140+BW224*BW140+BX224*BX140+BY224*BY140+BZ224*BZ140+CA224*CA140+CB224*CB140+CC224*CC140</f>
        <v>-8.6736173798840355E-19</v>
      </c>
      <c r="CK140" s="2387">
        <f>E225*E140+F225*F140+G225*G140+H225*H140+I225*I140+J225*J140+K225*K140+L225*L140+M225*M140+N225*N140+O225*O140+P225*P140+Q225*Q140+R225*R140+S225*S140+T225*T140+U225*U140+V225*V140+W225*W140+X225*X140+Y225*Y140+Z225*Z140+AA225*AA140+AB225*AB140+AC225*AC140+AD225*AD140+AE225*AE140+AF225*AF140+AG225*AG140+AH225*AH140+AI225*AI140+AJ225*AJ140+AK225*AK140+AL225*AL140+AM225*AM140+AN225*AN140+AO225*AO140+AP225*AP140+AQ225*AQ140+AR225*AR140+AS225*AS140+AT225*AT140+AU225*AU140+AV225*AV140+AW225*AW140+AX225*AX140+AY225*AY140+AZ225*AZ140+BA225*BA140+BB225*BB140+BC225*BC140+BD225*BD140+BE225*BE140+BF225*BF140+BG225*BG140+BH225*BH140+BI225*BI140+BJ225*BJ140+BK225*BK140+BL225*BL140+BM225*BM140+BN225*BN140+BO225*BO140+BP225*BP140+BQ225*BQ140+BR225*BR140+BS225*BS140+BT225*BT140+BU225*BU140+BV225*BV140+BW225*BW140+BX225*BX140+BY225*BY140+BZ225*BZ140+CA225*CA140+CB225*CB140+CC225*CC140</f>
        <v>0</v>
      </c>
      <c r="CL140" s="2387">
        <f>E226*E140+F226*F140+G226*G140+H226*H140+I226*I140+J226*J140+K226*K140+L226*L140+M226*M140+N226*N140+O226*O140+P226*P140+Q226*Q140+R226*R140+S226*S140+T226*T140+U226*U140+V226*V140+W226*W140+X226*X140+Y226*Y140+Z226*Z140+AA226*AA140+AB226*AB140+AC226*AC140+AD226*AD140+AE226*AE140+AF226*AF140+AG226*AG140+AH226*AH140+AI226*AI140+AJ226*AJ140+AK226*AK140+AL226*AL140+AM226*AM140+AN226*AN140+AO226*AO140+AP226*AP140+AQ226*AQ140+AR226*AR140+AS226*AS140+AT226*AT140+AU226*AU140+AV226*AV140+AW226*AW140+AX226*AX140+AY226*AY140+AZ226*AZ140+BA226*BA140+BB226*BB140+BC226*BC140+BD226*BD140+BE226*BE140+BF226*BF140+BG226*BG140+BH226*BH140+BI226*BI140+BJ226*BJ140+BK226*BK140+BL226*BL140+BM226*BM140+BN226*BN140+BO226*BO140+BP226*BP140+BQ226*BQ140+BR226*BR140+BS226*BS140+BT226*BT140+BU226*BU140+BV226*BV140+BW226*BW140+BX226*BX140+BY226*BY140+BZ226*BZ140+CA226*CA140+CB226*CB140+CC226*CC140</f>
        <v>0</v>
      </c>
      <c r="CM140" s="2387">
        <f>E227*E140+F227*F140+G227*G140+H227*H140+I227*I140+J227*J140+K227*K140+L227*L140+M227*M140+N227*N140+O227*O140+P227*P140+Q227*Q140+R227*R140+S227*S140+T227*T140+U227*U140+V227*V140+W227*W140+X227*X140+Y227*Y140+Z227*Z140+AA227*AA140+AB227*AB140+AC227*AC140+AD227*AD140+AE227*AE140+AF227*AF140+AG227*AG140+AH227*AH140+AI227*AI140+AJ227*AJ140+AK227*AK140+AL227*AL140+AM227*AM140+AN227*AN140+AO227*AO140+AP227*AP140+AQ227*AQ140+AR227*AR140+AS227*AS140+AT227*AT140+AU227*AU140+AV227*AV140+AW227*AW140+AX227*AX140+AY227*AY140+AZ227*AZ140+BA227*BA140+BB227*BB140+BC227*BC140+BD227*BD140+BE227*BE140+BF227*BF140+BG227*BG140+BH227*BH140+BI227*BI140+BJ227*BJ140+BK227*BK140+BL227*BL140+BM227*BM140+BN227*BN140+BO227*BO140+BP227*BP140+BQ227*BQ140+BR227*BR140+BS227*BS140+BT227*BT140+BU227*BU140+BV227*BV140+BW227*BW140+BX227*BX140+BY227*BY140+BZ227*BZ140+CA227*CA140+CB227*CB140+CC227*CC140</f>
        <v>0</v>
      </c>
      <c r="CN140" s="2387">
        <f>E228*E140+F228*F140+G228*G140+H228*H140+I228*I140+J228*J140+K228*K140+L228*L140+M228*M140+N228*N140+O228*O140+P228*P140+Q228*Q140+R228*R140+S228*S140+T228*T140+U228*U140+V228*V140+W228*W140+X228*X140+Y228*Y140+Z228*Z140+AA228*AA140+AB228*AB140+AC228*AC140+AD228*AD140+AE228*AE140+AF228*AF140+AG228*AG140+AH228*AH140+AI228*AI140+AJ228*AJ140+AK228*AK140+AL228*AL140+AM228*AM140+AN228*AN140+AO228*AO140+AP228*AP140+AQ228*AQ140+AR228*AR140+AS228*AS140+AT228*AT140+AU228*AU140+AV228*AV140+AW228*AW140+AX228*AX140+AY228*AY140+AZ228*AZ140+BA228*BA140+BB228*BB140+BC228*BC140+BD228*BD140+BE228*BE140+BF228*BF140+BG228*BG140+BH228*BH140+BI228*BI140+BJ228*BJ140+BK228*BK140+BL228*BL140+BM228*BM140+BN228*BN140+BO228*BO140+BP228*BP140+BQ228*BQ140+BR228*BR140+BS228*BS140+BT228*BT140+BU228*BU140+BV228*BV140+BW228*BW140+BX228*BX140+BY228*BY140+BZ228*BZ140+CA228*CA140+CB228*CB140+CC228*CC140</f>
        <v>0</v>
      </c>
      <c r="CO140" s="2387">
        <f>E229*E140+F229*F140+G229*G140+H229*H140+I229*I140+J229*J140+K229*K140+L229*L140+M229*M140+N229*N140+O229*O140+P229*P140+Q229*Q140+R229*R140+S229*S140+T229*T140+U229*U140+V229*V140+W229*W140+X229*X140+Y229*Y140+Z229*Z140+AA229*AA140+AB229*AB140+AC229*AC140+AD229*AD140+AE229*AE140+AF229*AF140+AG229*AG140+AH229*AH140+AI229*AI140+AJ229*AJ140+AK229*AK140+AL229*AL140+AM229*AM140+AN229*AN140+AO229*AO140+AP229*AP140+AQ229*AQ140+AR229*AR140+AS229*AS140+AT229*AT140+AU229*AU140+AV229*AV140+AW229*AW140+AX229*AX140+AY229*AY140+AZ229*AZ140+BA229*BA140+BB229*BB140+BC229*BC140+BD229*BD140+BE229*BE140+BF229*BF140+BG229*BG140+BH229*BH140+BI229*BI140+BJ229*BJ140+BK229*BK140+BL229*BL140+BM229*BM140+BN229*BN140+BO229*BO140+BP229*BP140+BQ229*BQ140+BR229*BR140+BS229*BS140+BT229*BT140+BU229*BU140+BV229*BV140+BW229*BW140+BX229*BX140+BY229*BY140+BZ229*BZ140+CA229*CA140+CB229*CB140+CC229*CC140</f>
        <v>0</v>
      </c>
      <c r="CP140" s="2387">
        <f>E230*E140+F230*F140+G230*G140+H230*H140+I230*I140+J230*J140+K230*K140+L230*L140+M230*M140+N230*N140+O230*O140+P230*P140+Q230*Q140+R230*R140+S230*S140+T230*T140+U230*U140+V230*V140+W230*W140+X230*X140+Y230*Y140+Z230*Z140+AA230*AA140+AB230*AB140+AC230*AC140+AD230*AD140+AE230*AE140+AF230*AF140+AG230*AG140+AH230*AH140+AI230*AI140+AJ230*AJ140+AK230*AK140+AL230*AL140+AM230*AM140+AN230*AN140+AO230*AO140+AP230*AP140+AQ230*AQ140+AR230*AR140+AS230*AS140+AT230*AT140+AU230*AU140+AV230*AV140+AW230*AW140+AX230*AX140+AY230*AY140+AZ230*AZ140+BA230*BA140+BB230*BB140+BC230*BC140+BD230*BD140+BE230*BE140+BF230*BF140+BG230*BG140+BH230*BH140+BI230*BI140+BJ230*BJ140+BK230*BK140+BL230*BL140+BM230*BM140+BN230*BN140+BO230*BO140+BP230*BP140+BQ230*BQ140+BR230*BR140+BS230*BS140+BT230*BT140+BU230*BU140+BV230*BV140+BW230*BW140+BX230*BX140+BY230*BY140+BZ230*BZ140+CA230*CA140+CB230*CB140+CC230*CC140</f>
        <v>0</v>
      </c>
    </row>
    <row r="141" spans="2:94" ht="18" x14ac:dyDescent="0.25">
      <c r="B141" s="1585">
        <v>22</v>
      </c>
      <c r="C141" s="628" t="s">
        <v>244</v>
      </c>
      <c r="D141" s="629" t="s">
        <v>1667</v>
      </c>
      <c r="E141" s="974">
        <f>0</f>
        <v>0</v>
      </c>
      <c r="F141" s="974">
        <f>0</f>
        <v>0</v>
      </c>
      <c r="G141" s="974">
        <f>0</f>
        <v>0</v>
      </c>
      <c r="H141" s="974">
        <f>0</f>
        <v>0</v>
      </c>
      <c r="I141" s="974">
        <f>0</f>
        <v>0</v>
      </c>
      <c r="J141" s="974">
        <f>0</f>
        <v>0</v>
      </c>
      <c r="K141" s="974">
        <f>0</f>
        <v>0</v>
      </c>
      <c r="L141" s="974">
        <f>0</f>
        <v>0</v>
      </c>
      <c r="M141" s="1417">
        <f>-1/Y_CASTO_PHA_ox</f>
        <v>-1.5649452269170578</v>
      </c>
      <c r="N141" s="975">
        <f>0</f>
        <v>0</v>
      </c>
      <c r="O141" s="974">
        <f>0</f>
        <v>0</v>
      </c>
      <c r="P141" s="974">
        <f>0</f>
        <v>0</v>
      </c>
      <c r="Q141" s="974">
        <f>0</f>
        <v>0</v>
      </c>
      <c r="R141" s="974">
        <f>1</f>
        <v>1</v>
      </c>
      <c r="S141" s="974">
        <f>0</f>
        <v>0</v>
      </c>
      <c r="T141" s="974">
        <f>0</f>
        <v>0</v>
      </c>
      <c r="U141" s="974">
        <f>0</f>
        <v>0</v>
      </c>
      <c r="V141" s="974">
        <f>0</f>
        <v>0</v>
      </c>
      <c r="W141" s="974">
        <f>0</f>
        <v>0</v>
      </c>
      <c r="X141" s="974">
        <f>0</f>
        <v>0</v>
      </c>
      <c r="Y141" s="974">
        <f>-i_N_BIO</f>
        <v>-7.0000000000000007E-2</v>
      </c>
      <c r="Z141" s="974">
        <f>0</f>
        <v>0</v>
      </c>
      <c r="AA141" s="974">
        <f>0</f>
        <v>0</v>
      </c>
      <c r="AB141" s="974">
        <f>0</f>
        <v>0</v>
      </c>
      <c r="AC141" s="974">
        <f>0</f>
        <v>0</v>
      </c>
      <c r="AD141" s="974">
        <f>0</f>
        <v>0</v>
      </c>
      <c r="AE141" s="974">
        <f>0</f>
        <v>0</v>
      </c>
      <c r="AF141" s="975">
        <f>0</f>
        <v>0</v>
      </c>
      <c r="AG141" s="975">
        <f>-i_P_BIO</f>
        <v>-0.02</v>
      </c>
      <c r="AH141" s="974">
        <f>0</f>
        <v>0</v>
      </c>
      <c r="AI141" s="974">
        <f>0</f>
        <v>0</v>
      </c>
      <c r="AJ141" s="974">
        <f>0</f>
        <v>0</v>
      </c>
      <c r="AK141" s="1417">
        <f>-(1-Y_CASTO_PHA_ox)/Y_CASTO_PHA_ox</f>
        <v>-0.56494522691705784</v>
      </c>
      <c r="AL141" s="975">
        <f>0</f>
        <v>0</v>
      </c>
      <c r="AM141" s="975">
        <f>0</f>
        <v>0</v>
      </c>
      <c r="AN141" s="1417">
        <f>(i_CIT_PHA/Y_CASTO_PHA_ox)-i_CIT_BIO</f>
        <v>0.16912676056338027</v>
      </c>
      <c r="AO141" s="1003">
        <f>i_INORG</f>
        <v>0.11</v>
      </c>
      <c r="AP141" s="1003">
        <f>-i_INORG*(1-i_Ca_INORG*(A_MCa+2*A_MCl)/A_MCa-i_Mg_INORG*(A_MMg+2*A_MCl)/A_MMg)*f_Na</f>
        <v>-2.8804303582798466E-2</v>
      </c>
      <c r="AQ141" s="1003">
        <f>-i_INORG*(i_Ca_INORG*(2*A_MCl)/A_MCa+i_Mg_INORG*(2*A_MCl)/A_MMg)-i_INORG*(1-i_Ca_INORG*(A_MCa+2*A_MCl)/A_MCa-i_Mg_INORG*(A_MMg+2*A_MCl)/A_MMg)*(1-f_Na)</f>
        <v>-7.0195696417201539E-2</v>
      </c>
      <c r="AR141" s="1003">
        <f>-i_INORG*i_Ca_INORG+i_Ca_PP*A_MCa/A_MP*i_P_BIO</f>
        <v>-2.9121322594773459E-3</v>
      </c>
      <c r="AS141" s="1003">
        <f>-i_INORG*i_Mg_INORG+i_Mg_PP*A_MMg/A_MP*i_P_BIO</f>
        <v>-7.1251305726128047E-6</v>
      </c>
      <c r="AT141" s="975">
        <f>i_K_PP*A_MK/A_MP*i_P_BIO</f>
        <v>2.5246077468755158E-3</v>
      </c>
      <c r="AU141" s="975">
        <f>0</f>
        <v>0</v>
      </c>
      <c r="AV141" s="975">
        <f>0</f>
        <v>0</v>
      </c>
      <c r="AW141" s="975">
        <f>0</f>
        <v>0</v>
      </c>
      <c r="AX141" s="975">
        <f>0</f>
        <v>0</v>
      </c>
      <c r="AY141" s="975">
        <f>0</f>
        <v>0</v>
      </c>
      <c r="AZ141" s="975">
        <f>0</f>
        <v>0</v>
      </c>
      <c r="BA141" s="975">
        <f>0</f>
        <v>0</v>
      </c>
      <c r="BB141" s="975">
        <f>0</f>
        <v>0</v>
      </c>
      <c r="BC141" s="975">
        <f>0</f>
        <v>0</v>
      </c>
      <c r="BD141" s="975">
        <f>0</f>
        <v>0</v>
      </c>
      <c r="BE141" s="975">
        <f>0</f>
        <v>0</v>
      </c>
      <c r="BF141" s="975">
        <f>0</f>
        <v>0</v>
      </c>
      <c r="BG141" s="975">
        <f>0</f>
        <v>0</v>
      </c>
      <c r="BH141" s="975">
        <f>0</f>
        <v>0</v>
      </c>
      <c r="BI141" s="975">
        <f>0</f>
        <v>0</v>
      </c>
      <c r="BJ141" s="975">
        <f>0</f>
        <v>0</v>
      </c>
      <c r="BK141" s="975">
        <f>0</f>
        <v>0</v>
      </c>
      <c r="BL141" s="1078">
        <f>0</f>
        <v>0</v>
      </c>
      <c r="BM141" s="975">
        <f>0</f>
        <v>0</v>
      </c>
      <c r="BN141" s="975">
        <f>0</f>
        <v>0</v>
      </c>
      <c r="BO141" s="975">
        <f>0</f>
        <v>0</v>
      </c>
      <c r="BP141" s="1417">
        <f>0</f>
        <v>0</v>
      </c>
      <c r="BQ141" s="2366">
        <f>0</f>
        <v>0</v>
      </c>
      <c r="BR141" s="975">
        <f>0</f>
        <v>0</v>
      </c>
      <c r="BS141" s="975">
        <f>0</f>
        <v>0</v>
      </c>
      <c r="BT141" s="975">
        <f>0</f>
        <v>0</v>
      </c>
      <c r="BU141" s="975">
        <f>0</f>
        <v>0</v>
      </c>
      <c r="BV141" s="975">
        <f>0</f>
        <v>0</v>
      </c>
      <c r="BW141" s="975">
        <f>0</f>
        <v>0</v>
      </c>
      <c r="BX141" s="975">
        <f>0</f>
        <v>0</v>
      </c>
      <c r="BY141" s="975">
        <f>0</f>
        <v>0</v>
      </c>
      <c r="BZ141" s="975">
        <f>0</f>
        <v>0</v>
      </c>
      <c r="CA141" s="975">
        <f>0</f>
        <v>0</v>
      </c>
      <c r="CB141" s="975">
        <f>0</f>
        <v>0</v>
      </c>
      <c r="CC141" s="975">
        <f>0</f>
        <v>0</v>
      </c>
      <c r="CD141" s="1652">
        <f>µ_PAO_lim_T*X_PAO*M_RsatXPHA_XPAO_KPHA*M_satSO2_KO2_CASTO*M_satSNHx_KNHx_BIO*M_inhSPO4_KiPO4_lim*M_satXPP_KPP_lim*M_satSCAT_KCAT*M_satSAN_KAN*M_satSCa_KCa*M_satSMg_KMg*B_ellinhpH</f>
        <v>1.6759891744191493</v>
      </c>
      <c r="CF141" s="2385">
        <f>E220*E141+F220*F141+G220*G141+H220*H141+I220*I141+J220*J141+K220*K141+L220*L141+M220*M141+N220*N141+O220*O141+P220*P141+Q220*Q141+R220*R141+S220*S141+T220*T141+U220*U141+V220*V141+W220*W141+X220*X141+Y220*Y141+Z220*Z141+AA220*AA141+AB220*AB141+AC220*AC141+AD220*AD141+AE220*AE141+AF220*AF141+AG220*AG141+AH220*AH141+AI220*AI141+AJ220*AJ141+AK220*AK141+AL220*AL141+AM220*AM141+AN220*AN141+AO220*AO141+AP220*AP141+AQ220*AQ141+AR220*AR141+AS220*AS141+AT220*AT141+AU220*AU141+AV220*AV141+AW220*AW141+AX220*AX141+AY220*AY141+AZ220*AZ141+BA220*BA141+BB220*BB141+BC220*BC141+BD220*BD141+BE220*BE141+BF220*BF141+BG220*BG141+BH220*BH141+BI220*BI141+BJ220*BJ141+BK220*BK141+BL220*BL141+BM220*BM141+BN220*BN141+BO220*BO141+BP220*BP141+BQ220*BQ141+BR220*BR141+BS220*BS141+BT220*BT141+BU220*BU141+BV220*BV141+BW220*BW141+BX220*BX141+BY220*BY141+BZ220*BZ141+CA220*CA141+CB220*CB141+CC220*CC141</f>
        <v>0</v>
      </c>
      <c r="CG141" s="2385">
        <f>E221*E141+F221*F141+G221*G141+H221*H141+I221*I141+J221*J141+K221*K141+L221*L141+M221*M141+N221*N141+O221*O141+P221*P141+Q221*Q141+R221*R141+S221*S141+T221*T141+U221*U141+V221*V141+W221*W141+X221*X141+Y221*Y141+Z221*Z141+AA221*AA141+AB221*AB141+AC221*AC141+AD221*AD141+AE221*AE141+AF221*AF141+AG221*AG141+AH221*AH141+AI221*AI141+AJ221*AJ141+AK221*AK141+AL221*AL141+AM221*AM141+AN221*AN141+AO221*AO141+AP221*AP141+AQ221*AQ141+AR221*AR141+AS221*AS141+AT221*AT141+AU221*AU141+AV221*AV141+AW221*AW141+AX221*AX141+AY221*AY141+AZ221*AZ141+BA221*BA141+BB221*BB141+BC221*BC141+BD221*BD141+BE221*BE141+BF221*BF141+BG221*BG141+BH221*BH141+BI221*BI141+BJ221*BJ141+BK221*BK141+BL221*BL141+BM221*BM141+BN221*BN141+BO221*BO141+BP221*BP141+BQ221*BQ141+BR221*BR141+BS221*BS141+BT221*BT141+BU221*BU141+BV221*BV141+BW221*BW141+BX221*BX141+BY221*BY141+BZ221*BZ141+CA221*CA141+CB221*CB141+CC221*CC141</f>
        <v>0</v>
      </c>
      <c r="CH141" s="2386">
        <f>E222*E141+F222*F141+G222*G141+H222*H141+I222*I141+J222*J141+K222*K141+L222*L141+M222*M141+N222*N141+O222*O141+P222*P141+Q222*Q141+R222*R141+S222*S141+T222*T141+U222*U141+V222*V141+W222*W141+X222*X141+Y222*Y141+Z222*Z141+AA222*AA141+AB222*AB141+AC222*AC141+AD222*AD141+AE222*AE141+AF222*AF141+AG222*AG141+AH222*AH141+AI222*AI141+AJ222*AJ141+AK222*AK141+AL222*AL141+AM222*AM141+AN222*AN141+AO222*AO141+AP222*AP141+AQ222*AQ141+AR222*AR141+AS222*AS141+AT222*AT141+AU222*AU141+AV222*AV141+AW222*AW141+AX222*AX141+AY222*AY141+AZ222*AZ141+BA222*BA141+BB222*BB141+BC222*BC141+BD222*BD141+BE222*BE141+BF222*BF141+BG222*BG141+BH222*BH141+BI222*BI141+BJ222*BJ141+BK222*BK141+BL222*BL141+BM222*BM141+BN222*BN141+BO222*BO141+BP222*BP141+BQ222*BQ141+BR222*BR141+BS222*BS141+BT222*BT141+BU222*BU141+BV222*BV141+BW222*BW141+BX222*BX141+BY222*BY141+BZ222*BZ141+CA222*CA141+CB222*CB141+CC222*CC141</f>
        <v>0</v>
      </c>
      <c r="CI141" s="2387">
        <f>E223*E141+F223*F141+G223*G141+H223*H141+I223*I141+J223*J141+K223*K141+L223*L141+M223*M141+N223*N141+O223*O141+P223*P141+Q223*Q141+R223*R141+S223*S141+T223*T141+U223*U141+V223*V141+W223*W141+X223*X141+Y223*Y141+Z223*Z141+AA223*AA141+AB223*AB141+AC223*AC141+AD223*AD141+AE223*AE141+AF223*AF141+AG223*AG141+AH223*AH141+AI223*AI141+AJ223*AJ141+AK223*AK141+AL223*AL141+AM223*AM141+AN223*AN141+AO223*AO141+AP223*AP141+AQ223*AQ141+AR223*AR141+AS223*AS141+AT223*AT141+AU223*AU141+AV223*AV141+AW223*AW141+AX223*AX141+AY223*AY141+AZ223*AZ141+BA223*BA141+BB223*BB141+BC223*BC141+BD223*BD141+BE223*BE141+BF223*BF141+BG223*BG141+BH223*BH141+BI223*BI141+BJ223*BJ141+BK223*BK141+BL223*BL141+BM223*BM141+BN223*BN141+BO223*BO141+BP223*BP141+BQ223*BQ141+BR223*BR141+BS223*BS141+BT223*BT141+BU223*BU141+BV223*BV141+BW223*BW141+BX223*BX141+BY223*BY141+BZ223*BZ141+CA223*CA141+CB223*CB141+CC223*CC141</f>
        <v>0</v>
      </c>
      <c r="CJ141" s="2387">
        <f>E224*E141+F224*F141+G224*G141+H224*H141+I224*I141+J224*J141+K224*K141+L224*L141+M224*M141+N224*N141+O224*O141+P224*P141+Q224*Q141+R224*R141+S224*S141+T224*T141+U224*U141+V224*V141+W224*W141+X224*X141+Y224*Y141+Z224*Z141+AA224*AA141+AB224*AB141+AC224*AC141+AD224*AD141+AE224*AE141+AF224*AF141+AG224*AG141+AH224*AH141+AI224*AI141+AJ224*AJ141+AK224*AK141+AL224*AL141+AM224*AM141+AN224*AN141+AO224*AO141+AP224*AP141+AQ224*AQ141+AR224*AR141+AS224*AS141+AT224*AT141+AU224*AU141+AV224*AV141+AW224*AW141+AX224*AX141+AY224*AY141+AZ224*AZ141+BA224*BA141+BB224*BB141+BC224*BC141+BD224*BD141+BE224*BE141+BF224*BF141+BG224*BG141+BH224*BH141+BI224*BI141+BJ224*BJ141+BK224*BK141+BL224*BL141+BM224*BM141+BN224*BN141+BO224*BO141+BP224*BP141+BQ224*BQ141+BR224*BR141+BS224*BS141+BT224*BT141+BU224*BU141+BV224*BV141+BW224*BW141+BX224*BX141+BY224*BY141+BZ224*BZ141+CA224*CA141+CB224*CB141+CC224*CC141</f>
        <v>0</v>
      </c>
      <c r="CK141" s="2387">
        <f>E225*E141+F225*F141+G225*G141+H225*H141+I225*I141+J225*J141+K225*K141+L225*L141+M225*M141+N225*N141+O225*O141+P225*P141+Q225*Q141+R225*R141+S225*S141+T225*T141+U225*U141+V225*V141+W225*W141+X225*X141+Y225*Y141+Z225*Z141+AA225*AA141+AB225*AB141+AC225*AC141+AD225*AD141+AE225*AE141+AF225*AF141+AG225*AG141+AH225*AH141+AI225*AI141+AJ225*AJ141+AK225*AK141+AL225*AL141+AM225*AM141+AN225*AN141+AO225*AO141+AP225*AP141+AQ225*AQ141+AR225*AR141+AS225*AS141+AT225*AT141+AU225*AU141+AV225*AV141+AW225*AW141+AX225*AX141+AY225*AY141+AZ225*AZ141+BA225*BA141+BB225*BB141+BC225*BC141+BD225*BD141+BE225*BE141+BF225*BF141+BG225*BG141+BH225*BH141+BI225*BI141+BJ225*BJ141+BK225*BK141+BL225*BL141+BM225*BM141+BN225*BN141+BO225*BO141+BP225*BP141+BQ225*BQ141+BR225*BR141+BS225*BS141+BT225*BT141+BU225*BU141+BV225*BV141+BW225*BW141+BX225*BX141+BY225*BY141+BZ225*BZ141+CA225*CA141+CB225*CB141+CC225*CC141</f>
        <v>0</v>
      </c>
      <c r="CL141" s="2387">
        <f>E226*E141+F226*F141+G226*G141+H226*H141+I226*I141+J226*J141+K226*K141+L226*L141+M226*M141+N226*N141+O226*O141+P226*P141+Q226*Q141+R226*R141+S226*S141+T226*T141+U226*U141+V226*V141+W226*W141+X226*X141+Y226*Y141+Z226*Z141+AA226*AA141+AB226*AB141+AC226*AC141+AD226*AD141+AE226*AE141+AF226*AF141+AG226*AG141+AH226*AH141+AI226*AI141+AJ226*AJ141+AK226*AK141+AL226*AL141+AM226*AM141+AN226*AN141+AO226*AO141+AP226*AP141+AQ226*AQ141+AR226*AR141+AS226*AS141+AT226*AT141+AU226*AU141+AV226*AV141+AW226*AW141+AX226*AX141+AY226*AY141+AZ226*AZ141+BA226*BA141+BB226*BB141+BC226*BC141+BD226*BD141+BE226*BE141+BF226*BF141+BG226*BG141+BH226*BH141+BI226*BI141+BJ226*BJ141+BK226*BK141+BL226*BL141+BM226*BM141+BN226*BN141+BO226*BO141+BP226*BP141+BQ226*BQ141+BR226*BR141+BS226*BS141+BT226*BT141+BU226*BU141+BV226*BV141+BW226*BW141+BX226*BX141+BY226*BY141+BZ226*BZ141+CA226*CA141+CB226*CB141+CC226*CC141</f>
        <v>0</v>
      </c>
      <c r="CM141" s="2387">
        <f>E227*E141+F227*F141+G227*G141+H227*H141+I227*I141+J227*J141+K227*K141+L227*L141+M227*M141+N227*N141+O227*O141+P227*P141+Q227*Q141+R227*R141+S227*S141+T227*T141+U227*U141+V227*V141+W227*W141+X227*X141+Y227*Y141+Z227*Z141+AA227*AA141+AB227*AB141+AC227*AC141+AD227*AD141+AE227*AE141+AF227*AF141+AG227*AG141+AH227*AH141+AI227*AI141+AJ227*AJ141+AK227*AK141+AL227*AL141+AM227*AM141+AN227*AN141+AO227*AO141+AP227*AP141+AQ227*AQ141+AR227*AR141+AS227*AS141+AT227*AT141+AU227*AU141+AV227*AV141+AW227*AW141+AX227*AX141+AY227*AY141+AZ227*AZ141+BA227*BA141+BB227*BB141+BC227*BC141+BD227*BD141+BE227*BE141+BF227*BF141+BG227*BG141+BH227*BH141+BI227*BI141+BJ227*BJ141+BK227*BK141+BL227*BL141+BM227*BM141+BN227*BN141+BO227*BO141+BP227*BP141+BQ227*BQ141+BR227*BR141+BS227*BS141+BT227*BT141+BU227*BU141+BV227*BV141+BW227*BW141+BX227*BX141+BY227*BY141+BZ227*BZ141+CA227*CA141+CB227*CB141+CC227*CC141</f>
        <v>0</v>
      </c>
      <c r="CN141" s="2387">
        <f>E228*E141+F228*F141+G228*G141+H228*H141+I228*I141+J228*J141+K228*K141+L228*L141+M228*M141+N228*N141+O228*O141+P228*P141+Q228*Q141+R228*R141+S228*S141+T228*T141+U228*U141+V228*V141+W228*W141+X228*X141+Y228*Y141+Z228*Z141+AA228*AA141+AB228*AB141+AC228*AC141+AD228*AD141+AE228*AE141+AF228*AF141+AG228*AG141+AH228*AH141+AI228*AI141+AJ228*AJ141+AK228*AK141+AL228*AL141+AM228*AM141+AN228*AN141+AO228*AO141+AP228*AP141+AQ228*AQ141+AR228*AR141+AS228*AS141+AT228*AT141+AU228*AU141+AV228*AV141+AW228*AW141+AX228*AX141+AY228*AY141+AZ228*AZ141+BA228*BA141+BB228*BB141+BC228*BC141+BD228*BD141+BE228*BE141+BF228*BF141+BG228*BG141+BH228*BH141+BI228*BI141+BJ228*BJ141+BK228*BK141+BL228*BL141+BM228*BM141+BN228*BN141+BO228*BO141+BP228*BP141+BQ228*BQ141+BR228*BR141+BS228*BS141+BT228*BT141+BU228*BU141+BV228*BV141+BW228*BW141+BX228*BX141+BY228*BY141+BZ228*BZ141+CA228*CA141+CB228*CB141+CC228*CC141</f>
        <v>0</v>
      </c>
      <c r="CO141" s="2387">
        <f>E229*E141+F229*F141+G229*G141+H229*H141+I229*I141+J229*J141+K229*K141+L229*L141+M229*M141+N229*N141+O229*O141+P229*P141+Q229*Q141+R229*R141+S229*S141+T229*T141+U229*U141+V229*V141+W229*W141+X229*X141+Y229*Y141+Z229*Z141+AA229*AA141+AB229*AB141+AC229*AC141+AD229*AD141+AE229*AE141+AF229*AF141+AG229*AG141+AH229*AH141+AI229*AI141+AJ229*AJ141+AK229*AK141+AL229*AL141+AM229*AM141+AN229*AN141+AO229*AO141+AP229*AP141+AQ229*AQ141+AR229*AR141+AS229*AS141+AT229*AT141+AU229*AU141+AV229*AV141+AW229*AW141+AX229*AX141+AY229*AY141+AZ229*AZ141+BA229*BA141+BB229*BB141+BC229*BC141+BD229*BD141+BE229*BE141+BF229*BF141+BG229*BG141+BH229*BH141+BI229*BI141+BJ229*BJ141+BK229*BK141+BL229*BL141+BM229*BM141+BN229*BN141+BO229*BO141+BP229*BP141+BQ229*BQ141+BR229*BR141+BS229*BS141+BT229*BT141+BU229*BU141+BV229*BV141+BW229*BW141+BX229*BX141+BY229*BY141+BZ229*BZ141+CA229*CA141+CB229*CB141+CC229*CC141</f>
        <v>0</v>
      </c>
      <c r="CP141" s="2387">
        <f>E230*E141+F230*F141+G230*G141+H230*H141+I230*I141+J230*J141+K230*K141+L230*L141+M230*M141+N230*N141+O230*O141+P230*P141+Q230*Q141+R230*R141+S230*S141+T230*T141+U230*U141+V230*V141+W230*W141+X230*X141+Y230*Y141+Z230*Z141+AA230*AA141+AB230*AB141+AC230*AC141+AD230*AD141+AE230*AE141+AF230*AF141+AG230*AG141+AH230*AH141+AI230*AI141+AJ230*AJ141+AK230*AK141+AL230*AL141+AM230*AM141+AN230*AN141+AO230*AO141+AP230*AP141+AQ230*AQ141+AR230*AR141+AS230*AS141+AT230*AT141+AU230*AU141+AV230*AV141+AW230*AW141+AX230*AX141+AY230*AY141+AZ230*AZ141+BA230*BA141+BB230*BB141+BC230*BC141+BD230*BD141+BE230*BE141+BF230*BF141+BG230*BG141+BH230*BH141+BI230*BI141+BJ230*BJ141+BK230*BK141+BL230*BL141+BM230*BM141+BN230*BN141+BO230*BO141+BP230*BP141+BQ230*BQ141+BR230*BR141+BS230*BS141+BT230*BT141+BU230*BU141+BV230*BV141+BW230*BW141+BX230*BX141+BY230*BY141+BZ230*BZ141+CA230*CA141+CB230*CB141+CC230*CC141</f>
        <v>0</v>
      </c>
    </row>
    <row r="142" spans="2:94" ht="18" x14ac:dyDescent="0.25">
      <c r="B142" s="1585">
        <v>23</v>
      </c>
      <c r="C142" s="628" t="s">
        <v>245</v>
      </c>
      <c r="D142" s="629" t="s">
        <v>2273</v>
      </c>
      <c r="E142" s="974">
        <f>0</f>
        <v>0</v>
      </c>
      <c r="F142" s="974">
        <f>0</f>
        <v>0</v>
      </c>
      <c r="G142" s="974">
        <f>0</f>
        <v>0</v>
      </c>
      <c r="H142" s="974">
        <f>0</f>
        <v>0</v>
      </c>
      <c r="I142" s="974">
        <f>0</f>
        <v>0</v>
      </c>
      <c r="J142" s="974">
        <f>0</f>
        <v>0</v>
      </c>
      <c r="K142" s="974">
        <f>0</f>
        <v>0</v>
      </c>
      <c r="L142" s="974">
        <f>0</f>
        <v>0</v>
      </c>
      <c r="M142" s="1417">
        <f>-1/Y_CASTO_PHA_anox</f>
        <v>-1.9230769230769229</v>
      </c>
      <c r="N142" s="975">
        <f>0</f>
        <v>0</v>
      </c>
      <c r="O142" s="974">
        <f>0</f>
        <v>0</v>
      </c>
      <c r="P142" s="974">
        <f>0</f>
        <v>0</v>
      </c>
      <c r="Q142" s="974">
        <f>0</f>
        <v>0</v>
      </c>
      <c r="R142" s="974">
        <f>1</f>
        <v>1</v>
      </c>
      <c r="S142" s="974">
        <f>0</f>
        <v>0</v>
      </c>
      <c r="T142" s="974">
        <f>0</f>
        <v>0</v>
      </c>
      <c r="U142" s="974">
        <f>0</f>
        <v>0</v>
      </c>
      <c r="V142" s="974">
        <f>0</f>
        <v>0</v>
      </c>
      <c r="W142" s="974">
        <f>0</f>
        <v>0</v>
      </c>
      <c r="X142" s="974">
        <f>0</f>
        <v>0</v>
      </c>
      <c r="Y142" s="974">
        <f>-i_N_BIO</f>
        <v>-7.0000000000000007E-2</v>
      </c>
      <c r="Z142" s="975">
        <f>-(1-Y_CASTO_PHA_anox)/(E_EQN2_NO2*Y_CASTO_PHA_anox)</f>
        <v>-0.53873943349798692</v>
      </c>
      <c r="AA142" s="975">
        <f>0</f>
        <v>0</v>
      </c>
      <c r="AB142" s="975">
        <f>(1-Y_CASTO_PHA_anox)/(E_EQN2_NO2*Y_CASTO_PHA_anox)</f>
        <v>0.53873943349798692</v>
      </c>
      <c r="AC142" s="974">
        <f>0</f>
        <v>0</v>
      </c>
      <c r="AD142" s="974">
        <f>0</f>
        <v>0</v>
      </c>
      <c r="AE142" s="974">
        <f>0</f>
        <v>0</v>
      </c>
      <c r="AF142" s="975">
        <f>0</f>
        <v>0</v>
      </c>
      <c r="AG142" s="975">
        <f>-i_P_BIO</f>
        <v>-0.02</v>
      </c>
      <c r="AH142" s="974">
        <f>0</f>
        <v>0</v>
      </c>
      <c r="AI142" s="974">
        <f>0</f>
        <v>0</v>
      </c>
      <c r="AJ142" s="974">
        <f>0</f>
        <v>0</v>
      </c>
      <c r="AK142" s="975">
        <f>0</f>
        <v>0</v>
      </c>
      <c r="AL142" s="975">
        <f>0</f>
        <v>0</v>
      </c>
      <c r="AM142" s="975">
        <f>0</f>
        <v>0</v>
      </c>
      <c r="AN142" s="1417">
        <f>(i_CIT_PHA/Y_CASTO_PHA_anox)-i_CIT_BIO</f>
        <v>0.28838461538461546</v>
      </c>
      <c r="AO142" s="1003">
        <f>i_INORG</f>
        <v>0.11</v>
      </c>
      <c r="AP142" s="1003">
        <f>-i_INORG*(1-i_Ca_INORG*(A_MCa+2*A_MCl)/A_MCa-i_Mg_INORG*(A_MMg+2*A_MCl)/A_MMg)*f_Na</f>
        <v>-2.8804303582798466E-2</v>
      </c>
      <c r="AQ142" s="1003">
        <f>-i_INORG*(i_Ca_INORG*(2*A_MCl)/A_MCa+i_Mg_INORG*(2*A_MCl)/A_MMg)-i_INORG*(1-i_Ca_INORG*(A_MCa+2*A_MCl)/A_MCa-i_Mg_INORG*(A_MMg+2*A_MCl)/A_MMg)*(1-f_Na)</f>
        <v>-7.0195696417201539E-2</v>
      </c>
      <c r="AR142" s="1003">
        <f>-i_INORG*i_Ca_INORG+i_Ca_PP*A_MCa/A_MP*i_P_BIO</f>
        <v>-2.9121322594773459E-3</v>
      </c>
      <c r="AS142" s="1003">
        <f>-i_INORG*i_Mg_INORG+i_Mg_PP*A_MMg/A_MP*i_P_BIO</f>
        <v>-7.1251305726128047E-6</v>
      </c>
      <c r="AT142" s="975">
        <f>i_K_PP*A_MK/A_MP*i_P_BIO</f>
        <v>2.5246077468755158E-3</v>
      </c>
      <c r="AU142" s="975">
        <f>0</f>
        <v>0</v>
      </c>
      <c r="AV142" s="975">
        <f>0</f>
        <v>0</v>
      </c>
      <c r="AW142" s="975">
        <f>0</f>
        <v>0</v>
      </c>
      <c r="AX142" s="975">
        <f>0</f>
        <v>0</v>
      </c>
      <c r="AY142" s="975">
        <f>0</f>
        <v>0</v>
      </c>
      <c r="AZ142" s="975">
        <f>0</f>
        <v>0</v>
      </c>
      <c r="BA142" s="975">
        <f>0</f>
        <v>0</v>
      </c>
      <c r="BB142" s="975">
        <f>0</f>
        <v>0</v>
      </c>
      <c r="BC142" s="975">
        <f>0</f>
        <v>0</v>
      </c>
      <c r="BD142" s="975">
        <f>0</f>
        <v>0</v>
      </c>
      <c r="BE142" s="975">
        <f>0</f>
        <v>0</v>
      </c>
      <c r="BF142" s="975">
        <f>0</f>
        <v>0</v>
      </c>
      <c r="BG142" s="975">
        <f>0</f>
        <v>0</v>
      </c>
      <c r="BH142" s="975">
        <f>0</f>
        <v>0</v>
      </c>
      <c r="BI142" s="975">
        <f>0</f>
        <v>0</v>
      </c>
      <c r="BJ142" s="975">
        <f>0</f>
        <v>0</v>
      </c>
      <c r="BK142" s="975">
        <f>0</f>
        <v>0</v>
      </c>
      <c r="BL142" s="1078">
        <f>0</f>
        <v>0</v>
      </c>
      <c r="BM142" s="975">
        <f>0</f>
        <v>0</v>
      </c>
      <c r="BN142" s="975">
        <f>0</f>
        <v>0</v>
      </c>
      <c r="BO142" s="975">
        <f>0</f>
        <v>0</v>
      </c>
      <c r="BP142" s="1417">
        <f>0</f>
        <v>0</v>
      </c>
      <c r="BQ142" s="2366">
        <f>0</f>
        <v>0</v>
      </c>
      <c r="BR142" s="975">
        <f>0</f>
        <v>0</v>
      </c>
      <c r="BS142" s="975">
        <f>0</f>
        <v>0</v>
      </c>
      <c r="BT142" s="975">
        <f>0</f>
        <v>0</v>
      </c>
      <c r="BU142" s="975">
        <f>0</f>
        <v>0</v>
      </c>
      <c r="BV142" s="975">
        <f>0</f>
        <v>0</v>
      </c>
      <c r="BW142" s="975">
        <f>0</f>
        <v>0</v>
      </c>
      <c r="BX142" s="975">
        <f>0</f>
        <v>0</v>
      </c>
      <c r="BY142" s="975">
        <f>0</f>
        <v>0</v>
      </c>
      <c r="BZ142" s="975">
        <f>0</f>
        <v>0</v>
      </c>
      <c r="CA142" s="975">
        <f>0</f>
        <v>0</v>
      </c>
      <c r="CB142" s="975">
        <f>0</f>
        <v>0</v>
      </c>
      <c r="CC142" s="975">
        <f>0</f>
        <v>0</v>
      </c>
      <c r="CD142" s="1652">
        <f>µ_PAO_lim_T*X_PAO*η_CASTO_anox*M_RsatXPHA_XPAO_KPHA*M_inhSO2_KO2_CASTO*M_satSNO2_KNO2_CASTO*M_satSNHx_KNHx_BIO*M_inhSPO4_KiPO4_lim*M_satXPP_KPP_lim*M_satSCAT_KCAT*M_satSAN_KAN*M_satSCa_KCa*M_satSMg_KMg*B_ellinhpH</f>
        <v>1.8435880918610644E-2</v>
      </c>
      <c r="CF142" s="2385">
        <f>E220*E142+F220*F142+G220*G142+H220*H142+I220*I142+J220*J142+K220*K142+L220*L142+M220*M142+N220*N142+O220*O142+P220*P142+Q220*Q142+R220*R142+S220*S142+T220*T142+U220*U142+V220*V142+W220*W142+X220*X142+Y220*Y142+Z220*Z142+AA220*AA142+AB220*AB142+AC220*AC142+AD220*AD142+AE220*AE142+AF220*AF142+AG220*AG142+AH220*AH142+AI220*AI142+AJ220*AJ142+AK220*AK142+AL220*AL142+AM220*AM142+AN220*AN142+AO220*AO142+AP220*AP142+AQ220*AQ142+AR220*AR142+AS220*AS142+AT220*AT142+AU220*AU142+AV220*AV142+AW220*AW142+AX220*AX142+AY220*AY142+AZ220*AZ142+BA220*BA142+BB220*BB142+BC220*BC142+BD220*BD142+BE220*BE142+BF220*BF142+BG220*BG142+BH220*BH142+BI220*BI142+BJ220*BJ142+BK220*BK142+BL220*BL142+BM220*BM142+BN220*BN142+BO220*BO142+BP220*BP142+BQ220*BQ142+BR220*BR142+BS220*BS142+BT220*BT142+BU220*BU142+BV220*BV142+BW220*BW142+BX220*BX142+BY220*BY142+BZ220*BZ142+CA220*CA142+CB220*CB142+CC220*CC142</f>
        <v>0</v>
      </c>
      <c r="CG142" s="2385">
        <f>E221*E142+F221*F142+G221*G142+H221*H142+I221*I142+J221*J142+K221*K142+L221*L142+M221*M142+N221*N142+O221*O142+P221*P142+Q221*Q142+R221*R142+S221*S142+T221*T142+U221*U142+V221*V142+W221*W142+X221*X142+Y221*Y142+Z221*Z142+AA221*AA142+AB221*AB142+AC221*AC142+AD221*AD142+AE221*AE142+AF221*AF142+AG221*AG142+AH221*AH142+AI221*AI142+AJ221*AJ142+AK221*AK142+AL221*AL142+AM221*AM142+AN221*AN142+AO221*AO142+AP221*AP142+AQ221*AQ142+AR221*AR142+AS221*AS142+AT221*AT142+AU221*AU142+AV221*AV142+AW221*AW142+AX221*AX142+AY221*AY142+AZ221*AZ142+BA221*BA142+BB221*BB142+BC221*BC142+BD221*BD142+BE221*BE142+BF221*BF142+BG221*BG142+BH221*BH142+BI221*BI142+BJ221*BJ142+BK221*BK142+BL221*BL142+BM221*BM142+BN221*BN142+BO221*BO142+BP221*BP142+BQ221*BQ142+BR221*BR142+BS221*BS142+BT221*BT142+BU221*BU142+BV221*BV142+BW221*BW142+BX221*BX142+BY221*BY142+BZ221*BZ142+CA221*CA142+CB221*CB142+CC221*CC142</f>
        <v>1.1102230246251565E-16</v>
      </c>
      <c r="CH142" s="2386">
        <f>E222*E142+F222*F142+G222*G142+H222*H142+I222*I142+J222*J142+K222*K142+L222*L142+M222*M142+N222*N142+O222*O142+P222*P142+Q222*Q142+R222*R142+S222*S142+T222*T142+U222*U142+V222*V142+W222*W142+X222*X142+Y222*Y142+Z222*Z142+AA222*AA142+AB222*AB142+AC222*AC142+AD222*AD142+AE222*AE142+AF222*AF142+AG222*AG142+AH222*AH142+AI222*AI142+AJ222*AJ142+AK222*AK142+AL222*AL142+AM222*AM142+AN222*AN142+AO222*AO142+AP222*AP142+AQ222*AQ142+AR222*AR142+AS222*AS142+AT222*AT142+AU222*AU142+AV222*AV142+AW222*AW142+AX222*AX142+AY222*AY142+AZ222*AZ142+BA222*BA142+BB222*BB142+BC222*BC142+BD222*BD142+BE222*BE142+BF222*BF142+BG222*BG142+BH222*BH142+BI222*BI142+BJ222*BJ142+BK222*BK142+BL222*BL142+BM222*BM142+BN222*BN142+BO222*BO142+BP222*BP142+BQ222*BQ142+BR222*BR142+BS222*BS142+BT222*BT142+BU222*BU142+BV222*BV142+BW222*BW142+BX222*BX142+BY222*BY142+BZ222*BZ142+CA222*CA142+CB222*CB142+CC222*CC142</f>
        <v>0</v>
      </c>
      <c r="CI142" s="2387">
        <f>E223*E142+F223*F142+G223*G142+H223*H142+I223*I142+J223*J142+K223*K142+L223*L142+M223*M142+N223*N142+O223*O142+P223*P142+Q223*Q142+R223*R142+S223*S142+T223*T142+U223*U142+V223*V142+W223*W142+X223*X142+Y223*Y142+Z223*Z142+AA223*AA142+AB223*AB142+AC223*AC142+AD223*AD142+AE223*AE142+AF223*AF142+AG223*AG142+AH223*AH142+AI223*AI142+AJ223*AJ142+AK223*AK142+AL223*AL142+AM223*AM142+AN223*AN142+AO223*AO142+AP223*AP142+AQ223*AQ142+AR223*AR142+AS223*AS142+AT223*AT142+AU223*AU142+AV223*AV142+AW223*AW142+AX223*AX142+AY223*AY142+AZ223*AZ142+BA223*BA142+BB223*BB142+BC223*BC142+BD223*BD142+BE223*BE142+BF223*BF142+BG223*BG142+BH223*BH142+BI223*BI142+BJ223*BJ142+BK223*BK142+BL223*BL142+BM223*BM142+BN223*BN142+BO223*BO142+BP223*BP142+BQ223*BQ142+BR223*BR142+BS223*BS142+BT223*BT142+BU223*BU142+BV223*BV142+BW223*BW142+BX223*BX142+BY223*BY142+BZ223*BZ142+CA223*CA142+CB223*CB142+CC223*CC142</f>
        <v>0</v>
      </c>
      <c r="CJ142" s="2387">
        <f>E224*E142+F224*F142+G224*G142+H224*H142+I224*I142+J224*J142+K224*K142+L224*L142+M224*M142+N224*N142+O224*O142+P224*P142+Q224*Q142+R224*R142+S224*S142+T224*T142+U224*U142+V224*V142+W224*W142+X224*X142+Y224*Y142+Z224*Z142+AA224*AA142+AB224*AB142+AC224*AC142+AD224*AD142+AE224*AE142+AF224*AF142+AG224*AG142+AH224*AH142+AI224*AI142+AJ224*AJ142+AK224*AK142+AL224*AL142+AM224*AM142+AN224*AN142+AO224*AO142+AP224*AP142+AQ224*AQ142+AR224*AR142+AS224*AS142+AT224*AT142+AU224*AU142+AV224*AV142+AW224*AW142+AX224*AX142+AY224*AY142+AZ224*AZ142+BA224*BA142+BB224*BB142+BC224*BC142+BD224*BD142+BE224*BE142+BF224*BF142+BG224*BG142+BH224*BH142+BI224*BI142+BJ224*BJ142+BK224*BK142+BL224*BL142+BM224*BM142+BN224*BN142+BO224*BO142+BP224*BP142+BQ224*BQ142+BR224*BR142+BS224*BS142+BT224*BT142+BU224*BU142+BV224*BV142+BW224*BW142+BX224*BX142+BY224*BY142+BZ224*BZ142+CA224*CA142+CB224*CB142+CC224*CC142</f>
        <v>0</v>
      </c>
      <c r="CK142" s="2387">
        <f>E225*E142+F225*F142+G225*G142+H225*H142+I225*I142+J225*J142+K225*K142+L225*L142+M225*M142+N225*N142+O225*O142+P225*P142+Q225*Q142+R225*R142+S225*S142+T225*T142+U225*U142+V225*V142+W225*W142+X225*X142+Y225*Y142+Z225*Z142+AA225*AA142+AB225*AB142+AC225*AC142+AD225*AD142+AE225*AE142+AF225*AF142+AG225*AG142+AH225*AH142+AI225*AI142+AJ225*AJ142+AK225*AK142+AL225*AL142+AM225*AM142+AN225*AN142+AO225*AO142+AP225*AP142+AQ225*AQ142+AR225*AR142+AS225*AS142+AT225*AT142+AU225*AU142+AV225*AV142+AW225*AW142+AX225*AX142+AY225*AY142+AZ225*AZ142+BA225*BA142+BB225*BB142+BC225*BC142+BD225*BD142+BE225*BE142+BF225*BF142+BG225*BG142+BH225*BH142+BI225*BI142+BJ225*BJ142+BK225*BK142+BL225*BL142+BM225*BM142+BN225*BN142+BO225*BO142+BP225*BP142+BQ225*BQ142+BR225*BR142+BS225*BS142+BT225*BT142+BU225*BU142+BV225*BV142+BW225*BW142+BX225*BX142+BY225*BY142+BZ225*BZ142+CA225*CA142+CB225*CB142+CC225*CC142</f>
        <v>0</v>
      </c>
      <c r="CL142" s="2387">
        <f>E226*E142+F226*F142+G226*G142+H226*H142+I226*I142+J226*J142+K226*K142+L226*L142+M226*M142+N226*N142+O226*O142+P226*P142+Q226*Q142+R226*R142+S226*S142+T226*T142+U226*U142+V226*V142+W226*W142+X226*X142+Y226*Y142+Z226*Z142+AA226*AA142+AB226*AB142+AC226*AC142+AD226*AD142+AE226*AE142+AF226*AF142+AG226*AG142+AH226*AH142+AI226*AI142+AJ226*AJ142+AK226*AK142+AL226*AL142+AM226*AM142+AN226*AN142+AO226*AO142+AP226*AP142+AQ226*AQ142+AR226*AR142+AS226*AS142+AT226*AT142+AU226*AU142+AV226*AV142+AW226*AW142+AX226*AX142+AY226*AY142+AZ226*AZ142+BA226*BA142+BB226*BB142+BC226*BC142+BD226*BD142+BE226*BE142+BF226*BF142+BG226*BG142+BH226*BH142+BI226*BI142+BJ226*BJ142+BK226*BK142+BL226*BL142+BM226*BM142+BN226*BN142+BO226*BO142+BP226*BP142+BQ226*BQ142+BR226*BR142+BS226*BS142+BT226*BT142+BU226*BU142+BV226*BV142+BW226*BW142+BX226*BX142+BY226*BY142+BZ226*BZ142+CA226*CA142+CB226*CB142+CC226*CC142</f>
        <v>0</v>
      </c>
      <c r="CM142" s="2387">
        <f>E227*E142+F227*F142+G227*G142+H227*H142+I227*I142+J227*J142+K227*K142+L227*L142+M227*M142+N227*N142+O227*O142+P227*P142+Q227*Q142+R227*R142+S227*S142+T227*T142+U227*U142+V227*V142+W227*W142+X227*X142+Y227*Y142+Z227*Z142+AA227*AA142+AB227*AB142+AC227*AC142+AD227*AD142+AE227*AE142+AF227*AF142+AG227*AG142+AH227*AH142+AI227*AI142+AJ227*AJ142+AK227*AK142+AL227*AL142+AM227*AM142+AN227*AN142+AO227*AO142+AP227*AP142+AQ227*AQ142+AR227*AR142+AS227*AS142+AT227*AT142+AU227*AU142+AV227*AV142+AW227*AW142+AX227*AX142+AY227*AY142+AZ227*AZ142+BA227*BA142+BB227*BB142+BC227*BC142+BD227*BD142+BE227*BE142+BF227*BF142+BG227*BG142+BH227*BH142+BI227*BI142+BJ227*BJ142+BK227*BK142+BL227*BL142+BM227*BM142+BN227*BN142+BO227*BO142+BP227*BP142+BQ227*BQ142+BR227*BR142+BS227*BS142+BT227*BT142+BU227*BU142+BV227*BV142+BW227*BW142+BX227*BX142+BY227*BY142+BZ227*BZ142+CA227*CA142+CB227*CB142+CC227*CC142</f>
        <v>0</v>
      </c>
      <c r="CN142" s="2387">
        <f>E228*E142+F228*F142+G228*G142+H228*H142+I228*I142+J228*J142+K228*K142+L228*L142+M228*M142+N228*N142+O228*O142+P228*P142+Q228*Q142+R228*R142+S228*S142+T228*T142+U228*U142+V228*V142+W228*W142+X228*X142+Y228*Y142+Z228*Z142+AA228*AA142+AB228*AB142+AC228*AC142+AD228*AD142+AE228*AE142+AF228*AF142+AG228*AG142+AH228*AH142+AI228*AI142+AJ228*AJ142+AK228*AK142+AL228*AL142+AM228*AM142+AN228*AN142+AO228*AO142+AP228*AP142+AQ228*AQ142+AR228*AR142+AS228*AS142+AT228*AT142+AU228*AU142+AV228*AV142+AW228*AW142+AX228*AX142+AY228*AY142+AZ228*AZ142+BA228*BA142+BB228*BB142+BC228*BC142+BD228*BD142+BE228*BE142+BF228*BF142+BG228*BG142+BH228*BH142+BI228*BI142+BJ228*BJ142+BK228*BK142+BL228*BL142+BM228*BM142+BN228*BN142+BO228*BO142+BP228*BP142+BQ228*BQ142+BR228*BR142+BS228*BS142+BT228*BT142+BU228*BU142+BV228*BV142+BW228*BW142+BX228*BX142+BY228*BY142+BZ228*BZ142+CA228*CA142+CB228*CB142+CC228*CC142</f>
        <v>0</v>
      </c>
      <c r="CO142" s="2387">
        <f>E229*E142+F229*F142+G229*G142+H229*H142+I229*I142+J229*J142+K229*K142+L229*L142+M229*M142+N229*N142+O229*O142+P229*P142+Q229*Q142+R229*R142+S229*S142+T229*T142+U229*U142+V229*V142+W229*W142+X229*X142+Y229*Y142+Z229*Z142+AA229*AA142+AB229*AB142+AC229*AC142+AD229*AD142+AE229*AE142+AF229*AF142+AG229*AG142+AH229*AH142+AI229*AI142+AJ229*AJ142+AK229*AK142+AL229*AL142+AM229*AM142+AN229*AN142+AO229*AO142+AP229*AP142+AQ229*AQ142+AR229*AR142+AS229*AS142+AT229*AT142+AU229*AU142+AV229*AV142+AW229*AW142+AX229*AX142+AY229*AY142+AZ229*AZ142+BA229*BA142+BB229*BB142+BC229*BC142+BD229*BD142+BE229*BE142+BF229*BF142+BG229*BG142+BH229*BH142+BI229*BI142+BJ229*BJ142+BK229*BK142+BL229*BL142+BM229*BM142+BN229*BN142+BO229*BO142+BP229*BP142+BQ229*BQ142+BR229*BR142+BS229*BS142+BT229*BT142+BU229*BU142+BV229*BV142+BW229*BW142+BX229*BX142+BY229*BY142+BZ229*BZ142+CA229*CA142+CB229*CB142+CC229*CC142</f>
        <v>0</v>
      </c>
      <c r="CP142" s="2387">
        <f>E230*E142+F230*F142+G230*G142+H230*H142+I230*I142+J230*J142+K230*K142+L230*L142+M230*M142+N230*N142+O230*O142+P230*P142+Q230*Q142+R230*R142+S230*S142+T230*T142+U230*U142+V230*V142+W230*W142+X230*X142+Y230*Y142+Z230*Z142+AA230*AA142+AB230*AB142+AC230*AC142+AD230*AD142+AE230*AE142+AF230*AF142+AG230*AG142+AH230*AH142+AI230*AI142+AJ230*AJ142+AK230*AK142+AL230*AL142+AM230*AM142+AN230*AN142+AO230*AO142+AP230*AP142+AQ230*AQ142+AR230*AR142+AS230*AS142+AT230*AT142+AU230*AU142+AV230*AV142+AW230*AW142+AX230*AX142+AY230*AY142+AZ230*AZ142+BA230*BA142+BB230*BB142+BC230*BC142+BD230*BD142+BE230*BE142+BF230*BF142+BG230*BG142+BH230*BH142+BI230*BI142+BJ230*BJ142+BK230*BK142+BL230*BL142+BM230*BM142+BN230*BN142+BO230*BO142+BP230*BP142+BQ230*BQ142+BR230*BR142+BS230*BS142+BT230*BT142+BU230*BU142+BV230*BV142+BW230*BW142+BX230*BX142+BY230*BY142+BZ230*BZ142+CA230*CA142+CB230*CB142+CC230*CC142</f>
        <v>0</v>
      </c>
    </row>
    <row r="143" spans="2:94" ht="18" x14ac:dyDescent="0.25">
      <c r="B143" s="1585">
        <v>24</v>
      </c>
      <c r="C143" s="628" t="s">
        <v>246</v>
      </c>
      <c r="D143" s="629" t="s">
        <v>1669</v>
      </c>
      <c r="E143" s="974">
        <f>0</f>
        <v>0</v>
      </c>
      <c r="F143" s="974">
        <f>0</f>
        <v>0</v>
      </c>
      <c r="G143" s="974">
        <f>0</f>
        <v>0</v>
      </c>
      <c r="H143" s="974">
        <f>0</f>
        <v>0</v>
      </c>
      <c r="I143" s="974">
        <f>0</f>
        <v>0</v>
      </c>
      <c r="J143" s="974">
        <f>0</f>
        <v>0</v>
      </c>
      <c r="K143" s="974">
        <f>0</f>
        <v>0</v>
      </c>
      <c r="L143" s="974">
        <f>0</f>
        <v>0</v>
      </c>
      <c r="M143" s="1417">
        <f>-1/Y_CASTO_PHA_anox</f>
        <v>-1.9230769230769229</v>
      </c>
      <c r="N143" s="975">
        <f>0</f>
        <v>0</v>
      </c>
      <c r="O143" s="974">
        <f>0</f>
        <v>0</v>
      </c>
      <c r="P143" s="974">
        <f>0</f>
        <v>0</v>
      </c>
      <c r="Q143" s="974">
        <f>0</f>
        <v>0</v>
      </c>
      <c r="R143" s="974">
        <f>1</f>
        <v>1</v>
      </c>
      <c r="S143" s="974">
        <f>0</f>
        <v>0</v>
      </c>
      <c r="T143" s="974">
        <f>0</f>
        <v>0</v>
      </c>
      <c r="U143" s="974">
        <f>0</f>
        <v>0</v>
      </c>
      <c r="V143" s="974">
        <f>0</f>
        <v>0</v>
      </c>
      <c r="W143" s="974">
        <f>0</f>
        <v>0</v>
      </c>
      <c r="X143" s="974">
        <f>0</f>
        <v>0</v>
      </c>
      <c r="Y143" s="974">
        <f>-i_N_BIO</f>
        <v>-7.0000000000000007E-2</v>
      </c>
      <c r="Z143" s="975">
        <f>(1-Y_CASTO_PHA_anox)/(E_EQNO2_NO3*Y_CASTO_PHA_anox)</f>
        <v>0.80810915024698038</v>
      </c>
      <c r="AA143" s="975">
        <f>-(1-Y_CASTO_PHA_anox)/(E_EQNO2_NO3*Y_CASTO_PHA_anox)</f>
        <v>-0.80810915024698038</v>
      </c>
      <c r="AB143" s="975">
        <f>0</f>
        <v>0</v>
      </c>
      <c r="AC143" s="974">
        <f>0</f>
        <v>0</v>
      </c>
      <c r="AD143" s="974">
        <f>0</f>
        <v>0</v>
      </c>
      <c r="AE143" s="974">
        <f>0</f>
        <v>0</v>
      </c>
      <c r="AF143" s="975">
        <f>0</f>
        <v>0</v>
      </c>
      <c r="AG143" s="975">
        <f>-i_P_BIO</f>
        <v>-0.02</v>
      </c>
      <c r="AH143" s="974">
        <f>0</f>
        <v>0</v>
      </c>
      <c r="AI143" s="974">
        <f>0</f>
        <v>0</v>
      </c>
      <c r="AJ143" s="974">
        <f>0</f>
        <v>0</v>
      </c>
      <c r="AK143" s="974">
        <f>0</f>
        <v>0</v>
      </c>
      <c r="AL143" s="974">
        <f>0</f>
        <v>0</v>
      </c>
      <c r="AM143" s="974">
        <f>0</f>
        <v>0</v>
      </c>
      <c r="AN143" s="1417">
        <f>(i_CIT_PHA/Y_CASTO_PHA_anox)-i_CIT_BIO</f>
        <v>0.28838461538461546</v>
      </c>
      <c r="AO143" s="1003">
        <f>i_INORG</f>
        <v>0.11</v>
      </c>
      <c r="AP143" s="1003">
        <f>-i_INORG*(1-i_Ca_INORG*(A_MCa+2*A_MCl)/A_MCa-i_Mg_INORG*(A_MMg+2*A_MCl)/A_MMg)*f_Na</f>
        <v>-2.8804303582798466E-2</v>
      </c>
      <c r="AQ143" s="1003">
        <f>-i_INORG*(i_Ca_INORG*(2*A_MCl)/A_MCa+i_Mg_INORG*(2*A_MCl)/A_MMg)-i_INORG*(1-i_Ca_INORG*(A_MCa+2*A_MCl)/A_MCa-i_Mg_INORG*(A_MMg+2*A_MCl)/A_MMg)*(1-f_Na)</f>
        <v>-7.0195696417201539E-2</v>
      </c>
      <c r="AR143" s="1003">
        <f>-i_INORG*i_Ca_INORG+i_Ca_PP*A_MCa/A_MP*i_P_BIO</f>
        <v>-2.9121322594773459E-3</v>
      </c>
      <c r="AS143" s="1003">
        <f>-i_INORG*i_Mg_INORG+i_Mg_PP*A_MMg/A_MP*i_P_BIO</f>
        <v>-7.1251305726128047E-6</v>
      </c>
      <c r="AT143" s="975">
        <f>i_K_PP*A_MK/A_MP*i_P_BIO</f>
        <v>2.5246077468755158E-3</v>
      </c>
      <c r="AU143" s="975">
        <f>0</f>
        <v>0</v>
      </c>
      <c r="AV143" s="975">
        <f>0</f>
        <v>0</v>
      </c>
      <c r="AW143" s="975">
        <f>0</f>
        <v>0</v>
      </c>
      <c r="AX143" s="975">
        <f>0</f>
        <v>0</v>
      </c>
      <c r="AY143" s="975">
        <f>0</f>
        <v>0</v>
      </c>
      <c r="AZ143" s="975">
        <f>0</f>
        <v>0</v>
      </c>
      <c r="BA143" s="975">
        <f>0</f>
        <v>0</v>
      </c>
      <c r="BB143" s="975">
        <f>0</f>
        <v>0</v>
      </c>
      <c r="BC143" s="975">
        <f>0</f>
        <v>0</v>
      </c>
      <c r="BD143" s="975">
        <f>0</f>
        <v>0</v>
      </c>
      <c r="BE143" s="975">
        <f>0</f>
        <v>0</v>
      </c>
      <c r="BF143" s="975">
        <f>0</f>
        <v>0</v>
      </c>
      <c r="BG143" s="975">
        <f>0</f>
        <v>0</v>
      </c>
      <c r="BH143" s="975">
        <f>0</f>
        <v>0</v>
      </c>
      <c r="BI143" s="975">
        <f>0</f>
        <v>0</v>
      </c>
      <c r="BJ143" s="975">
        <f>0</f>
        <v>0</v>
      </c>
      <c r="BK143" s="975">
        <f>0</f>
        <v>0</v>
      </c>
      <c r="BL143" s="1078">
        <f>0</f>
        <v>0</v>
      </c>
      <c r="BM143" s="975">
        <f>0</f>
        <v>0</v>
      </c>
      <c r="BN143" s="975">
        <f>0</f>
        <v>0</v>
      </c>
      <c r="BO143" s="975">
        <f>0</f>
        <v>0</v>
      </c>
      <c r="BP143" s="1417">
        <f>0</f>
        <v>0</v>
      </c>
      <c r="BQ143" s="2366">
        <f>0</f>
        <v>0</v>
      </c>
      <c r="BR143" s="975">
        <f>0</f>
        <v>0</v>
      </c>
      <c r="BS143" s="975">
        <f>0</f>
        <v>0</v>
      </c>
      <c r="BT143" s="975">
        <f>0</f>
        <v>0</v>
      </c>
      <c r="BU143" s="975">
        <f>0</f>
        <v>0</v>
      </c>
      <c r="BV143" s="975">
        <f>0</f>
        <v>0</v>
      </c>
      <c r="BW143" s="975">
        <f>0</f>
        <v>0</v>
      </c>
      <c r="BX143" s="975">
        <f>0</f>
        <v>0</v>
      </c>
      <c r="BY143" s="975">
        <f>0</f>
        <v>0</v>
      </c>
      <c r="BZ143" s="975">
        <f>0</f>
        <v>0</v>
      </c>
      <c r="CA143" s="975">
        <f>0</f>
        <v>0</v>
      </c>
      <c r="CB143" s="975">
        <f>0</f>
        <v>0</v>
      </c>
      <c r="CC143" s="975">
        <f>0</f>
        <v>0</v>
      </c>
      <c r="CD143" s="1652">
        <f>µ_PAO_lim_T*X_PAO*η_CASTO_anox*M_RsatXPHA_XPAO_KPHA*M_inhSO2_KO2_CASTO*M_satSNO3_KNO3_CASTO*M_inhSNO2_KNO2_CASTO*M_satSNHx_KNHx_BIO*M_inhSPO4_KiPO4_lim*M_satXPP_KPP_lim*M_satSCAT_KCAT*M_satSAN_KAN*M_satSCa_KCa*M_satSMg_KMg*B_ellinhpH</f>
        <v>9.0371965287307059E-3</v>
      </c>
      <c r="CF143" s="2385">
        <f>E220*E143+F220*F143+G220*G143+H220*H143+I220*I143+J220*J143+K220*K143+L220*L143+M220*M143+N220*N143+O220*O143+P220*P143+Q220*Q143+R220*R143+S220*S143+T220*T143+U220*U143+V220*V143+W220*W143+X220*X143+Y220*Y143+Z220*Z143+AA220*AA143+AB220*AB143+AC220*AC143+AD220*AD143+AE220*AE143+AF220*AF143+AG220*AG143+AH220*AH143+AI220*AI143+AJ220*AJ143+AK220*AK143+AL220*AL143+AM220*AM143+AN220*AN143+AO220*AO143+AP220*AP143+AQ220*AQ143+AR220*AR143+AS220*AS143+AT220*AT143+AU220*AU143+AV220*AV143+AW220*AW143+AX220*AX143+AY220*AY143+AZ220*AZ143+BA220*BA143+BB220*BB143+BC220*BC143+BD220*BD143+BE220*BE143+BF220*BF143+BG220*BG143+BH220*BH143+BI220*BI143+BJ220*BJ143+BK220*BK143+BL220*BL143+BM220*BM143+BN220*BN143+BO220*BO143+BP220*BP143+BQ220*BQ143+BR220*BR143+BS220*BS143+BT220*BT143+BU220*BU143+BV220*BV143+BW220*BW143+BX220*BX143+BY220*BY143+BZ220*BZ143+CA220*CA143+CB220*CB143+CC220*CC143</f>
        <v>0</v>
      </c>
      <c r="CG143" s="2385">
        <f>E221*E143+F221*F143+G221*G143+H221*H143+I221*I143+J221*J143+K221*K143+L221*L143+M221*M143+N221*N143+O221*O143+P221*P143+Q221*Q143+R221*R143+S221*S143+T221*T143+U221*U143+V221*V143+W221*W143+X221*X143+Y221*Y143+Z221*Z143+AA221*AA143+AB221*AB143+AC221*AC143+AD221*AD143+AE221*AE143+AF221*AF143+AG221*AG143+AH221*AH143+AI221*AI143+AJ221*AJ143+AK221*AK143+AL221*AL143+AM221*AM143+AN221*AN143+AO221*AO143+AP221*AP143+AQ221*AQ143+AR221*AR143+AS221*AS143+AT221*AT143+AU221*AU143+AV221*AV143+AW221*AW143+AX221*AX143+AY221*AY143+AZ221*AZ143+BA221*BA143+BB221*BB143+BC221*BC143+BD221*BD143+BE221*BE143+BF221*BF143+BG221*BG143+BH221*BH143+BI221*BI143+BJ221*BJ143+BK221*BK143+BL221*BL143+BM221*BM143+BN221*BN143+BO221*BO143+BP221*BP143+BQ221*BQ143+BR221*BR143+BS221*BS143+BT221*BT143+BU221*BU143+BV221*BV143+BW221*BW143+BX221*BX143+BY221*BY143+BZ221*BZ143+CA221*CA143+CB221*CB143+CC221*CC143</f>
        <v>1.1102230246251565E-16</v>
      </c>
      <c r="CH143" s="2386">
        <f>E222*E143+F222*F143+G222*G143+H222*H143+I222*I143+J222*J143+K222*K143+L222*L143+M222*M143+N222*N143+O222*O143+P222*P143+Q222*Q143+R222*R143+S222*S143+T222*T143+U222*U143+V222*V143+W222*W143+X222*X143+Y222*Y143+Z222*Z143+AA222*AA143+AB222*AB143+AC222*AC143+AD222*AD143+AE222*AE143+AF222*AF143+AG222*AG143+AH222*AH143+AI222*AI143+AJ222*AJ143+AK222*AK143+AL222*AL143+AM222*AM143+AN222*AN143+AO222*AO143+AP222*AP143+AQ222*AQ143+AR222*AR143+AS222*AS143+AT222*AT143+AU222*AU143+AV222*AV143+AW222*AW143+AX222*AX143+AY222*AY143+AZ222*AZ143+BA222*BA143+BB222*BB143+BC222*BC143+BD222*BD143+BE222*BE143+BF222*BF143+BG222*BG143+BH222*BH143+BI222*BI143+BJ222*BJ143+BK222*BK143+BL222*BL143+BM222*BM143+BN222*BN143+BO222*BO143+BP222*BP143+BQ222*BQ143+BR222*BR143+BS222*BS143+BT222*BT143+BU222*BU143+BV222*BV143+BW222*BW143+BX222*BX143+BY222*BY143+BZ222*BZ143+CA222*CA143+CB222*CB143+CC222*CC143</f>
        <v>0</v>
      </c>
      <c r="CI143" s="2387">
        <f>E223*E143+F223*F143+G223*G143+H223*H143+I223*I143+J223*J143+K223*K143+L223*L143+M223*M143+N223*N143+O223*O143+P223*P143+Q223*Q143+R223*R143+S223*S143+T223*T143+U223*U143+V223*V143+W223*W143+X223*X143+Y223*Y143+Z223*Z143+AA223*AA143+AB223*AB143+AC223*AC143+AD223*AD143+AE223*AE143+AF223*AF143+AG223*AG143+AH223*AH143+AI223*AI143+AJ223*AJ143+AK223*AK143+AL223*AL143+AM223*AM143+AN223*AN143+AO223*AO143+AP223*AP143+AQ223*AQ143+AR223*AR143+AS223*AS143+AT223*AT143+AU223*AU143+AV223*AV143+AW223*AW143+AX223*AX143+AY223*AY143+AZ223*AZ143+BA223*BA143+BB223*BB143+BC223*BC143+BD223*BD143+BE223*BE143+BF223*BF143+BG223*BG143+BH223*BH143+BI223*BI143+BJ223*BJ143+BK223*BK143+BL223*BL143+BM223*BM143+BN223*BN143+BO223*BO143+BP223*BP143+BQ223*BQ143+BR223*BR143+BS223*BS143+BT223*BT143+BU223*BU143+BV223*BV143+BW223*BW143+BX223*BX143+BY223*BY143+BZ223*BZ143+CA223*CA143+CB223*CB143+CC223*CC143</f>
        <v>0</v>
      </c>
      <c r="CJ143" s="2387">
        <f>E224*E143+F224*F143+G224*G143+H224*H143+I224*I143+J224*J143+K224*K143+L224*L143+M224*M143+N224*N143+O224*O143+P224*P143+Q224*Q143+R224*R143+S224*S143+T224*T143+U224*U143+V224*V143+W224*W143+X224*X143+Y224*Y143+Z224*Z143+AA224*AA143+AB224*AB143+AC224*AC143+AD224*AD143+AE224*AE143+AF224*AF143+AG224*AG143+AH224*AH143+AI224*AI143+AJ224*AJ143+AK224*AK143+AL224*AL143+AM224*AM143+AN224*AN143+AO224*AO143+AP224*AP143+AQ224*AQ143+AR224*AR143+AS224*AS143+AT224*AT143+AU224*AU143+AV224*AV143+AW224*AW143+AX224*AX143+AY224*AY143+AZ224*AZ143+BA224*BA143+BB224*BB143+BC224*BC143+BD224*BD143+BE224*BE143+BF224*BF143+BG224*BG143+BH224*BH143+BI224*BI143+BJ224*BJ143+BK224*BK143+BL224*BL143+BM224*BM143+BN224*BN143+BO224*BO143+BP224*BP143+BQ224*BQ143+BR224*BR143+BS224*BS143+BT224*BT143+BU224*BU143+BV224*BV143+BW224*BW143+BX224*BX143+BY224*BY143+BZ224*BZ143+CA224*CA143+CB224*CB143+CC224*CC143</f>
        <v>0</v>
      </c>
      <c r="CK143" s="2387">
        <f>E225*E143+F225*F143+G225*G143+H225*H143+I225*I143+J225*J143+K225*K143+L225*L143+M225*M143+N225*N143+O225*O143+P225*P143+Q225*Q143+R225*R143+S225*S143+T225*T143+U225*U143+V225*V143+W225*W143+X225*X143+Y225*Y143+Z225*Z143+AA225*AA143+AB225*AB143+AC225*AC143+AD225*AD143+AE225*AE143+AF225*AF143+AG225*AG143+AH225*AH143+AI225*AI143+AJ225*AJ143+AK225*AK143+AL225*AL143+AM225*AM143+AN225*AN143+AO225*AO143+AP225*AP143+AQ225*AQ143+AR225*AR143+AS225*AS143+AT225*AT143+AU225*AU143+AV225*AV143+AW225*AW143+AX225*AX143+AY225*AY143+AZ225*AZ143+BA225*BA143+BB225*BB143+BC225*BC143+BD225*BD143+BE225*BE143+BF225*BF143+BG225*BG143+BH225*BH143+BI225*BI143+BJ225*BJ143+BK225*BK143+BL225*BL143+BM225*BM143+BN225*BN143+BO225*BO143+BP225*BP143+BQ225*BQ143+BR225*BR143+BS225*BS143+BT225*BT143+BU225*BU143+BV225*BV143+BW225*BW143+BX225*BX143+BY225*BY143+BZ225*BZ143+CA225*CA143+CB225*CB143+CC225*CC143</f>
        <v>0</v>
      </c>
      <c r="CL143" s="2387">
        <f>E226*E143+F226*F143+G226*G143+H226*H143+I226*I143+J226*J143+K226*K143+L226*L143+M226*M143+N226*N143+O226*O143+P226*P143+Q226*Q143+R226*R143+S226*S143+T226*T143+U226*U143+V226*V143+W226*W143+X226*X143+Y226*Y143+Z226*Z143+AA226*AA143+AB226*AB143+AC226*AC143+AD226*AD143+AE226*AE143+AF226*AF143+AG226*AG143+AH226*AH143+AI226*AI143+AJ226*AJ143+AK226*AK143+AL226*AL143+AM226*AM143+AN226*AN143+AO226*AO143+AP226*AP143+AQ226*AQ143+AR226*AR143+AS226*AS143+AT226*AT143+AU226*AU143+AV226*AV143+AW226*AW143+AX226*AX143+AY226*AY143+AZ226*AZ143+BA226*BA143+BB226*BB143+BC226*BC143+BD226*BD143+BE226*BE143+BF226*BF143+BG226*BG143+BH226*BH143+BI226*BI143+BJ226*BJ143+BK226*BK143+BL226*BL143+BM226*BM143+BN226*BN143+BO226*BO143+BP226*BP143+BQ226*BQ143+BR226*BR143+BS226*BS143+BT226*BT143+BU226*BU143+BV226*BV143+BW226*BW143+BX226*BX143+BY226*BY143+BZ226*BZ143+CA226*CA143+CB226*CB143+CC226*CC143</f>
        <v>0</v>
      </c>
      <c r="CM143" s="2387">
        <f>E227*E143+F227*F143+G227*G143+H227*H143+I227*I143+J227*J143+K227*K143+L227*L143+M227*M143+N227*N143+O227*O143+P227*P143+Q227*Q143+R227*R143+S227*S143+T227*T143+U227*U143+V227*V143+W227*W143+X227*X143+Y227*Y143+Z227*Z143+AA227*AA143+AB227*AB143+AC227*AC143+AD227*AD143+AE227*AE143+AF227*AF143+AG227*AG143+AH227*AH143+AI227*AI143+AJ227*AJ143+AK227*AK143+AL227*AL143+AM227*AM143+AN227*AN143+AO227*AO143+AP227*AP143+AQ227*AQ143+AR227*AR143+AS227*AS143+AT227*AT143+AU227*AU143+AV227*AV143+AW227*AW143+AX227*AX143+AY227*AY143+AZ227*AZ143+BA227*BA143+BB227*BB143+BC227*BC143+BD227*BD143+BE227*BE143+BF227*BF143+BG227*BG143+BH227*BH143+BI227*BI143+BJ227*BJ143+BK227*BK143+BL227*BL143+BM227*BM143+BN227*BN143+BO227*BO143+BP227*BP143+BQ227*BQ143+BR227*BR143+BS227*BS143+BT227*BT143+BU227*BU143+BV227*BV143+BW227*BW143+BX227*BX143+BY227*BY143+BZ227*BZ143+CA227*CA143+CB227*CB143+CC227*CC143</f>
        <v>0</v>
      </c>
      <c r="CN143" s="2387">
        <f>E228*E143+F228*F143+G228*G143+H228*H143+I228*I143+J228*J143+K228*K143+L228*L143+M228*M143+N228*N143+O228*O143+P228*P143+Q228*Q143+R228*R143+S228*S143+T228*T143+U228*U143+V228*V143+W228*W143+X228*X143+Y228*Y143+Z228*Z143+AA228*AA143+AB228*AB143+AC228*AC143+AD228*AD143+AE228*AE143+AF228*AF143+AG228*AG143+AH228*AH143+AI228*AI143+AJ228*AJ143+AK228*AK143+AL228*AL143+AM228*AM143+AN228*AN143+AO228*AO143+AP228*AP143+AQ228*AQ143+AR228*AR143+AS228*AS143+AT228*AT143+AU228*AU143+AV228*AV143+AW228*AW143+AX228*AX143+AY228*AY143+AZ228*AZ143+BA228*BA143+BB228*BB143+BC228*BC143+BD228*BD143+BE228*BE143+BF228*BF143+BG228*BG143+BH228*BH143+BI228*BI143+BJ228*BJ143+BK228*BK143+BL228*BL143+BM228*BM143+BN228*BN143+BO228*BO143+BP228*BP143+BQ228*BQ143+BR228*BR143+BS228*BS143+BT228*BT143+BU228*BU143+BV228*BV143+BW228*BW143+BX228*BX143+BY228*BY143+BZ228*BZ143+CA228*CA143+CB228*CB143+CC228*CC143</f>
        <v>0</v>
      </c>
      <c r="CO143" s="2387">
        <f>E229*E143+F229*F143+G229*G143+H229*H143+I229*I143+J229*J143+K229*K143+L229*L143+M229*M143+N229*N143+O229*O143+P229*P143+Q229*Q143+R229*R143+S229*S143+T229*T143+U229*U143+V229*V143+W229*W143+X229*X143+Y229*Y143+Z229*Z143+AA229*AA143+AB229*AB143+AC229*AC143+AD229*AD143+AE229*AE143+AF229*AF143+AG229*AG143+AH229*AH143+AI229*AI143+AJ229*AJ143+AK229*AK143+AL229*AL143+AM229*AM143+AN229*AN143+AO229*AO143+AP229*AP143+AQ229*AQ143+AR229*AR143+AS229*AS143+AT229*AT143+AU229*AU143+AV229*AV143+AW229*AW143+AX229*AX143+AY229*AY143+AZ229*AZ143+BA229*BA143+BB229*BB143+BC229*BC143+BD229*BD143+BE229*BE143+BF229*BF143+BG229*BG143+BH229*BH143+BI229*BI143+BJ229*BJ143+BK229*BK143+BL229*BL143+BM229*BM143+BN229*BN143+BO229*BO143+BP229*BP143+BQ229*BQ143+BR229*BR143+BS229*BS143+BT229*BT143+BU229*BU143+BV229*BV143+BW229*BW143+BX229*BX143+BY229*BY143+BZ229*BZ143+CA229*CA143+CB229*CB143+CC229*CC143</f>
        <v>0</v>
      </c>
      <c r="CP143" s="2387">
        <f>E230*E143+F230*F143+G230*G143+H230*H143+I230*I143+J230*J143+K230*K143+L230*L143+M230*M143+N230*N143+O230*O143+P230*P143+Q230*Q143+R230*R143+S230*S143+T230*T143+U230*U143+V230*V143+W230*W143+X230*X143+Y230*Y143+Z230*Z143+AA230*AA143+AB230*AB143+AC230*AC143+AD230*AD143+AE230*AE143+AF230*AF143+AG230*AG143+AH230*AH143+AI230*AI143+AJ230*AJ143+AK230*AK143+AL230*AL143+AM230*AM143+AN230*AN143+AO230*AO143+AP230*AP143+AQ230*AQ143+AR230*AR143+AS230*AS143+AT230*AT143+AU230*AU143+AV230*AV143+AW230*AW143+AX230*AX143+AY230*AY143+AZ230*AZ143+BA230*BA143+BB230*BB143+BC230*BC143+BD230*BD143+BE230*BE143+BF230*BF143+BG230*BG143+BH230*BH143+BI230*BI143+BJ230*BJ143+BK230*BK143+BL230*BL143+BM230*BM143+BN230*BN143+BO230*BO143+BP230*BP143+BQ230*BQ143+BR230*BR143+BS230*BS143+BT230*BT143+BU230*BU143+BV230*BV143+BW230*BW143+BX230*BX143+BY230*BY143+BZ230*BZ143+CA230*CA143+CB230*CB143+CC230*CC143</f>
        <v>0</v>
      </c>
    </row>
    <row r="144" spans="2:94" ht="18" x14ac:dyDescent="0.25">
      <c r="B144" s="1585">
        <v>25</v>
      </c>
      <c r="C144" s="628" t="s">
        <v>247</v>
      </c>
      <c r="D144" s="629" t="s">
        <v>4426</v>
      </c>
      <c r="E144" s="974">
        <f>-1</f>
        <v>-1</v>
      </c>
      <c r="F144" s="974">
        <f>0</f>
        <v>0</v>
      </c>
      <c r="G144" s="974">
        <f>0</f>
        <v>0</v>
      </c>
      <c r="H144" s="974">
        <f>0</f>
        <v>0</v>
      </c>
      <c r="I144" s="974">
        <f>0</f>
        <v>0</v>
      </c>
      <c r="J144" s="974">
        <f>0</f>
        <v>0</v>
      </c>
      <c r="K144" s="974">
        <f>0</f>
        <v>0</v>
      </c>
      <c r="L144" s="974">
        <f>0</f>
        <v>0</v>
      </c>
      <c r="M144" s="974">
        <f>1</f>
        <v>1</v>
      </c>
      <c r="N144" s="974">
        <f>0</f>
        <v>0</v>
      </c>
      <c r="O144" s="974">
        <f>0</f>
        <v>0</v>
      </c>
      <c r="P144" s="974">
        <f>0</f>
        <v>0</v>
      </c>
      <c r="Q144" s="974">
        <f>0</f>
        <v>0</v>
      </c>
      <c r="R144" s="974">
        <f>0</f>
        <v>0</v>
      </c>
      <c r="S144" s="974">
        <f>0</f>
        <v>0</v>
      </c>
      <c r="T144" s="974">
        <f>0</f>
        <v>0</v>
      </c>
      <c r="U144" s="974">
        <f>0</f>
        <v>0</v>
      </c>
      <c r="V144" s="974">
        <f>0</f>
        <v>0</v>
      </c>
      <c r="W144" s="974">
        <f>0</f>
        <v>0</v>
      </c>
      <c r="X144" s="974">
        <f>0</f>
        <v>0</v>
      </c>
      <c r="Y144" s="974">
        <f>0</f>
        <v>0</v>
      </c>
      <c r="Z144" s="975">
        <f>0</f>
        <v>0</v>
      </c>
      <c r="AA144" s="975">
        <f>0</f>
        <v>0</v>
      </c>
      <c r="AB144" s="975">
        <f>0</f>
        <v>0</v>
      </c>
      <c r="AC144" s="974">
        <f>0</f>
        <v>0</v>
      </c>
      <c r="AD144" s="974">
        <f>0</f>
        <v>0</v>
      </c>
      <c r="AE144" s="974">
        <f>0</f>
        <v>0</v>
      </c>
      <c r="AF144" s="974">
        <f>f_P_VFA</f>
        <v>0.65</v>
      </c>
      <c r="AG144" s="975">
        <f>-f_P_VFA</f>
        <v>-0.65</v>
      </c>
      <c r="AH144" s="974">
        <f>0</f>
        <v>0</v>
      </c>
      <c r="AI144" s="974">
        <f>0</f>
        <v>0</v>
      </c>
      <c r="AJ144" s="974">
        <f>0</f>
        <v>0</v>
      </c>
      <c r="AK144" s="974">
        <f>0</f>
        <v>0</v>
      </c>
      <c r="AL144" s="974">
        <f>0</f>
        <v>0</v>
      </c>
      <c r="AM144" s="974">
        <f>0</f>
        <v>0</v>
      </c>
      <c r="AN144" s="1418">
        <f>i_CIT_VFA-i_CIT_PHA</f>
        <v>4.1999999999999982E-2</v>
      </c>
      <c r="AO144" s="974">
        <f>0</f>
        <v>0</v>
      </c>
      <c r="AP144" s="974">
        <f>0</f>
        <v>0</v>
      </c>
      <c r="AQ144" s="974">
        <f>0</f>
        <v>0</v>
      </c>
      <c r="AR144" s="975">
        <f>i_Ca_PP*A_MCa/A_MP*f_P_VFA</f>
        <v>8.4105701566986282E-2</v>
      </c>
      <c r="AS144" s="975">
        <f>i_Mg_PP*A_MMg/A_MP*f_P_VFA</f>
        <v>0.17851843325639011</v>
      </c>
      <c r="AT144" s="975">
        <f>i_K_PP*A_MK/A_MP*f_P_VFA</f>
        <v>8.2049751773454263E-2</v>
      </c>
      <c r="AU144" s="974">
        <f>0</f>
        <v>0</v>
      </c>
      <c r="AV144" s="974">
        <f>0</f>
        <v>0</v>
      </c>
      <c r="AW144" s="974">
        <f>0</f>
        <v>0</v>
      </c>
      <c r="AX144" s="974">
        <f>0</f>
        <v>0</v>
      </c>
      <c r="AY144" s="974">
        <f>0</f>
        <v>0</v>
      </c>
      <c r="AZ144" s="974">
        <f>0</f>
        <v>0</v>
      </c>
      <c r="BA144" s="974">
        <f>0</f>
        <v>0</v>
      </c>
      <c r="BB144" s="974">
        <f>0</f>
        <v>0</v>
      </c>
      <c r="BC144" s="974">
        <f>0</f>
        <v>0</v>
      </c>
      <c r="BD144" s="974">
        <f>0</f>
        <v>0</v>
      </c>
      <c r="BE144" s="974">
        <f>0</f>
        <v>0</v>
      </c>
      <c r="BF144" s="974">
        <f>0</f>
        <v>0</v>
      </c>
      <c r="BG144" s="974">
        <f>0</f>
        <v>0</v>
      </c>
      <c r="BH144" s="974">
        <f>0</f>
        <v>0</v>
      </c>
      <c r="BI144" s="974">
        <f>0</f>
        <v>0</v>
      </c>
      <c r="BJ144" s="974">
        <f>0</f>
        <v>0</v>
      </c>
      <c r="BK144" s="974">
        <f>0</f>
        <v>0</v>
      </c>
      <c r="BL144" s="1078">
        <f>0</f>
        <v>0</v>
      </c>
      <c r="BM144" s="974">
        <f>0</f>
        <v>0</v>
      </c>
      <c r="BN144" s="974">
        <f>0</f>
        <v>0</v>
      </c>
      <c r="BO144" s="974">
        <f>0</f>
        <v>0</v>
      </c>
      <c r="BP144" s="1418">
        <f>0</f>
        <v>0</v>
      </c>
      <c r="BQ144" s="2367">
        <f>0</f>
        <v>0</v>
      </c>
      <c r="BR144" s="974">
        <f>0</f>
        <v>0</v>
      </c>
      <c r="BS144" s="974">
        <f>0</f>
        <v>0</v>
      </c>
      <c r="BT144" s="974">
        <f>0</f>
        <v>0</v>
      </c>
      <c r="BU144" s="974">
        <f>0</f>
        <v>0</v>
      </c>
      <c r="BV144" s="974">
        <f>0</f>
        <v>0</v>
      </c>
      <c r="BW144" s="974">
        <f>0</f>
        <v>0</v>
      </c>
      <c r="BX144" s="974">
        <f>0</f>
        <v>0</v>
      </c>
      <c r="BY144" s="974">
        <f>0</f>
        <v>0</v>
      </c>
      <c r="BZ144" s="974">
        <f>0</f>
        <v>0</v>
      </c>
      <c r="CA144" s="974">
        <f>0</f>
        <v>0</v>
      </c>
      <c r="CB144" s="974">
        <f>0</f>
        <v>0</v>
      </c>
      <c r="CC144" s="974">
        <f>0</f>
        <v>0</v>
      </c>
      <c r="CD144" s="1652">
        <f>q_PAO_PHA_T*X_CASTO*actsto_PAO_ORP*M_satSVFA_KVFA_CASTO*M_RsatXPP_XPAO_KPP*L_oginhXPHA_XPAO_max</f>
        <v>0.51746263224714861</v>
      </c>
      <c r="CF144" s="2385">
        <f>E220*E144+F220*F144+G220*G144+H220*H144+I220*I144+J220*J144+K220*K144+L220*L144+M220*M144+N220*N144+O220*O144+P220*P144+Q220*Q144+R220*R144+S220*S144+T220*T144+U220*U144+V220*V144+W220*W144+X220*X144+Y220*Y144+Z220*Z144+AA220*AA144+AB220*AB144+AC220*AC144+AD220*AD144+AE220*AE144+AF220*AF144+AG220*AG144+AH220*AH144+AI220*AI144+AJ220*AJ144+AK220*AK144+AL220*AL144+AM220*AM144+AN220*AN144+AO220*AO144+AP220*AP144+AQ220*AQ144+AR220*AR144+AS220*AS144+AT220*AT144+AU220*AU144+AV220*AV144+AW220*AW144+AX220*AX144+AY220*AY144+AZ220*AZ144+BA220*BA144+BB220*BB144+BC220*BC144+BD220*BD144+BE220*BE144+BF220*BF144+BG220*BG144+BH220*BH144+BI220*BI144+BJ220*BJ144+BK220*BK144+BL220*BL144+BM220*BM144+BN220*BN144+BO220*BO144+BP220*BP144+BQ220*BQ144+BR220*BR144+BS220*BS144+BT220*BT144+BU220*BU144+BV220*BV144+BW220*BW144+BX220*BX144+BY220*BY144+BZ220*BZ144+CA220*CA144+CB220*CB144+CC220*CC144</f>
        <v>0</v>
      </c>
      <c r="CG144" s="2385">
        <f>E221*E144+F221*F144+G221*G144+H221*H144+I221*I144+J221*J144+K221*K144+L221*L144+M221*M144+N221*N144+O221*O144+P221*P144+Q221*Q144+R221*R144+S221*S144+T221*T144+U221*U144+V221*V144+W221*W144+X221*X144+Y221*Y144+Z221*Z144+AA221*AA144+AB221*AB144+AC221*AC144+AD221*AD144+AE221*AE144+AF221*AF144+AG221*AG144+AH221*AH144+AI221*AI144+AJ221*AJ144+AK221*AK144+AL221*AL144+AM221*AM144+AN221*AN144+AO221*AO144+AP221*AP144+AQ221*AQ144+AR221*AR144+AS221*AS144+AT221*AT144+AU221*AU144+AV221*AV144+AW221*AW144+AX221*AX144+AY221*AY144+AZ221*AZ144+BA221*BA144+BB221*BB144+BC221*BC144+BD221*BD144+BE221*BE144+BF221*BF144+BG221*BG144+BH221*BH144+BI221*BI144+BJ221*BJ144+BK221*BK144+BL221*BL144+BM221*BM144+BN221*BN144+BO221*BO144+BP221*BP144+BQ221*BQ144+BR221*BR144+BS221*BS144+BT221*BT144+BU221*BU144+BV221*BV144+BW221*BW144+BX221*BX144+BY221*BY144+BZ221*BZ144+CA221*CA144+CB221*CB144+CC221*CC144</f>
        <v>0</v>
      </c>
      <c r="CH144" s="2386">
        <f>E222*E144+F222*F144+G222*G144+H222*H144+I222*I144+J222*J144+K222*K144+L222*L144+M222*M144+N222*N144+O222*O144+P222*P144+Q222*Q144+R222*R144+S222*S144+T222*T144+U222*U144+V222*V144+W222*W144+X222*X144+Y222*Y144+Z222*Z144+AA222*AA144+AB222*AB144+AC222*AC144+AD222*AD144+AE222*AE144+AF222*AF144+AG222*AG144+AH222*AH144+AI222*AI144+AJ222*AJ144+AK222*AK144+AL222*AL144+AM222*AM144+AN222*AN144+AO222*AO144+AP222*AP144+AQ222*AQ144+AR222*AR144+AS222*AS144+AT222*AT144+AU222*AU144+AV222*AV144+AW222*AW144+AX222*AX144+AY222*AY144+AZ222*AZ144+BA222*BA144+BB222*BB144+BC222*BC144+BD222*BD144+BE222*BE144+BF222*BF144+BG222*BG144+BH222*BH144+BI222*BI144+BJ222*BJ144+BK222*BK144+BL222*BL144+BM222*BM144+BN222*BN144+BO222*BO144+BP222*BP144+BQ222*BQ144+BR222*BR144+BS222*BS144+BT222*BT144+BU222*BU144+BV222*BV144+BW222*BW144+BX222*BX144+BY222*BY144+BZ222*BZ144+CA222*CA144+CB222*CB144+CC222*CC144</f>
        <v>0</v>
      </c>
      <c r="CI144" s="2387">
        <f>E223*E144+F223*F144+G223*G144+H223*H144+I223*I144+J223*J144+K223*K144+L223*L144+M223*M144+N223*N144+O223*O144+P223*P144+Q223*Q144+R223*R144+S223*S144+T223*T144+U223*U144+V223*V144+W223*W144+X223*X144+Y223*Y144+Z223*Z144+AA223*AA144+AB223*AB144+AC223*AC144+AD223*AD144+AE223*AE144+AF223*AF144+AG223*AG144+AH223*AH144+AI223*AI144+AJ223*AJ144+AK223*AK144+AL223*AL144+AM223*AM144+AN223*AN144+AO223*AO144+AP223*AP144+AQ223*AQ144+AR223*AR144+AS223*AS144+AT223*AT144+AU223*AU144+AV223*AV144+AW223*AW144+AX223*AX144+AY223*AY144+AZ223*AZ144+BA223*BA144+BB223*BB144+BC223*BC144+BD223*BD144+BE223*BE144+BF223*BF144+BG223*BG144+BH223*BH144+BI223*BI144+BJ223*BJ144+BK223*BK144+BL223*BL144+BM223*BM144+BN223*BN144+BO223*BO144+BP223*BP144+BQ223*BQ144+BR223*BR144+BS223*BS144+BT223*BT144+BU223*BU144+BV223*BV144+BW223*BW144+BX223*BX144+BY223*BY144+BZ223*BZ144+CA223*CA144+CB223*CB144+CC223*CC144</f>
        <v>0</v>
      </c>
      <c r="CJ144" s="2387">
        <f>E224*E144+F224*F144+G224*G144+H224*H144+I224*I144+J224*J144+K224*K144+L224*L144+M224*M144+N224*N144+O224*O144+P224*P144+Q224*Q144+R224*R144+S224*S144+T224*T144+U224*U144+V224*V144+W224*W144+X224*X144+Y224*Y144+Z224*Z144+AA224*AA144+AB224*AB144+AC224*AC144+AD224*AD144+AE224*AE144+AF224*AF144+AG224*AG144+AH224*AH144+AI224*AI144+AJ224*AJ144+AK224*AK144+AL224*AL144+AM224*AM144+AN224*AN144+AO224*AO144+AP224*AP144+AQ224*AQ144+AR224*AR144+AS224*AS144+AT224*AT144+AU224*AU144+AV224*AV144+AW224*AW144+AX224*AX144+AY224*AY144+AZ224*AZ144+BA224*BA144+BB224*BB144+BC224*BC144+BD224*BD144+BE224*BE144+BF224*BF144+BG224*BG144+BH224*BH144+BI224*BI144+BJ224*BJ144+BK224*BK144+BL224*BL144+BM224*BM144+BN224*BN144+BO224*BO144+BP224*BP144+BQ224*BQ144+BR224*BR144+BS224*BS144+BT224*BT144+BU224*BU144+BV224*BV144+BW224*BW144+BX224*BX144+BY224*BY144+BZ224*BZ144+CA224*CA144+CB224*CB144+CC224*CC144</f>
        <v>0</v>
      </c>
      <c r="CK144" s="2387">
        <f>E225*E144+F225*F144+G225*G144+H225*H144+I225*I144+J225*J144+K225*K144+L225*L144+M225*M144+N225*N144+O225*O144+P225*P144+Q225*Q144+R225*R144+S225*S144+T225*T144+U225*U144+V225*V144+W225*W144+X225*X144+Y225*Y144+Z225*Z144+AA225*AA144+AB225*AB144+AC225*AC144+AD225*AD144+AE225*AE144+AF225*AF144+AG225*AG144+AH225*AH144+AI225*AI144+AJ225*AJ144+AK225*AK144+AL225*AL144+AM225*AM144+AN225*AN144+AO225*AO144+AP225*AP144+AQ225*AQ144+AR225*AR144+AS225*AS144+AT225*AT144+AU225*AU144+AV225*AV144+AW225*AW144+AX225*AX144+AY225*AY144+AZ225*AZ144+BA225*BA144+BB225*BB144+BC225*BC144+BD225*BD144+BE225*BE144+BF225*BF144+BG225*BG144+BH225*BH144+BI225*BI144+BJ225*BJ144+BK225*BK144+BL225*BL144+BM225*BM144+BN225*BN144+BO225*BO144+BP225*BP144+BQ225*BQ144+BR225*BR144+BS225*BS144+BT225*BT144+BU225*BU144+BV225*BV144+BW225*BW144+BX225*BX144+BY225*BY144+BZ225*BZ144+CA225*CA144+CB225*CB144+CC225*CC144</f>
        <v>0</v>
      </c>
      <c r="CL144" s="2387">
        <f>E226*E144+F226*F144+G226*G144+H226*H144+I226*I144+J226*J144+K226*K144+L226*L144+M226*M144+N226*N144+O226*O144+P226*P144+Q226*Q144+R226*R144+S226*S144+T226*T144+U226*U144+V226*V144+W226*W144+X226*X144+Y226*Y144+Z226*Z144+AA226*AA144+AB226*AB144+AC226*AC144+AD226*AD144+AE226*AE144+AF226*AF144+AG226*AG144+AH226*AH144+AI226*AI144+AJ226*AJ144+AK226*AK144+AL226*AL144+AM226*AM144+AN226*AN144+AO226*AO144+AP226*AP144+AQ226*AQ144+AR226*AR144+AS226*AS144+AT226*AT144+AU226*AU144+AV226*AV144+AW226*AW144+AX226*AX144+AY226*AY144+AZ226*AZ144+BA226*BA144+BB226*BB144+BC226*BC144+BD226*BD144+BE226*BE144+BF226*BF144+BG226*BG144+BH226*BH144+BI226*BI144+BJ226*BJ144+BK226*BK144+BL226*BL144+BM226*BM144+BN226*BN144+BO226*BO144+BP226*BP144+BQ226*BQ144+BR226*BR144+BS226*BS144+BT226*BT144+BU226*BU144+BV226*BV144+BW226*BW144+BX226*BX144+BY226*BY144+BZ226*BZ144+CA226*CA144+CB226*CB144+CC226*CC144</f>
        <v>0</v>
      </c>
      <c r="CM144" s="2387">
        <f>E227*E144+F227*F144+G227*G144+H227*H144+I227*I144+J227*J144+K227*K144+L227*L144+M227*M144+N227*N144+O227*O144+P227*P144+Q227*Q144+R227*R144+S227*S144+T227*T144+U227*U144+V227*V144+W227*W144+X227*X144+Y227*Y144+Z227*Z144+AA227*AA144+AB227*AB144+AC227*AC144+AD227*AD144+AE227*AE144+AF227*AF144+AG227*AG144+AH227*AH144+AI227*AI144+AJ227*AJ144+AK227*AK144+AL227*AL144+AM227*AM144+AN227*AN144+AO227*AO144+AP227*AP144+AQ227*AQ144+AR227*AR144+AS227*AS144+AT227*AT144+AU227*AU144+AV227*AV144+AW227*AW144+AX227*AX144+AY227*AY144+AZ227*AZ144+BA227*BA144+BB227*BB144+BC227*BC144+BD227*BD144+BE227*BE144+BF227*BF144+BG227*BG144+BH227*BH144+BI227*BI144+BJ227*BJ144+BK227*BK144+BL227*BL144+BM227*BM144+BN227*BN144+BO227*BO144+BP227*BP144+BQ227*BQ144+BR227*BR144+BS227*BS144+BT227*BT144+BU227*BU144+BV227*BV144+BW227*BW144+BX227*BX144+BY227*BY144+BZ227*BZ144+CA227*CA144+CB227*CB144+CC227*CC144</f>
        <v>0</v>
      </c>
      <c r="CN144" s="2387">
        <f>E228*E144+F228*F144+G228*G144+H228*H144+I228*I144+J228*J144+K228*K144+L228*L144+M228*M144+N228*N144+O228*O144+P228*P144+Q228*Q144+R228*R144+S228*S144+T228*T144+U228*U144+V228*V144+W228*W144+X228*X144+Y228*Y144+Z228*Z144+AA228*AA144+AB228*AB144+AC228*AC144+AD228*AD144+AE228*AE144+AF228*AF144+AG228*AG144+AH228*AH144+AI228*AI144+AJ228*AJ144+AK228*AK144+AL228*AL144+AM228*AM144+AN228*AN144+AO228*AO144+AP228*AP144+AQ228*AQ144+AR228*AR144+AS228*AS144+AT228*AT144+AU228*AU144+AV228*AV144+AW228*AW144+AX228*AX144+AY228*AY144+AZ228*AZ144+BA228*BA144+BB228*BB144+BC228*BC144+BD228*BD144+BE228*BE144+BF228*BF144+BG228*BG144+BH228*BH144+BI228*BI144+BJ228*BJ144+BK228*BK144+BL228*BL144+BM228*BM144+BN228*BN144+BO228*BO144+BP228*BP144+BQ228*BQ144+BR228*BR144+BS228*BS144+BT228*BT144+BU228*BU144+BV228*BV144+BW228*BW144+BX228*BX144+BY228*BY144+BZ228*BZ144+CA228*CA144+CB228*CB144+CC228*CC144</f>
        <v>0</v>
      </c>
      <c r="CO144" s="2387">
        <f>E229*E144+F229*F144+G229*G144+H229*H144+I229*I144+J229*J144+K229*K144+L229*L144+M229*M144+N229*N144+O229*O144+P229*P144+Q229*Q144+R229*R144+S229*S144+T229*T144+U229*U144+V229*V144+W229*W144+X229*X144+Y229*Y144+Z229*Z144+AA229*AA144+AB229*AB144+AC229*AC144+AD229*AD144+AE229*AE144+AF229*AF144+AG229*AG144+AH229*AH144+AI229*AI144+AJ229*AJ144+AK229*AK144+AL229*AL144+AM229*AM144+AN229*AN144+AO229*AO144+AP229*AP144+AQ229*AQ144+AR229*AR144+AS229*AS144+AT229*AT144+AU229*AU144+AV229*AV144+AW229*AW144+AX229*AX144+AY229*AY144+AZ229*AZ144+BA229*BA144+BB229*BB144+BC229*BC144+BD229*BD144+BE229*BE144+BF229*BF144+BG229*BG144+BH229*BH144+BI229*BI144+BJ229*BJ144+BK229*BK144+BL229*BL144+BM229*BM144+BN229*BN144+BO229*BO144+BP229*BP144+BQ229*BQ144+BR229*BR144+BS229*BS144+BT229*BT144+BU229*BU144+BV229*BV144+BW229*BW144+BX229*BX144+BY229*BY144+BZ229*BZ144+CA229*CA144+CB229*CB144+CC229*CC144</f>
        <v>0</v>
      </c>
      <c r="CP144" s="2387">
        <f>E230*E144+F230*F144+G230*G144+H230*H144+I230*I144+J230*J144+K230*K144+L230*L144+M230*M144+N230*N144+O230*O144+P230*P144+Q230*Q144+R230*R144+S230*S144+T230*T144+U230*U144+V230*V144+W230*W144+X230*X144+Y230*Y144+Z230*Z144+AA230*AA144+AB230*AB144+AC230*AC144+AD230*AD144+AE230*AE144+AF230*AF144+AG230*AG144+AH230*AH144+AI230*AI144+AJ230*AJ144+AK230*AK144+AL230*AL144+AM230*AM144+AN230*AN144+AO230*AO144+AP230*AP144+AQ230*AQ144+AR230*AR144+AS230*AS144+AT230*AT144+AU230*AU144+AV230*AV144+AW230*AW144+AX230*AX144+AY230*AY144+AZ230*AZ144+BA230*BA144+BB230*BB144+BC230*BC144+BD230*BD144+BE230*BE144+BF230*BF144+BG230*BG144+BH230*BH144+BI230*BI144+BJ230*BJ144+BK230*BK144+BL230*BL144+BM230*BM144+BN230*BN144+BO230*BO144+BP230*BP144+BQ230*BQ144+BR230*BR144+BS230*BS144+BT230*BT144+BU230*BU144+BV230*BV144+BW230*BW144+BX230*BX144+BY230*BY144+BZ230*BZ144+CA230*CA144+CB230*CB144+CC230*CC144</f>
        <v>0</v>
      </c>
    </row>
    <row r="145" spans="2:94" x14ac:dyDescent="0.25">
      <c r="B145" s="1585">
        <v>26</v>
      </c>
      <c r="C145" s="628" t="s">
        <v>248</v>
      </c>
      <c r="D145" s="629" t="s">
        <v>2140</v>
      </c>
      <c r="E145" s="974">
        <f>-1</f>
        <v>-1</v>
      </c>
      <c r="F145" s="974">
        <f>0</f>
        <v>0</v>
      </c>
      <c r="G145" s="974">
        <f>0</f>
        <v>0</v>
      </c>
      <c r="H145" s="974">
        <f>0</f>
        <v>0</v>
      </c>
      <c r="I145" s="974">
        <f>0</f>
        <v>0</v>
      </c>
      <c r="J145" s="974">
        <f>0</f>
        <v>0</v>
      </c>
      <c r="K145" s="974">
        <f>0</f>
        <v>0</v>
      </c>
      <c r="L145" s="974">
        <f>0</f>
        <v>0</v>
      </c>
      <c r="M145" s="974">
        <f>0</f>
        <v>0</v>
      </c>
      <c r="N145" s="974">
        <f>1</f>
        <v>1</v>
      </c>
      <c r="O145" s="974">
        <f>0</f>
        <v>0</v>
      </c>
      <c r="P145" s="974">
        <f>0</f>
        <v>0</v>
      </c>
      <c r="Q145" s="974">
        <f>0</f>
        <v>0</v>
      </c>
      <c r="R145" s="974">
        <f>0</f>
        <v>0</v>
      </c>
      <c r="S145" s="974">
        <f>0</f>
        <v>0</v>
      </c>
      <c r="T145" s="974">
        <f>0</f>
        <v>0</v>
      </c>
      <c r="U145" s="974">
        <f>0</f>
        <v>0</v>
      </c>
      <c r="V145" s="974">
        <f>0</f>
        <v>0</v>
      </c>
      <c r="W145" s="974">
        <f>0</f>
        <v>0</v>
      </c>
      <c r="X145" s="974">
        <f>0</f>
        <v>0</v>
      </c>
      <c r="Y145" s="974">
        <f>0</f>
        <v>0</v>
      </c>
      <c r="Z145" s="975">
        <f>0</f>
        <v>0</v>
      </c>
      <c r="AA145" s="975">
        <f>0</f>
        <v>0</v>
      </c>
      <c r="AB145" s="974">
        <f>0</f>
        <v>0</v>
      </c>
      <c r="AC145" s="974">
        <f>0</f>
        <v>0</v>
      </c>
      <c r="AD145" s="974">
        <f>0</f>
        <v>0</v>
      </c>
      <c r="AE145" s="974">
        <f>0</f>
        <v>0</v>
      </c>
      <c r="AF145" s="974">
        <f>0</f>
        <v>0</v>
      </c>
      <c r="AG145" s="975">
        <f>0</f>
        <v>0</v>
      </c>
      <c r="AH145" s="974">
        <f>0</f>
        <v>0</v>
      </c>
      <c r="AI145" s="974">
        <f>0</f>
        <v>0</v>
      </c>
      <c r="AJ145" s="974">
        <f>0</f>
        <v>0</v>
      </c>
      <c r="AK145" s="974">
        <f>0</f>
        <v>0</v>
      </c>
      <c r="AL145" s="974">
        <f>0</f>
        <v>0</v>
      </c>
      <c r="AM145" s="974">
        <f>0</f>
        <v>0</v>
      </c>
      <c r="AN145" s="1418">
        <f>i_CIT_VFA-i_CIT_GLY</f>
        <v>0</v>
      </c>
      <c r="AO145" s="975">
        <f>0</f>
        <v>0</v>
      </c>
      <c r="AP145" s="975">
        <f>0</f>
        <v>0</v>
      </c>
      <c r="AQ145" s="975">
        <f>0</f>
        <v>0</v>
      </c>
      <c r="AR145" s="975">
        <f>0</f>
        <v>0</v>
      </c>
      <c r="AS145" s="975">
        <f>0</f>
        <v>0</v>
      </c>
      <c r="AT145" s="975">
        <f>0</f>
        <v>0</v>
      </c>
      <c r="AU145" s="974">
        <f>0</f>
        <v>0</v>
      </c>
      <c r="AV145" s="974">
        <f>0</f>
        <v>0</v>
      </c>
      <c r="AW145" s="974">
        <f>0</f>
        <v>0</v>
      </c>
      <c r="AX145" s="974">
        <f>0</f>
        <v>0</v>
      </c>
      <c r="AY145" s="974">
        <f>0</f>
        <v>0</v>
      </c>
      <c r="AZ145" s="974">
        <f>0</f>
        <v>0</v>
      </c>
      <c r="BA145" s="974">
        <f>0</f>
        <v>0</v>
      </c>
      <c r="BB145" s="974">
        <f>0</f>
        <v>0</v>
      </c>
      <c r="BC145" s="974">
        <f>0</f>
        <v>0</v>
      </c>
      <c r="BD145" s="974">
        <f>0</f>
        <v>0</v>
      </c>
      <c r="BE145" s="974">
        <f>0</f>
        <v>0</v>
      </c>
      <c r="BF145" s="974">
        <f>0</f>
        <v>0</v>
      </c>
      <c r="BG145" s="974">
        <f>0</f>
        <v>0</v>
      </c>
      <c r="BH145" s="974">
        <f>0</f>
        <v>0</v>
      </c>
      <c r="BI145" s="974">
        <f>0</f>
        <v>0</v>
      </c>
      <c r="BJ145" s="974">
        <f>0</f>
        <v>0</v>
      </c>
      <c r="BK145" s="974">
        <f>0</f>
        <v>0</v>
      </c>
      <c r="BL145" s="1479">
        <f>0</f>
        <v>0</v>
      </c>
      <c r="BM145" s="974">
        <f>0</f>
        <v>0</v>
      </c>
      <c r="BN145" s="974">
        <f>0</f>
        <v>0</v>
      </c>
      <c r="BO145" s="974">
        <f>0</f>
        <v>0</v>
      </c>
      <c r="BP145" s="1418">
        <f>0</f>
        <v>0</v>
      </c>
      <c r="BQ145" s="2367">
        <f>0</f>
        <v>0</v>
      </c>
      <c r="BR145" s="974">
        <f>0</f>
        <v>0</v>
      </c>
      <c r="BS145" s="974">
        <f>0</f>
        <v>0</v>
      </c>
      <c r="BT145" s="974">
        <f>0</f>
        <v>0</v>
      </c>
      <c r="BU145" s="974">
        <f>0</f>
        <v>0</v>
      </c>
      <c r="BV145" s="974">
        <f>0</f>
        <v>0</v>
      </c>
      <c r="BW145" s="974">
        <f>0</f>
        <v>0</v>
      </c>
      <c r="BX145" s="974">
        <f>0</f>
        <v>0</v>
      </c>
      <c r="BY145" s="974">
        <f>0</f>
        <v>0</v>
      </c>
      <c r="BZ145" s="974">
        <f>0</f>
        <v>0</v>
      </c>
      <c r="CA145" s="974">
        <f>0</f>
        <v>0</v>
      </c>
      <c r="CB145" s="974">
        <f>0</f>
        <v>0</v>
      </c>
      <c r="CC145" s="974">
        <f>0</f>
        <v>0</v>
      </c>
      <c r="CD145" s="1652">
        <f>q_GAO_GLY_T*X_CASTO*actsto_GAO_ORP*M_satSVFA_KVFA_CASTO*L_oginhXGLY_XGAO_max</f>
        <v>3.6748960112416036</v>
      </c>
      <c r="CF145" s="2385">
        <f>E220*E145+F220*F145+G220*G145+H220*H145+I220*I145+J220*J145+K220*K145+L220*L145+M220*M145+N220*N145+O220*O145+P220*P145+Q220*Q145+R220*R145+S220*S145+T220*T145+U220*U145+V220*V145+W220*W145+X220*X145+Y220*Y145+Z220*Z145+AA220*AA145+AB220*AB145+AC220*AC145+AD220*AD145+AE220*AE145+AF220*AF145+AG220*AG145+AH220*AH145+AI220*AI145+AJ220*AJ145+AK220*AK145+AL220*AL145+AM220*AM145+AN220*AN145+AO220*AO145+AP220*AP145+AQ220*AQ145+AR220*AR145+AS220*AS145+AT220*AT145+AU220*AU145+AV220*AV145+AW220*AW145+AX220*AX145+AY220*AY145+AZ220*AZ145+BA220*BA145+BB220*BB145+BC220*BC145+BD220*BD145+BE220*BE145+BF220*BF145+BG220*BG145+BH220*BH145+BI220*BI145+BJ220*BJ145+BK220*BK145+BL220*BL145+BM220*BM145+BN220*BN145+BO220*BO145+BP220*BP145+BQ220*BQ145+BR220*BR145+BS220*BS145+BT220*BT145+BU220*BU145+BV220*BV145+BW220*BW145+BX220*BX145+BY220*BY145+BZ220*BZ145+CA220*CA145+CB220*CB145+CC220*CC145</f>
        <v>0</v>
      </c>
      <c r="CG145" s="2385">
        <f>E221*E145+F221*F145+G221*G145+H221*H145+I221*I145+J221*J145+K221*K145+L221*L145+M221*M145+N221*N145+O221*O145+P221*P145+Q221*Q145+R221*R145+S221*S145+T221*T145+U221*U145+V221*V145+W221*W145+X221*X145+Y221*Y145+Z221*Z145+AA221*AA145+AB221*AB145+AC221*AC145+AD221*AD145+AE221*AE145+AF221*AF145+AG221*AG145+AH221*AH145+AI221*AI145+AJ221*AJ145+AK221*AK145+AL221*AL145+AM221*AM145+AN221*AN145+AO221*AO145+AP221*AP145+AQ221*AQ145+AR221*AR145+AS221*AS145+AT221*AT145+AU221*AU145+AV221*AV145+AW221*AW145+AX221*AX145+AY221*AY145+AZ221*AZ145+BA221*BA145+BB221*BB145+BC221*BC145+BD221*BD145+BE221*BE145+BF221*BF145+BG221*BG145+BH221*BH145+BI221*BI145+BJ221*BJ145+BK221*BK145+BL221*BL145+BM221*BM145+BN221*BN145+BO221*BO145+BP221*BP145+BQ221*BQ145+BR221*BR145+BS221*BS145+BT221*BT145+BU221*BU145+BV221*BV145+BW221*BW145+BX221*BX145+BY221*BY145+BZ221*BZ145+CA221*CA145+CB221*CB145+CC221*CC145</f>
        <v>0</v>
      </c>
      <c r="CH145" s="2386">
        <f>E222*E145+F222*F145+G222*G145+H222*H145+I222*I145+J222*J145+K222*K145+L222*L145+M222*M145+N222*N145+O222*O145+P222*P145+Q222*Q145+R222*R145+S222*S145+T222*T145+U222*U145+V222*V145+W222*W145+X222*X145+Y222*Y145+Z222*Z145+AA222*AA145+AB222*AB145+AC222*AC145+AD222*AD145+AE222*AE145+AF222*AF145+AG222*AG145+AH222*AH145+AI222*AI145+AJ222*AJ145+AK222*AK145+AL222*AL145+AM222*AM145+AN222*AN145+AO222*AO145+AP222*AP145+AQ222*AQ145+AR222*AR145+AS222*AS145+AT222*AT145+AU222*AU145+AV222*AV145+AW222*AW145+AX222*AX145+AY222*AY145+AZ222*AZ145+BA222*BA145+BB222*BB145+BC222*BC145+BD222*BD145+BE222*BE145+BF222*BF145+BG222*BG145+BH222*BH145+BI222*BI145+BJ222*BJ145+BK222*BK145+BL222*BL145+BM222*BM145+BN222*BN145+BO222*BO145+BP222*BP145+BQ222*BQ145+BR222*BR145+BS222*BS145+BT222*BT145+BU222*BU145+BV222*BV145+BW222*BW145+BX222*BX145+BY222*BY145+BZ222*BZ145+CA222*CA145+CB222*CB145+CC222*CC145</f>
        <v>0</v>
      </c>
      <c r="CI145" s="2387">
        <f>E223*E145+F223*F145+G223*G145+H223*H145+I223*I145+J223*J145+K223*K145+L223*L145+M223*M145+N223*N145+O223*O145+P223*P145+Q223*Q145+R223*R145+S223*S145+T223*T145+U223*U145+V223*V145+W223*W145+X223*X145+Y223*Y145+Z223*Z145+AA223*AA145+AB223*AB145+AC223*AC145+AD223*AD145+AE223*AE145+AF223*AF145+AG223*AG145+AH223*AH145+AI223*AI145+AJ223*AJ145+AK223*AK145+AL223*AL145+AM223*AM145+AN223*AN145+AO223*AO145+AP223*AP145+AQ223*AQ145+AR223*AR145+AS223*AS145+AT223*AT145+AU223*AU145+AV223*AV145+AW223*AW145+AX223*AX145+AY223*AY145+AZ223*AZ145+BA223*BA145+BB223*BB145+BC223*BC145+BD223*BD145+BE223*BE145+BF223*BF145+BG223*BG145+BH223*BH145+BI223*BI145+BJ223*BJ145+BK223*BK145+BL223*BL145+BM223*BM145+BN223*BN145+BO223*BO145+BP223*BP145+BQ223*BQ145+BR223*BR145+BS223*BS145+BT223*BT145+BU223*BU145+BV223*BV145+BW223*BW145+BX223*BX145+BY223*BY145+BZ223*BZ145+CA223*CA145+CB223*CB145+CC223*CC145</f>
        <v>0</v>
      </c>
      <c r="CJ145" s="2387">
        <f>E224*E145+F224*F145+G224*G145+H224*H145+I224*I145+J224*J145+K224*K145+L224*L145+M224*M145+N224*N145+O224*O145+P224*P145+Q224*Q145+R224*R145+S224*S145+T224*T145+U224*U145+V224*V145+W224*W145+X224*X145+Y224*Y145+Z224*Z145+AA224*AA145+AB224*AB145+AC224*AC145+AD224*AD145+AE224*AE145+AF224*AF145+AG224*AG145+AH224*AH145+AI224*AI145+AJ224*AJ145+AK224*AK145+AL224*AL145+AM224*AM145+AN224*AN145+AO224*AO145+AP224*AP145+AQ224*AQ145+AR224*AR145+AS224*AS145+AT224*AT145+AU224*AU145+AV224*AV145+AW224*AW145+AX224*AX145+AY224*AY145+AZ224*AZ145+BA224*BA145+BB224*BB145+BC224*BC145+BD224*BD145+BE224*BE145+BF224*BF145+BG224*BG145+BH224*BH145+BI224*BI145+BJ224*BJ145+BK224*BK145+BL224*BL145+BM224*BM145+BN224*BN145+BO224*BO145+BP224*BP145+BQ224*BQ145+BR224*BR145+BS224*BS145+BT224*BT145+BU224*BU145+BV224*BV145+BW224*BW145+BX224*BX145+BY224*BY145+BZ224*BZ145+CA224*CA145+CB224*CB145+CC224*CC145</f>
        <v>0</v>
      </c>
      <c r="CK145" s="2387">
        <f>E225*E145+F225*F145+G225*G145+H225*H145+I225*I145+J225*J145+K225*K145+L225*L145+M225*M145+N225*N145+O225*O145+P225*P145+Q225*Q145+R225*R145+S225*S145+T225*T145+U225*U145+V225*V145+W225*W145+X225*X145+Y225*Y145+Z225*Z145+AA225*AA145+AB225*AB145+AC225*AC145+AD225*AD145+AE225*AE145+AF225*AF145+AG225*AG145+AH225*AH145+AI225*AI145+AJ225*AJ145+AK225*AK145+AL225*AL145+AM225*AM145+AN225*AN145+AO225*AO145+AP225*AP145+AQ225*AQ145+AR225*AR145+AS225*AS145+AT225*AT145+AU225*AU145+AV225*AV145+AW225*AW145+AX225*AX145+AY225*AY145+AZ225*AZ145+BA225*BA145+BB225*BB145+BC225*BC145+BD225*BD145+BE225*BE145+BF225*BF145+BG225*BG145+BH225*BH145+BI225*BI145+BJ225*BJ145+BK225*BK145+BL225*BL145+BM225*BM145+BN225*BN145+BO225*BO145+BP225*BP145+BQ225*BQ145+BR225*BR145+BS225*BS145+BT225*BT145+BU225*BU145+BV225*BV145+BW225*BW145+BX225*BX145+BY225*BY145+BZ225*BZ145+CA225*CA145+CB225*CB145+CC225*CC145</f>
        <v>0</v>
      </c>
      <c r="CL145" s="2387">
        <f>E226*E145+F226*F145+G226*G145+H226*H145+I226*I145+J226*J145+K226*K145+L226*L145+M226*M145+N226*N145+O226*O145+P226*P145+Q226*Q145+R226*R145+S226*S145+T226*T145+U226*U145+V226*V145+W226*W145+X226*X145+Y226*Y145+Z226*Z145+AA226*AA145+AB226*AB145+AC226*AC145+AD226*AD145+AE226*AE145+AF226*AF145+AG226*AG145+AH226*AH145+AI226*AI145+AJ226*AJ145+AK226*AK145+AL226*AL145+AM226*AM145+AN226*AN145+AO226*AO145+AP226*AP145+AQ226*AQ145+AR226*AR145+AS226*AS145+AT226*AT145+AU226*AU145+AV226*AV145+AW226*AW145+AX226*AX145+AY226*AY145+AZ226*AZ145+BA226*BA145+BB226*BB145+BC226*BC145+BD226*BD145+BE226*BE145+BF226*BF145+BG226*BG145+BH226*BH145+BI226*BI145+BJ226*BJ145+BK226*BK145+BL226*BL145+BM226*BM145+BN226*BN145+BO226*BO145+BP226*BP145+BQ226*BQ145+BR226*BR145+BS226*BS145+BT226*BT145+BU226*BU145+BV226*BV145+BW226*BW145+BX226*BX145+BY226*BY145+BZ226*BZ145+CA226*CA145+CB226*CB145+CC226*CC145</f>
        <v>0</v>
      </c>
      <c r="CM145" s="2387">
        <f>E227*E145+F227*F145+G227*G145+H227*H145+I227*I145+J227*J145+K227*K145+L227*L145+M227*M145+N227*N145+O227*O145+P227*P145+Q227*Q145+R227*R145+S227*S145+T227*T145+U227*U145+V227*V145+W227*W145+X227*X145+Y227*Y145+Z227*Z145+AA227*AA145+AB227*AB145+AC227*AC145+AD227*AD145+AE227*AE145+AF227*AF145+AG227*AG145+AH227*AH145+AI227*AI145+AJ227*AJ145+AK227*AK145+AL227*AL145+AM227*AM145+AN227*AN145+AO227*AO145+AP227*AP145+AQ227*AQ145+AR227*AR145+AS227*AS145+AT227*AT145+AU227*AU145+AV227*AV145+AW227*AW145+AX227*AX145+AY227*AY145+AZ227*AZ145+BA227*BA145+BB227*BB145+BC227*BC145+BD227*BD145+BE227*BE145+BF227*BF145+BG227*BG145+BH227*BH145+BI227*BI145+BJ227*BJ145+BK227*BK145+BL227*BL145+BM227*BM145+BN227*BN145+BO227*BO145+BP227*BP145+BQ227*BQ145+BR227*BR145+BS227*BS145+BT227*BT145+BU227*BU145+BV227*BV145+BW227*BW145+BX227*BX145+BY227*BY145+BZ227*BZ145+CA227*CA145+CB227*CB145+CC227*CC145</f>
        <v>0</v>
      </c>
      <c r="CN145" s="2387">
        <f>E228*E145+F228*F145+G228*G145+H228*H145+I228*I145+J228*J145+K228*K145+L228*L145+M228*M145+N228*N145+O228*O145+P228*P145+Q228*Q145+R228*R145+S228*S145+T228*T145+U228*U145+V228*V145+W228*W145+X228*X145+Y228*Y145+Z228*Z145+AA228*AA145+AB228*AB145+AC228*AC145+AD228*AD145+AE228*AE145+AF228*AF145+AG228*AG145+AH228*AH145+AI228*AI145+AJ228*AJ145+AK228*AK145+AL228*AL145+AM228*AM145+AN228*AN145+AO228*AO145+AP228*AP145+AQ228*AQ145+AR228*AR145+AS228*AS145+AT228*AT145+AU228*AU145+AV228*AV145+AW228*AW145+AX228*AX145+AY228*AY145+AZ228*AZ145+BA228*BA145+BB228*BB145+BC228*BC145+BD228*BD145+BE228*BE145+BF228*BF145+BG228*BG145+BH228*BH145+BI228*BI145+BJ228*BJ145+BK228*BK145+BL228*BL145+BM228*BM145+BN228*BN145+BO228*BO145+BP228*BP145+BQ228*BQ145+BR228*BR145+BS228*BS145+BT228*BT145+BU228*BU145+BV228*BV145+BW228*BW145+BX228*BX145+BY228*BY145+BZ228*BZ145+CA228*CA145+CB228*CB145+CC228*CC145</f>
        <v>0</v>
      </c>
      <c r="CO145" s="2387">
        <f>E229*E145+F229*F145+G229*G145+H229*H145+I229*I145+J229*J145+K229*K145+L229*L145+M229*M145+N229*N145+O229*O145+P229*P145+Q229*Q145+R229*R145+S229*S145+T229*T145+U229*U145+V229*V145+W229*W145+X229*X145+Y229*Y145+Z229*Z145+AA229*AA145+AB229*AB145+AC229*AC145+AD229*AD145+AE229*AE145+AF229*AF145+AG229*AG145+AH229*AH145+AI229*AI145+AJ229*AJ145+AK229*AK145+AL229*AL145+AM229*AM145+AN229*AN145+AO229*AO145+AP229*AP145+AQ229*AQ145+AR229*AR145+AS229*AS145+AT229*AT145+AU229*AU145+AV229*AV145+AW229*AW145+AX229*AX145+AY229*AY145+AZ229*AZ145+BA229*BA145+BB229*BB145+BC229*BC145+BD229*BD145+BE229*BE145+BF229*BF145+BG229*BG145+BH229*BH145+BI229*BI145+BJ229*BJ145+BK229*BK145+BL229*BL145+BM229*BM145+BN229*BN145+BO229*BO145+BP229*BP145+BQ229*BQ145+BR229*BR145+BS229*BS145+BT229*BT145+BU229*BU145+BV229*BV145+BW229*BW145+BX229*BX145+BY229*BY145+BZ229*BZ145+CA229*CA145+CB229*CB145+CC229*CC145</f>
        <v>0</v>
      </c>
      <c r="CP145" s="2387">
        <f>E230*E145+F230*F145+G230*G145+H230*H145+I230*I145+J230*J145+K230*K145+L230*L145+M230*M145+N230*N145+O230*O145+P230*P145+Q230*Q145+R230*R145+S230*S145+T230*T145+U230*U145+V230*V145+W230*W145+X230*X145+Y230*Y145+Z230*Z145+AA230*AA145+AB230*AB145+AC230*AC145+AD230*AD145+AE230*AE145+AF230*AF145+AG230*AG145+AH230*AH145+AI230*AI145+AJ230*AJ145+AK230*AK145+AL230*AL145+AM230*AM145+AN230*AN145+AO230*AO145+AP230*AP145+AQ230*AQ145+AR230*AR145+AS230*AS145+AT230*AT145+AU230*AU145+AV230*AV145+AW230*AW145+AX230*AX145+AY230*AY145+AZ230*AZ145+BA230*BA145+BB230*BB145+BC230*BC145+BD230*BD145+BE230*BE145+BF230*BF145+BG230*BG145+BH230*BH145+BI230*BI145+BJ230*BJ145+BK230*BK145+BL230*BL145+BM230*BM145+BN230*BN145+BO230*BO145+BP230*BP145+BQ230*BQ145+BR230*BR145+BS230*BS145+BT230*BT145+BU230*BU145+BV230*BV145+BW230*BW145+BX230*BX145+BY230*BY145+BZ230*BZ145+CA230*CA145+CB230*CB145+CC230*CC145</f>
        <v>0</v>
      </c>
    </row>
    <row r="146" spans="2:94" x14ac:dyDescent="0.25">
      <c r="B146" s="1585">
        <v>27</v>
      </c>
      <c r="C146" s="628" t="s">
        <v>249</v>
      </c>
      <c r="D146" s="629" t="s">
        <v>4427</v>
      </c>
      <c r="E146" s="974">
        <f>0</f>
        <v>0</v>
      </c>
      <c r="F146" s="974">
        <f>0</f>
        <v>0</v>
      </c>
      <c r="G146" s="974">
        <f>0</f>
        <v>0</v>
      </c>
      <c r="H146" s="974">
        <f>0</f>
        <v>0</v>
      </c>
      <c r="I146" s="974">
        <f>0</f>
        <v>0</v>
      </c>
      <c r="J146" s="974">
        <f>0</f>
        <v>0</v>
      </c>
      <c r="K146" s="974">
        <f>0</f>
        <v>0</v>
      </c>
      <c r="L146" s="974">
        <f>0</f>
        <v>0</v>
      </c>
      <c r="M146" s="1417">
        <f>-X_PHA/X_STC</f>
        <v>-0.86956521739130432</v>
      </c>
      <c r="N146" s="1417">
        <f>-X_GLY/X_STC</f>
        <v>-0.13043478260869565</v>
      </c>
      <c r="O146" s="974">
        <f>0</f>
        <v>0</v>
      </c>
      <c r="P146" s="974">
        <f>0</f>
        <v>0</v>
      </c>
      <c r="Q146" s="974">
        <f>0</f>
        <v>0</v>
      </c>
      <c r="R146" s="974">
        <f>0</f>
        <v>0</v>
      </c>
      <c r="S146" s="974">
        <f>0</f>
        <v>0</v>
      </c>
      <c r="T146" s="974">
        <f>0</f>
        <v>0</v>
      </c>
      <c r="U146" s="974">
        <f>0</f>
        <v>0</v>
      </c>
      <c r="V146" s="974">
        <f>0</f>
        <v>0</v>
      </c>
      <c r="W146" s="974">
        <f>0</f>
        <v>0</v>
      </c>
      <c r="X146" s="974">
        <f>0</f>
        <v>0</v>
      </c>
      <c r="Y146" s="974">
        <f>0</f>
        <v>0</v>
      </c>
      <c r="Z146" s="974">
        <f>0</f>
        <v>0</v>
      </c>
      <c r="AA146" s="974">
        <f>0</f>
        <v>0</v>
      </c>
      <c r="AB146" s="974">
        <f>0</f>
        <v>0</v>
      </c>
      <c r="AC146" s="974">
        <f>0</f>
        <v>0</v>
      </c>
      <c r="AD146" s="974">
        <f>0</f>
        <v>0</v>
      </c>
      <c r="AE146" s="974">
        <f>0</f>
        <v>0</v>
      </c>
      <c r="AF146" s="974">
        <f>0</f>
        <v>0</v>
      </c>
      <c r="AG146" s="975">
        <f>0</f>
        <v>0</v>
      </c>
      <c r="AH146" s="974">
        <f>0</f>
        <v>0</v>
      </c>
      <c r="AI146" s="974">
        <f>0</f>
        <v>0</v>
      </c>
      <c r="AJ146" s="974">
        <f>0</f>
        <v>0</v>
      </c>
      <c r="AK146" s="974">
        <f>-1</f>
        <v>-1</v>
      </c>
      <c r="AL146" s="974">
        <f>0</f>
        <v>0</v>
      </c>
      <c r="AM146" s="974">
        <f>0</f>
        <v>0</v>
      </c>
      <c r="AN146" s="1418">
        <f>i_CIT_STC</f>
        <v>0.33847826086956523</v>
      </c>
      <c r="AO146" s="974">
        <f>0</f>
        <v>0</v>
      </c>
      <c r="AP146" s="974">
        <f>0</f>
        <v>0</v>
      </c>
      <c r="AQ146" s="974">
        <f>0</f>
        <v>0</v>
      </c>
      <c r="AR146" s="975">
        <f>0</f>
        <v>0</v>
      </c>
      <c r="AS146" s="975">
        <f>0</f>
        <v>0</v>
      </c>
      <c r="AT146" s="975">
        <f>0</f>
        <v>0</v>
      </c>
      <c r="AU146" s="974">
        <f>0</f>
        <v>0</v>
      </c>
      <c r="AV146" s="974">
        <f>0</f>
        <v>0</v>
      </c>
      <c r="AW146" s="974">
        <f>0</f>
        <v>0</v>
      </c>
      <c r="AX146" s="974">
        <f>0</f>
        <v>0</v>
      </c>
      <c r="AY146" s="974">
        <f>0</f>
        <v>0</v>
      </c>
      <c r="AZ146" s="974">
        <f>0</f>
        <v>0</v>
      </c>
      <c r="BA146" s="974">
        <f>0</f>
        <v>0</v>
      </c>
      <c r="BB146" s="974">
        <f>0</f>
        <v>0</v>
      </c>
      <c r="BC146" s="974">
        <f>0</f>
        <v>0</v>
      </c>
      <c r="BD146" s="974">
        <f>0</f>
        <v>0</v>
      </c>
      <c r="BE146" s="974">
        <f>0</f>
        <v>0</v>
      </c>
      <c r="BF146" s="974">
        <f>0</f>
        <v>0</v>
      </c>
      <c r="BG146" s="974">
        <f>0</f>
        <v>0</v>
      </c>
      <c r="BH146" s="974">
        <f>0</f>
        <v>0</v>
      </c>
      <c r="BI146" s="974">
        <f>0</f>
        <v>0</v>
      </c>
      <c r="BJ146" s="974">
        <f>0</f>
        <v>0</v>
      </c>
      <c r="BK146" s="974">
        <f>0</f>
        <v>0</v>
      </c>
      <c r="BL146" s="1479">
        <f>0</f>
        <v>0</v>
      </c>
      <c r="BM146" s="974">
        <f>0</f>
        <v>0</v>
      </c>
      <c r="BN146" s="974">
        <f>0</f>
        <v>0</v>
      </c>
      <c r="BO146" s="974">
        <f>0</f>
        <v>0</v>
      </c>
      <c r="BP146" s="1418">
        <f>0</f>
        <v>0</v>
      </c>
      <c r="BQ146" s="2367">
        <f>0</f>
        <v>0</v>
      </c>
      <c r="BR146" s="974">
        <f>0</f>
        <v>0</v>
      </c>
      <c r="BS146" s="974">
        <f>0</f>
        <v>0</v>
      </c>
      <c r="BT146" s="974">
        <f>0</f>
        <v>0</v>
      </c>
      <c r="BU146" s="974">
        <f>0</f>
        <v>0</v>
      </c>
      <c r="BV146" s="974">
        <f>0</f>
        <v>0</v>
      </c>
      <c r="BW146" s="974">
        <f>0</f>
        <v>0</v>
      </c>
      <c r="BX146" s="974">
        <f>0</f>
        <v>0</v>
      </c>
      <c r="BY146" s="974">
        <f>0</f>
        <v>0</v>
      </c>
      <c r="BZ146" s="974">
        <f>0</f>
        <v>0</v>
      </c>
      <c r="CA146" s="974">
        <f>0</f>
        <v>0</v>
      </c>
      <c r="CB146" s="974">
        <f>0</f>
        <v>0</v>
      </c>
      <c r="CC146" s="974">
        <f>0</f>
        <v>0</v>
      </c>
      <c r="CD146" s="1652">
        <f>b_STC_T*X_CASTO*M_satSO2_KO2_CASTO*M_RsatXSTC_XCASTO_KSTC</f>
        <v>10.7584363514868</v>
      </c>
      <c r="CF146" s="2385">
        <f>E220*E146+F220*F146+G220*G146+H220*H146+I220*I146+J220*J146+K220*K146+L220*L146+M220*M146+N220*N146+O220*O146+P220*P146+Q220*Q146+R220*R146+S220*S146+T220*T146+U220*U146+V220*V146+W220*W146+X220*X146+Y220*Y146+Z220*Z146+AA220*AA146+AB220*AB146+AC220*AC146+AD220*AD146+AE220*AE146+AF220*AF146+AG220*AG146+AH220*AH146+AI220*AI146+AJ220*AJ146+AK220*AK146+AL220*AL146+AM220*AM146+AN220*AN146+AO220*AO146+AP220*AP146+AQ220*AQ146+AR220*AR146+AS220*AS146+AT220*AT146+AU220*AU146+AV220*AV146+AW220*AW146+AX220*AX146+AY220*AY146+AZ220*AZ146+BA220*BA146+BB220*BB146+BC220*BC146+BD220*BD146+BE220*BE146+BF220*BF146+BG220*BG146+BH220*BH146+BI220*BI146+BJ220*BJ146+BK220*BK146+BL220*BL146+BM220*BM146+BN220*BN146+BO220*BO146+BP220*BP146+BQ220*BQ146+BR220*BR146+BS220*BS146+BT220*BT146+BU220*BU146+BV220*BV146+BW220*BW146+BX220*BX146+BY220*BY146+BZ220*BZ146+CA220*CA146+CB220*CB146+CC220*CC146</f>
        <v>0</v>
      </c>
      <c r="CG146" s="2385">
        <f>E221*E146+F221*F146+G221*G146+H221*H146+I221*I146+J221*J146+K221*K146+L221*L146+M221*M146+N221*N146+O221*O146+P221*P146+Q221*Q146+R221*R146+S221*S146+T221*T146+U221*U146+V221*V146+W221*W146+X221*X146+Y221*Y146+Z221*Z146+AA221*AA146+AB221*AB146+AC221*AC146+AD221*AD146+AE221*AE146+AF221*AF146+AG221*AG146+AH221*AH146+AI221*AI146+AJ221*AJ146+AK221*AK146+AL221*AL146+AM221*AM146+AN221*AN146+AO221*AO146+AP221*AP146+AQ221*AQ146+AR221*AR146+AS221*AS146+AT221*AT146+AU221*AU146+AV221*AV146+AW221*AW146+AX221*AX146+AY221*AY146+AZ221*AZ146+BA221*BA146+BB221*BB146+BC221*BC146+BD221*BD146+BE221*BE146+BF221*BF146+BG221*BG146+BH221*BH146+BI221*BI146+BJ221*BJ146+BK221*BK146+BL221*BL146+BM221*BM146+BN221*BN146+BO221*BO146+BP221*BP146+BQ221*BQ146+BR221*BR146+BS221*BS146+BT221*BT146+BU221*BU146+BV221*BV146+BW221*BW146+BX221*BX146+BY221*BY146+BZ221*BZ146+CA221*CA146+CB221*CB146+CC221*CC146</f>
        <v>0</v>
      </c>
      <c r="CH146" s="2386">
        <f>E222*E146+F222*F146+G222*G146+H222*H146+I222*I146+J222*J146+K222*K146+L222*L146+M222*M146+N222*N146+O222*O146+P222*P146+Q222*Q146+R222*R146+S222*S146+T222*T146+U222*U146+V222*V146+W222*W146+X222*X146+Y222*Y146+Z222*Z146+AA222*AA146+AB222*AB146+AC222*AC146+AD222*AD146+AE222*AE146+AF222*AF146+AG222*AG146+AH222*AH146+AI222*AI146+AJ222*AJ146+AK222*AK146+AL222*AL146+AM222*AM146+AN222*AN146+AO222*AO146+AP222*AP146+AQ222*AQ146+AR222*AR146+AS222*AS146+AT222*AT146+AU222*AU146+AV222*AV146+AW222*AW146+AX222*AX146+AY222*AY146+AZ222*AZ146+BA222*BA146+BB222*BB146+BC222*BC146+BD222*BD146+BE222*BE146+BF222*BF146+BG222*BG146+BH222*BH146+BI222*BI146+BJ222*BJ146+BK222*BK146+BL222*BL146+BM222*BM146+BN222*BN146+BO222*BO146+BP222*BP146+BQ222*BQ146+BR222*BR146+BS222*BS146+BT222*BT146+BU222*BU146+BV222*BV146+BW222*BW146+BX222*BX146+BY222*BY146+BZ222*BZ146+CA222*CA146+CB222*CB146+CC222*CC146</f>
        <v>0</v>
      </c>
      <c r="CI146" s="2387">
        <f>E223*E146+F223*F146+G223*G146+H223*H146+I223*I146+J223*J146+K223*K146+L223*L146+M223*M146+N223*N146+O223*O146+P223*P146+Q223*Q146+R223*R146+S223*S146+T223*T146+U223*U146+V223*V146+W223*W146+X223*X146+Y223*Y146+Z223*Z146+AA223*AA146+AB223*AB146+AC223*AC146+AD223*AD146+AE223*AE146+AF223*AF146+AG223*AG146+AH223*AH146+AI223*AI146+AJ223*AJ146+AK223*AK146+AL223*AL146+AM223*AM146+AN223*AN146+AO223*AO146+AP223*AP146+AQ223*AQ146+AR223*AR146+AS223*AS146+AT223*AT146+AU223*AU146+AV223*AV146+AW223*AW146+AX223*AX146+AY223*AY146+AZ223*AZ146+BA223*BA146+BB223*BB146+BC223*BC146+BD223*BD146+BE223*BE146+BF223*BF146+BG223*BG146+BH223*BH146+BI223*BI146+BJ223*BJ146+BK223*BK146+BL223*BL146+BM223*BM146+BN223*BN146+BO223*BO146+BP223*BP146+BQ223*BQ146+BR223*BR146+BS223*BS146+BT223*BT146+BU223*BU146+BV223*BV146+BW223*BW146+BX223*BX146+BY223*BY146+BZ223*BZ146+CA223*CA146+CB223*CB146+CC223*CC146</f>
        <v>0</v>
      </c>
      <c r="CJ146" s="2387">
        <f>E224*E146+F224*F146+G224*G146+H224*H146+I224*I146+J224*J146+K224*K146+L224*L146+M224*M146+N224*N146+O224*O146+P224*P146+Q224*Q146+R224*R146+S224*S146+T224*T146+U224*U146+V224*V146+W224*W146+X224*X146+Y224*Y146+Z224*Z146+AA224*AA146+AB224*AB146+AC224*AC146+AD224*AD146+AE224*AE146+AF224*AF146+AG224*AG146+AH224*AH146+AI224*AI146+AJ224*AJ146+AK224*AK146+AL224*AL146+AM224*AM146+AN224*AN146+AO224*AO146+AP224*AP146+AQ224*AQ146+AR224*AR146+AS224*AS146+AT224*AT146+AU224*AU146+AV224*AV146+AW224*AW146+AX224*AX146+AY224*AY146+AZ224*AZ146+BA224*BA146+BB224*BB146+BC224*BC146+BD224*BD146+BE224*BE146+BF224*BF146+BG224*BG146+BH224*BH146+BI224*BI146+BJ224*BJ146+BK224*BK146+BL224*BL146+BM224*BM146+BN224*BN146+BO224*BO146+BP224*BP146+BQ224*BQ146+BR224*BR146+BS224*BS146+BT224*BT146+BU224*BU146+BV224*BV146+BW224*BW146+BX224*BX146+BY224*BY146+BZ224*BZ146+CA224*CA146+CB224*CB146+CC224*CC146</f>
        <v>0</v>
      </c>
      <c r="CK146" s="2387">
        <f>E225*E146+F225*F146+G225*G146+H225*H146+I225*I146+J225*J146+K225*K146+L225*L146+M225*M146+N225*N146+O225*O146+P225*P146+Q225*Q146+R225*R146+S225*S146+T225*T146+U225*U146+V225*V146+W225*W146+X225*X146+Y225*Y146+Z225*Z146+AA225*AA146+AB225*AB146+AC225*AC146+AD225*AD146+AE225*AE146+AF225*AF146+AG225*AG146+AH225*AH146+AI225*AI146+AJ225*AJ146+AK225*AK146+AL225*AL146+AM225*AM146+AN225*AN146+AO225*AO146+AP225*AP146+AQ225*AQ146+AR225*AR146+AS225*AS146+AT225*AT146+AU225*AU146+AV225*AV146+AW225*AW146+AX225*AX146+AY225*AY146+AZ225*AZ146+BA225*BA146+BB225*BB146+BC225*BC146+BD225*BD146+BE225*BE146+BF225*BF146+BG225*BG146+BH225*BH146+BI225*BI146+BJ225*BJ146+BK225*BK146+BL225*BL146+BM225*BM146+BN225*BN146+BO225*BO146+BP225*BP146+BQ225*BQ146+BR225*BR146+BS225*BS146+BT225*BT146+BU225*BU146+BV225*BV146+BW225*BW146+BX225*BX146+BY225*BY146+BZ225*BZ146+CA225*CA146+CB225*CB146+CC225*CC146</f>
        <v>0</v>
      </c>
      <c r="CL146" s="2387">
        <f>E226*E146+F226*F146+G226*G146+H226*H146+I226*I146+J226*J146+K226*K146+L226*L146+M226*M146+N226*N146+O226*O146+P226*P146+Q226*Q146+R226*R146+S226*S146+T226*T146+U226*U146+V226*V146+W226*W146+X226*X146+Y226*Y146+Z226*Z146+AA226*AA146+AB226*AB146+AC226*AC146+AD226*AD146+AE226*AE146+AF226*AF146+AG226*AG146+AH226*AH146+AI226*AI146+AJ226*AJ146+AK226*AK146+AL226*AL146+AM226*AM146+AN226*AN146+AO226*AO146+AP226*AP146+AQ226*AQ146+AR226*AR146+AS226*AS146+AT226*AT146+AU226*AU146+AV226*AV146+AW226*AW146+AX226*AX146+AY226*AY146+AZ226*AZ146+BA226*BA146+BB226*BB146+BC226*BC146+BD226*BD146+BE226*BE146+BF226*BF146+BG226*BG146+BH226*BH146+BI226*BI146+BJ226*BJ146+BK226*BK146+BL226*BL146+BM226*BM146+BN226*BN146+BO226*BO146+BP226*BP146+BQ226*BQ146+BR226*BR146+BS226*BS146+BT226*BT146+BU226*BU146+BV226*BV146+BW226*BW146+BX226*BX146+BY226*BY146+BZ226*BZ146+CA226*CA146+CB226*CB146+CC226*CC146</f>
        <v>0</v>
      </c>
      <c r="CM146" s="2387">
        <f>E227*E146+F227*F146+G227*G146+H227*H146+I227*I146+J227*J146+K227*K146+L227*L146+M227*M146+N227*N146+O227*O146+P227*P146+Q227*Q146+R227*R146+S227*S146+T227*T146+U227*U146+V227*V146+W227*W146+X227*X146+Y227*Y146+Z227*Z146+AA227*AA146+AB227*AB146+AC227*AC146+AD227*AD146+AE227*AE146+AF227*AF146+AG227*AG146+AH227*AH146+AI227*AI146+AJ227*AJ146+AK227*AK146+AL227*AL146+AM227*AM146+AN227*AN146+AO227*AO146+AP227*AP146+AQ227*AQ146+AR227*AR146+AS227*AS146+AT227*AT146+AU227*AU146+AV227*AV146+AW227*AW146+AX227*AX146+AY227*AY146+AZ227*AZ146+BA227*BA146+BB227*BB146+BC227*BC146+BD227*BD146+BE227*BE146+BF227*BF146+BG227*BG146+BH227*BH146+BI227*BI146+BJ227*BJ146+BK227*BK146+BL227*BL146+BM227*BM146+BN227*BN146+BO227*BO146+BP227*BP146+BQ227*BQ146+BR227*BR146+BS227*BS146+BT227*BT146+BU227*BU146+BV227*BV146+BW227*BW146+BX227*BX146+BY227*BY146+BZ227*BZ146+CA227*CA146+CB227*CB146+CC227*CC146</f>
        <v>0</v>
      </c>
      <c r="CN146" s="2387">
        <f>E228*E146+F228*F146+G228*G146+H228*H146+I228*I146+J228*J146+K228*K146+L228*L146+M228*M146+N228*N146+O228*O146+P228*P146+Q228*Q146+R228*R146+S228*S146+T228*T146+U228*U146+V228*V146+W228*W146+X228*X146+Y228*Y146+Z228*Z146+AA228*AA146+AB228*AB146+AC228*AC146+AD228*AD146+AE228*AE146+AF228*AF146+AG228*AG146+AH228*AH146+AI228*AI146+AJ228*AJ146+AK228*AK146+AL228*AL146+AM228*AM146+AN228*AN146+AO228*AO146+AP228*AP146+AQ228*AQ146+AR228*AR146+AS228*AS146+AT228*AT146+AU228*AU146+AV228*AV146+AW228*AW146+AX228*AX146+AY228*AY146+AZ228*AZ146+BA228*BA146+BB228*BB146+BC228*BC146+BD228*BD146+BE228*BE146+BF228*BF146+BG228*BG146+BH228*BH146+BI228*BI146+BJ228*BJ146+BK228*BK146+BL228*BL146+BM228*BM146+BN228*BN146+BO228*BO146+BP228*BP146+BQ228*BQ146+BR228*BR146+BS228*BS146+BT228*BT146+BU228*BU146+BV228*BV146+BW228*BW146+BX228*BX146+BY228*BY146+BZ228*BZ146+CA228*CA146+CB228*CB146+CC228*CC146</f>
        <v>0</v>
      </c>
      <c r="CO146" s="2387">
        <f>E229*E146+F229*F146+G229*G146+H229*H146+I229*I146+J229*J146+K229*K146+L229*L146+M229*M146+N229*N146+O229*O146+P229*P146+Q229*Q146+R229*R146+S229*S146+T229*T146+U229*U146+V229*V146+W229*W146+X229*X146+Y229*Y146+Z229*Z146+AA229*AA146+AB229*AB146+AC229*AC146+AD229*AD146+AE229*AE146+AF229*AF146+AG229*AG146+AH229*AH146+AI229*AI146+AJ229*AJ146+AK229*AK146+AL229*AL146+AM229*AM146+AN229*AN146+AO229*AO146+AP229*AP146+AQ229*AQ146+AR229*AR146+AS229*AS146+AT229*AT146+AU229*AU146+AV229*AV146+AW229*AW146+AX229*AX146+AY229*AY146+AZ229*AZ146+BA229*BA146+BB229*BB146+BC229*BC146+BD229*BD146+BE229*BE146+BF229*BF146+BG229*BG146+BH229*BH146+BI229*BI146+BJ229*BJ146+BK229*BK146+BL229*BL146+BM229*BM146+BN229*BN146+BO229*BO146+BP229*BP146+BQ229*BQ146+BR229*BR146+BS229*BS146+BT229*BT146+BU229*BU146+BV229*BV146+BW229*BW146+BX229*BX146+BY229*BY146+BZ229*BZ146+CA229*CA146+CB229*CB146+CC229*CC146</f>
        <v>0</v>
      </c>
      <c r="CP146" s="2387">
        <f>E230*E146+F230*F146+G230*G146+H230*H146+I230*I146+J230*J146+K230*K146+L230*L146+M230*M146+N230*N146+O230*O146+P230*P146+Q230*Q146+R230*R146+S230*S146+T230*T146+U230*U146+V230*V146+W230*W146+X230*X146+Y230*Y146+Z230*Z146+AA230*AA146+AB230*AB146+AC230*AC146+AD230*AD146+AE230*AE146+AF230*AF146+AG230*AG146+AH230*AH146+AI230*AI146+AJ230*AJ146+AK230*AK146+AL230*AL146+AM230*AM146+AN230*AN146+AO230*AO146+AP230*AP146+AQ230*AQ146+AR230*AR146+AS230*AS146+AT230*AT146+AU230*AU146+AV230*AV146+AW230*AW146+AX230*AX146+AY230*AY146+AZ230*AZ146+BA230*BA146+BB230*BB146+BC230*BC146+BD230*BD146+BE230*BE146+BF230*BF146+BG230*BG146+BH230*BH146+BI230*BI146+BJ230*BJ146+BK230*BK146+BL230*BL146+BM230*BM146+BN230*BN146+BO230*BO146+BP230*BP146+BQ230*BQ146+BR230*BR146+BS230*BS146+BT230*BT146+BU230*BU146+BV230*BV146+BW230*BW146+BX230*BX146+BY230*BY146+BZ230*BZ146+CA230*CA146+CB230*CB146+CC230*CC146</f>
        <v>0</v>
      </c>
    </row>
    <row r="147" spans="2:94" ht="18" x14ac:dyDescent="0.25">
      <c r="B147" s="1585">
        <v>28</v>
      </c>
      <c r="C147" s="628" t="s">
        <v>250</v>
      </c>
      <c r="D147" s="629" t="s">
        <v>4428</v>
      </c>
      <c r="E147" s="974">
        <f>0</f>
        <v>0</v>
      </c>
      <c r="F147" s="974">
        <f>0</f>
        <v>0</v>
      </c>
      <c r="G147" s="974">
        <f>0</f>
        <v>0</v>
      </c>
      <c r="H147" s="974">
        <f>0</f>
        <v>0</v>
      </c>
      <c r="I147" s="974">
        <f>0</f>
        <v>0</v>
      </c>
      <c r="J147" s="974">
        <f>0</f>
        <v>0</v>
      </c>
      <c r="K147" s="974">
        <f>0</f>
        <v>0</v>
      </c>
      <c r="L147" s="974">
        <f>0</f>
        <v>0</v>
      </c>
      <c r="M147" s="1417">
        <f>-X_PHA/X_STC</f>
        <v>-0.86956521739130432</v>
      </c>
      <c r="N147" s="1417">
        <f>-X_GLY/X_STC</f>
        <v>-0.13043478260869565</v>
      </c>
      <c r="O147" s="974">
        <f>0</f>
        <v>0</v>
      </c>
      <c r="P147" s="974">
        <f>0</f>
        <v>0</v>
      </c>
      <c r="Q147" s="974">
        <f>0</f>
        <v>0</v>
      </c>
      <c r="R147" s="974">
        <f>0</f>
        <v>0</v>
      </c>
      <c r="S147" s="974">
        <f>0</f>
        <v>0</v>
      </c>
      <c r="T147" s="974">
        <f>0</f>
        <v>0</v>
      </c>
      <c r="U147" s="974">
        <f>0</f>
        <v>0</v>
      </c>
      <c r="V147" s="974">
        <f>0</f>
        <v>0</v>
      </c>
      <c r="W147" s="974">
        <f>0</f>
        <v>0</v>
      </c>
      <c r="X147" s="974">
        <f>0</f>
        <v>0</v>
      </c>
      <c r="Y147" s="974">
        <f>0</f>
        <v>0</v>
      </c>
      <c r="Z147" s="975">
        <f>-1/E_EQN2_NO2</f>
        <v>-0.58363438628948594</v>
      </c>
      <c r="AA147" s="975">
        <f>0</f>
        <v>0</v>
      </c>
      <c r="AB147" s="975">
        <f>1/E_EQN2_NO2</f>
        <v>0.58363438628948594</v>
      </c>
      <c r="AC147" s="974">
        <f>0</f>
        <v>0</v>
      </c>
      <c r="AD147" s="974">
        <f>0</f>
        <v>0</v>
      </c>
      <c r="AE147" s="974">
        <f>0</f>
        <v>0</v>
      </c>
      <c r="AF147" s="974">
        <f>0</f>
        <v>0</v>
      </c>
      <c r="AG147" s="975">
        <f>0</f>
        <v>0</v>
      </c>
      <c r="AH147" s="974">
        <f>0</f>
        <v>0</v>
      </c>
      <c r="AI147" s="974">
        <f>0</f>
        <v>0</v>
      </c>
      <c r="AJ147" s="974">
        <f>0</f>
        <v>0</v>
      </c>
      <c r="AK147" s="974">
        <f>0</f>
        <v>0</v>
      </c>
      <c r="AL147" s="974">
        <f>0</f>
        <v>0</v>
      </c>
      <c r="AM147" s="974">
        <f>0</f>
        <v>0</v>
      </c>
      <c r="AN147" s="1418">
        <f>i_CIT_STC</f>
        <v>0.33847826086956523</v>
      </c>
      <c r="AO147" s="974">
        <f>0</f>
        <v>0</v>
      </c>
      <c r="AP147" s="974">
        <f>0</f>
        <v>0</v>
      </c>
      <c r="AQ147" s="974">
        <f>0</f>
        <v>0</v>
      </c>
      <c r="AR147" s="975">
        <f>0</f>
        <v>0</v>
      </c>
      <c r="AS147" s="975">
        <f>0</f>
        <v>0</v>
      </c>
      <c r="AT147" s="975">
        <f>0</f>
        <v>0</v>
      </c>
      <c r="AU147" s="974">
        <f>0</f>
        <v>0</v>
      </c>
      <c r="AV147" s="974">
        <f>0</f>
        <v>0</v>
      </c>
      <c r="AW147" s="974">
        <f>0</f>
        <v>0</v>
      </c>
      <c r="AX147" s="974">
        <f>0</f>
        <v>0</v>
      </c>
      <c r="AY147" s="974">
        <f>0</f>
        <v>0</v>
      </c>
      <c r="AZ147" s="974">
        <f>0</f>
        <v>0</v>
      </c>
      <c r="BA147" s="974">
        <f>0</f>
        <v>0</v>
      </c>
      <c r="BB147" s="974">
        <f>0</f>
        <v>0</v>
      </c>
      <c r="BC147" s="974">
        <f>0</f>
        <v>0</v>
      </c>
      <c r="BD147" s="974">
        <f>0</f>
        <v>0</v>
      </c>
      <c r="BE147" s="974">
        <f>0</f>
        <v>0</v>
      </c>
      <c r="BF147" s="974">
        <f>0</f>
        <v>0</v>
      </c>
      <c r="BG147" s="974">
        <f>0</f>
        <v>0</v>
      </c>
      <c r="BH147" s="974">
        <f>0</f>
        <v>0</v>
      </c>
      <c r="BI147" s="974">
        <f>0</f>
        <v>0</v>
      </c>
      <c r="BJ147" s="974">
        <f>0</f>
        <v>0</v>
      </c>
      <c r="BK147" s="974">
        <f>0</f>
        <v>0</v>
      </c>
      <c r="BL147" s="1479">
        <f>0</f>
        <v>0</v>
      </c>
      <c r="BM147" s="974">
        <f>0</f>
        <v>0</v>
      </c>
      <c r="BN147" s="974">
        <f>0</f>
        <v>0</v>
      </c>
      <c r="BO147" s="974">
        <f>0</f>
        <v>0</v>
      </c>
      <c r="BP147" s="1418">
        <f>0</f>
        <v>0</v>
      </c>
      <c r="BQ147" s="2367">
        <f>0</f>
        <v>0</v>
      </c>
      <c r="BR147" s="974">
        <f>0</f>
        <v>0</v>
      </c>
      <c r="BS147" s="974">
        <f>0</f>
        <v>0</v>
      </c>
      <c r="BT147" s="974">
        <f>0</f>
        <v>0</v>
      </c>
      <c r="BU147" s="974">
        <f>0</f>
        <v>0</v>
      </c>
      <c r="BV147" s="974">
        <f>0</f>
        <v>0</v>
      </c>
      <c r="BW147" s="974">
        <f>0</f>
        <v>0</v>
      </c>
      <c r="BX147" s="974">
        <f>0</f>
        <v>0</v>
      </c>
      <c r="BY147" s="974">
        <f>0</f>
        <v>0</v>
      </c>
      <c r="BZ147" s="974">
        <f>0</f>
        <v>0</v>
      </c>
      <c r="CA147" s="974">
        <f>0</f>
        <v>0</v>
      </c>
      <c r="CB147" s="974">
        <f>0</f>
        <v>0</v>
      </c>
      <c r="CC147" s="974">
        <f>0</f>
        <v>0</v>
      </c>
      <c r="CD147" s="1652">
        <f>b_STC_T*η_bSTC_anox*X_CASTO*M_inhSO2_KO2_CASTO*M_satSNO2_KNO2_CASTO*M_RsatXSTC_XCASTO_KSTC</f>
        <v>0.11834279986635483</v>
      </c>
      <c r="CF147" s="2385">
        <f>E220*E147+F220*F147+G220*G147+H220*H147+I220*I147+J220*J147+K220*K147+L220*L147+M220*M147+N220*N147+O220*O147+P220*P147+Q220*Q147+R220*R147+S220*S147+T220*T147+U220*U147+V220*V147+W220*W147+X220*X147+Y220*Y147+Z220*Z147+AA220*AA147+AB220*AB147+AC220*AC147+AD220*AD147+AE220*AE147+AF220*AF147+AG220*AG147+AH220*AH147+AI220*AI147+AJ220*AJ147+AK220*AK147+AL220*AL147+AM220*AM147+AN220*AN147+AO220*AO147+AP220*AP147+AQ220*AQ147+AR220*AR147+AS220*AS147+AT220*AT147+AU220*AU147+AV220*AV147+AW220*AW147+AX220*AX147+AY220*AY147+AZ220*AZ147+BA220*BA147+BB220*BB147+BC220*BC147+BD220*BD147+BE220*BE147+BF220*BF147+BG220*BG147+BH220*BH147+BI220*BI147+BJ220*BJ147+BK220*BK147+BL220*BL147+BM220*BM147+BN220*BN147+BO220*BO147+BP220*BP147+BQ220*BQ147+BR220*BR147+BS220*BS147+BT220*BT147+BU220*BU147+BV220*BV147+BW220*BW147+BX220*BX147+BY220*BY147+BZ220*BZ147+CA220*CA147+CB220*CB147+CC220*CC147</f>
        <v>0</v>
      </c>
      <c r="CG147" s="2385">
        <f>E221*E147+F221*F147+G221*G147+H221*H147+I221*I147+J221*J147+K221*K147+L221*L147+M221*M147+N221*N147+O221*O147+P221*P147+Q221*Q147+R221*R147+S221*S147+T221*T147+U221*U147+V221*V147+W221*W147+X221*X147+Y221*Y147+Z221*Z147+AA221*AA147+AB221*AB147+AC221*AC147+AD221*AD147+AE221*AE147+AF221*AF147+AG221*AG147+AH221*AH147+AI221*AI147+AJ221*AJ147+AK221*AK147+AL221*AL147+AM221*AM147+AN221*AN147+AO221*AO147+AP221*AP147+AQ221*AQ147+AR221*AR147+AS221*AS147+AT221*AT147+AU221*AU147+AV221*AV147+AW221*AW147+AX221*AX147+AY221*AY147+AZ221*AZ147+BA221*BA147+BB221*BB147+BC221*BC147+BD221*BD147+BE221*BE147+BF221*BF147+BG221*BG147+BH221*BH147+BI221*BI147+BJ221*BJ147+BK221*BK147+BL221*BL147+BM221*BM147+BN221*BN147+BO221*BO147+BP221*BP147+BQ221*BQ147+BR221*BR147+BS221*BS147+BT221*BT147+BU221*BU147+BV221*BV147+BW221*BW147+BX221*BX147+BY221*BY147+BZ221*BZ147+CA221*CA147+CB221*CB147+CC221*CC147</f>
        <v>0</v>
      </c>
      <c r="CH147" s="2386">
        <f>E222*E147+F222*F147+G222*G147+H222*H147+I222*I147+J222*J147+K222*K147+L222*L147+M222*M147+N222*N147+O222*O147+P222*P147+Q222*Q147+R222*R147+S222*S147+T222*T147+U222*U147+V222*V147+W222*W147+X222*X147+Y222*Y147+Z222*Z147+AA222*AA147+AB222*AB147+AC222*AC147+AD222*AD147+AE222*AE147+AF222*AF147+AG222*AG147+AH222*AH147+AI222*AI147+AJ222*AJ147+AK222*AK147+AL222*AL147+AM222*AM147+AN222*AN147+AO222*AO147+AP222*AP147+AQ222*AQ147+AR222*AR147+AS222*AS147+AT222*AT147+AU222*AU147+AV222*AV147+AW222*AW147+AX222*AX147+AY222*AY147+AZ222*AZ147+BA222*BA147+BB222*BB147+BC222*BC147+BD222*BD147+BE222*BE147+BF222*BF147+BG222*BG147+BH222*BH147+BI222*BI147+BJ222*BJ147+BK222*BK147+BL222*BL147+BM222*BM147+BN222*BN147+BO222*BO147+BP222*BP147+BQ222*BQ147+BR222*BR147+BS222*BS147+BT222*BT147+BU222*BU147+BV222*BV147+BW222*BW147+BX222*BX147+BY222*BY147+BZ222*BZ147+CA222*CA147+CB222*CB147+CC222*CC147</f>
        <v>0</v>
      </c>
      <c r="CI147" s="2387">
        <f>E223*E147+F223*F147+G223*G147+H223*H147+I223*I147+J223*J147+K223*K147+L223*L147+M223*M147+N223*N147+O223*O147+P223*P147+Q223*Q147+R223*R147+S223*S147+T223*T147+U223*U147+V223*V147+W223*W147+X223*X147+Y223*Y147+Z223*Z147+AA223*AA147+AB223*AB147+AC223*AC147+AD223*AD147+AE223*AE147+AF223*AF147+AG223*AG147+AH223*AH147+AI223*AI147+AJ223*AJ147+AK223*AK147+AL223*AL147+AM223*AM147+AN223*AN147+AO223*AO147+AP223*AP147+AQ223*AQ147+AR223*AR147+AS223*AS147+AT223*AT147+AU223*AU147+AV223*AV147+AW223*AW147+AX223*AX147+AY223*AY147+AZ223*AZ147+BA223*BA147+BB223*BB147+BC223*BC147+BD223*BD147+BE223*BE147+BF223*BF147+BG223*BG147+BH223*BH147+BI223*BI147+BJ223*BJ147+BK223*BK147+BL223*BL147+BM223*BM147+BN223*BN147+BO223*BO147+BP223*BP147+BQ223*BQ147+BR223*BR147+BS223*BS147+BT223*BT147+BU223*BU147+BV223*BV147+BW223*BW147+BX223*BX147+BY223*BY147+BZ223*BZ147+CA223*CA147+CB223*CB147+CC223*CC147</f>
        <v>0</v>
      </c>
      <c r="CJ147" s="2387">
        <f>E224*E147+F224*F147+G224*G147+H224*H147+I224*I147+J224*J147+K224*K147+L224*L147+M224*M147+N224*N147+O224*O147+P224*P147+Q224*Q147+R224*R147+S224*S147+T224*T147+U224*U147+V224*V147+W224*W147+X224*X147+Y224*Y147+Z224*Z147+AA224*AA147+AB224*AB147+AC224*AC147+AD224*AD147+AE224*AE147+AF224*AF147+AG224*AG147+AH224*AH147+AI224*AI147+AJ224*AJ147+AK224*AK147+AL224*AL147+AM224*AM147+AN224*AN147+AO224*AO147+AP224*AP147+AQ224*AQ147+AR224*AR147+AS224*AS147+AT224*AT147+AU224*AU147+AV224*AV147+AW224*AW147+AX224*AX147+AY224*AY147+AZ224*AZ147+BA224*BA147+BB224*BB147+BC224*BC147+BD224*BD147+BE224*BE147+BF224*BF147+BG224*BG147+BH224*BH147+BI224*BI147+BJ224*BJ147+BK224*BK147+BL224*BL147+BM224*BM147+BN224*BN147+BO224*BO147+BP224*BP147+BQ224*BQ147+BR224*BR147+BS224*BS147+BT224*BT147+BU224*BU147+BV224*BV147+BW224*BW147+BX224*BX147+BY224*BY147+BZ224*BZ147+CA224*CA147+CB224*CB147+CC224*CC147</f>
        <v>0</v>
      </c>
      <c r="CK147" s="2387">
        <f>E225*E147+F225*F147+G225*G147+H225*H147+I225*I147+J225*J147+K225*K147+L225*L147+M225*M147+N225*N147+O225*O147+P225*P147+Q225*Q147+R225*R147+S225*S147+T225*T147+U225*U147+V225*V147+W225*W147+X225*X147+Y225*Y147+Z225*Z147+AA225*AA147+AB225*AB147+AC225*AC147+AD225*AD147+AE225*AE147+AF225*AF147+AG225*AG147+AH225*AH147+AI225*AI147+AJ225*AJ147+AK225*AK147+AL225*AL147+AM225*AM147+AN225*AN147+AO225*AO147+AP225*AP147+AQ225*AQ147+AR225*AR147+AS225*AS147+AT225*AT147+AU225*AU147+AV225*AV147+AW225*AW147+AX225*AX147+AY225*AY147+AZ225*AZ147+BA225*BA147+BB225*BB147+BC225*BC147+BD225*BD147+BE225*BE147+BF225*BF147+BG225*BG147+BH225*BH147+BI225*BI147+BJ225*BJ147+BK225*BK147+BL225*BL147+BM225*BM147+BN225*BN147+BO225*BO147+BP225*BP147+BQ225*BQ147+BR225*BR147+BS225*BS147+BT225*BT147+BU225*BU147+BV225*BV147+BW225*BW147+BX225*BX147+BY225*BY147+BZ225*BZ147+CA225*CA147+CB225*CB147+CC225*CC147</f>
        <v>0</v>
      </c>
      <c r="CL147" s="2387">
        <f>E226*E147+F226*F147+G226*G147+H226*H147+I226*I147+J226*J147+K226*K147+L226*L147+M226*M147+N226*N147+O226*O147+P226*P147+Q226*Q147+R226*R147+S226*S147+T226*T147+U226*U147+V226*V147+W226*W147+X226*X147+Y226*Y147+Z226*Z147+AA226*AA147+AB226*AB147+AC226*AC147+AD226*AD147+AE226*AE147+AF226*AF147+AG226*AG147+AH226*AH147+AI226*AI147+AJ226*AJ147+AK226*AK147+AL226*AL147+AM226*AM147+AN226*AN147+AO226*AO147+AP226*AP147+AQ226*AQ147+AR226*AR147+AS226*AS147+AT226*AT147+AU226*AU147+AV226*AV147+AW226*AW147+AX226*AX147+AY226*AY147+AZ226*AZ147+BA226*BA147+BB226*BB147+BC226*BC147+BD226*BD147+BE226*BE147+BF226*BF147+BG226*BG147+BH226*BH147+BI226*BI147+BJ226*BJ147+BK226*BK147+BL226*BL147+BM226*BM147+BN226*BN147+BO226*BO147+BP226*BP147+BQ226*BQ147+BR226*BR147+BS226*BS147+BT226*BT147+BU226*BU147+BV226*BV147+BW226*BW147+BX226*BX147+BY226*BY147+BZ226*BZ147+CA226*CA147+CB226*CB147+CC226*CC147</f>
        <v>0</v>
      </c>
      <c r="CM147" s="2387">
        <f>E227*E147+F227*F147+G227*G147+H227*H147+I227*I147+J227*J147+K227*K147+L227*L147+M227*M147+N227*N147+O227*O147+P227*P147+Q227*Q147+R227*R147+S227*S147+T227*T147+U227*U147+V227*V147+W227*W147+X227*X147+Y227*Y147+Z227*Z147+AA227*AA147+AB227*AB147+AC227*AC147+AD227*AD147+AE227*AE147+AF227*AF147+AG227*AG147+AH227*AH147+AI227*AI147+AJ227*AJ147+AK227*AK147+AL227*AL147+AM227*AM147+AN227*AN147+AO227*AO147+AP227*AP147+AQ227*AQ147+AR227*AR147+AS227*AS147+AT227*AT147+AU227*AU147+AV227*AV147+AW227*AW147+AX227*AX147+AY227*AY147+AZ227*AZ147+BA227*BA147+BB227*BB147+BC227*BC147+BD227*BD147+BE227*BE147+BF227*BF147+BG227*BG147+BH227*BH147+BI227*BI147+BJ227*BJ147+BK227*BK147+BL227*BL147+BM227*BM147+BN227*BN147+BO227*BO147+BP227*BP147+BQ227*BQ147+BR227*BR147+BS227*BS147+BT227*BT147+BU227*BU147+BV227*BV147+BW227*BW147+BX227*BX147+BY227*BY147+BZ227*BZ147+CA227*CA147+CB227*CB147+CC227*CC147</f>
        <v>0</v>
      </c>
      <c r="CN147" s="2387">
        <f>E228*E147+F228*F147+G228*G147+H228*H147+I228*I147+J228*J147+K228*K147+L228*L147+M228*M147+N228*N147+O228*O147+P228*P147+Q228*Q147+R228*R147+S228*S147+T228*T147+U228*U147+V228*V147+W228*W147+X228*X147+Y228*Y147+Z228*Z147+AA228*AA147+AB228*AB147+AC228*AC147+AD228*AD147+AE228*AE147+AF228*AF147+AG228*AG147+AH228*AH147+AI228*AI147+AJ228*AJ147+AK228*AK147+AL228*AL147+AM228*AM147+AN228*AN147+AO228*AO147+AP228*AP147+AQ228*AQ147+AR228*AR147+AS228*AS147+AT228*AT147+AU228*AU147+AV228*AV147+AW228*AW147+AX228*AX147+AY228*AY147+AZ228*AZ147+BA228*BA147+BB228*BB147+BC228*BC147+BD228*BD147+BE228*BE147+BF228*BF147+BG228*BG147+BH228*BH147+BI228*BI147+BJ228*BJ147+BK228*BK147+BL228*BL147+BM228*BM147+BN228*BN147+BO228*BO147+BP228*BP147+BQ228*BQ147+BR228*BR147+BS228*BS147+BT228*BT147+BU228*BU147+BV228*BV147+BW228*BW147+BX228*BX147+BY228*BY147+BZ228*BZ147+CA228*CA147+CB228*CB147+CC228*CC147</f>
        <v>0</v>
      </c>
      <c r="CO147" s="2387">
        <f>E229*E147+F229*F147+G229*G147+H229*H147+I229*I147+J229*J147+K229*K147+L229*L147+M229*M147+N229*N147+O229*O147+P229*P147+Q229*Q147+R229*R147+S229*S147+T229*T147+U229*U147+V229*V147+W229*W147+X229*X147+Y229*Y147+Z229*Z147+AA229*AA147+AB229*AB147+AC229*AC147+AD229*AD147+AE229*AE147+AF229*AF147+AG229*AG147+AH229*AH147+AI229*AI147+AJ229*AJ147+AK229*AK147+AL229*AL147+AM229*AM147+AN229*AN147+AO229*AO147+AP229*AP147+AQ229*AQ147+AR229*AR147+AS229*AS147+AT229*AT147+AU229*AU147+AV229*AV147+AW229*AW147+AX229*AX147+AY229*AY147+AZ229*AZ147+BA229*BA147+BB229*BB147+BC229*BC147+BD229*BD147+BE229*BE147+BF229*BF147+BG229*BG147+BH229*BH147+BI229*BI147+BJ229*BJ147+BK229*BK147+BL229*BL147+BM229*BM147+BN229*BN147+BO229*BO147+BP229*BP147+BQ229*BQ147+BR229*BR147+BS229*BS147+BT229*BT147+BU229*BU147+BV229*BV147+BW229*BW147+BX229*BX147+BY229*BY147+BZ229*BZ147+CA229*CA147+CB229*CB147+CC229*CC147</f>
        <v>0</v>
      </c>
      <c r="CP147" s="2387">
        <f>E230*E147+F230*F147+G230*G147+H230*H147+I230*I147+J230*J147+K230*K147+L230*L147+M230*M147+N230*N147+O230*O147+P230*P147+Q230*Q147+R230*R147+S230*S147+T230*T147+U230*U147+V230*V147+W230*W147+X230*X147+Y230*Y147+Z230*Z147+AA230*AA147+AB230*AB147+AC230*AC147+AD230*AD147+AE230*AE147+AF230*AF147+AG230*AG147+AH230*AH147+AI230*AI147+AJ230*AJ147+AK230*AK147+AL230*AL147+AM230*AM147+AN230*AN147+AO230*AO147+AP230*AP147+AQ230*AQ147+AR230*AR147+AS230*AS147+AT230*AT147+AU230*AU147+AV230*AV147+AW230*AW147+AX230*AX147+AY230*AY147+AZ230*AZ147+BA230*BA147+BB230*BB147+BC230*BC147+BD230*BD147+BE230*BE147+BF230*BF147+BG230*BG147+BH230*BH147+BI230*BI147+BJ230*BJ147+BK230*BK147+BL230*BL147+BM230*BM147+BN230*BN147+BO230*BO147+BP230*BP147+BQ230*BQ147+BR230*BR147+BS230*BS147+BT230*BT147+BU230*BU147+BV230*BV147+BW230*BW147+BX230*BX147+BY230*BY147+BZ230*BZ147+CA230*CA147+CB230*CB147+CC230*CC147</f>
        <v>0</v>
      </c>
    </row>
    <row r="148" spans="2:94" ht="18" x14ac:dyDescent="0.25">
      <c r="B148" s="1585">
        <v>29</v>
      </c>
      <c r="C148" s="628" t="s">
        <v>251</v>
      </c>
      <c r="D148" s="629" t="s">
        <v>4429</v>
      </c>
      <c r="E148" s="974">
        <f>0</f>
        <v>0</v>
      </c>
      <c r="F148" s="974">
        <f>0</f>
        <v>0</v>
      </c>
      <c r="G148" s="974">
        <f>0</f>
        <v>0</v>
      </c>
      <c r="H148" s="974">
        <f>0</f>
        <v>0</v>
      </c>
      <c r="I148" s="974">
        <f>0</f>
        <v>0</v>
      </c>
      <c r="J148" s="974">
        <f>0</f>
        <v>0</v>
      </c>
      <c r="K148" s="974">
        <f>0</f>
        <v>0</v>
      </c>
      <c r="L148" s="974">
        <f>0</f>
        <v>0</v>
      </c>
      <c r="M148" s="1417">
        <f>-X_PHA/X_STC</f>
        <v>-0.86956521739130432</v>
      </c>
      <c r="N148" s="1417">
        <f>-X_GLY/X_STC</f>
        <v>-0.13043478260869565</v>
      </c>
      <c r="O148" s="974">
        <f>0</f>
        <v>0</v>
      </c>
      <c r="P148" s="974">
        <f>0</f>
        <v>0</v>
      </c>
      <c r="Q148" s="974">
        <f>0</f>
        <v>0</v>
      </c>
      <c r="R148" s="974">
        <f>0</f>
        <v>0</v>
      </c>
      <c r="S148" s="974">
        <f>0</f>
        <v>0</v>
      </c>
      <c r="T148" s="974">
        <f>0</f>
        <v>0</v>
      </c>
      <c r="U148" s="974">
        <f>0</f>
        <v>0</v>
      </c>
      <c r="V148" s="974">
        <f>0</f>
        <v>0</v>
      </c>
      <c r="W148" s="974">
        <f>0</f>
        <v>0</v>
      </c>
      <c r="X148" s="974">
        <f>0</f>
        <v>0</v>
      </c>
      <c r="Y148" s="974">
        <f>0</f>
        <v>0</v>
      </c>
      <c r="Z148" s="975">
        <f>1/E_EQNO2_NO3</f>
        <v>0.87545157943422891</v>
      </c>
      <c r="AA148" s="975">
        <f>-1/E_EQNO2_NO3</f>
        <v>-0.87545157943422891</v>
      </c>
      <c r="AB148" s="975">
        <f>0</f>
        <v>0</v>
      </c>
      <c r="AC148" s="974">
        <f>0</f>
        <v>0</v>
      </c>
      <c r="AD148" s="974">
        <f>0</f>
        <v>0</v>
      </c>
      <c r="AE148" s="974">
        <f>0</f>
        <v>0</v>
      </c>
      <c r="AF148" s="974">
        <f>0</f>
        <v>0</v>
      </c>
      <c r="AG148" s="975">
        <f>0</f>
        <v>0</v>
      </c>
      <c r="AH148" s="974">
        <f>0</f>
        <v>0</v>
      </c>
      <c r="AI148" s="974">
        <f>0</f>
        <v>0</v>
      </c>
      <c r="AJ148" s="974">
        <f>0</f>
        <v>0</v>
      </c>
      <c r="AK148" s="974">
        <f>0</f>
        <v>0</v>
      </c>
      <c r="AL148" s="974">
        <f>0</f>
        <v>0</v>
      </c>
      <c r="AM148" s="974">
        <f>0</f>
        <v>0</v>
      </c>
      <c r="AN148" s="1418">
        <f>i_CIT_STC</f>
        <v>0.33847826086956523</v>
      </c>
      <c r="AO148" s="974">
        <f>0</f>
        <v>0</v>
      </c>
      <c r="AP148" s="974">
        <f>0</f>
        <v>0</v>
      </c>
      <c r="AQ148" s="974">
        <f>0</f>
        <v>0</v>
      </c>
      <c r="AR148" s="975">
        <f>0</f>
        <v>0</v>
      </c>
      <c r="AS148" s="975">
        <f>0</f>
        <v>0</v>
      </c>
      <c r="AT148" s="975">
        <f>0</f>
        <v>0</v>
      </c>
      <c r="AU148" s="974">
        <f>0</f>
        <v>0</v>
      </c>
      <c r="AV148" s="974">
        <f>0</f>
        <v>0</v>
      </c>
      <c r="AW148" s="974">
        <f>0</f>
        <v>0</v>
      </c>
      <c r="AX148" s="974">
        <f>0</f>
        <v>0</v>
      </c>
      <c r="AY148" s="974">
        <f>0</f>
        <v>0</v>
      </c>
      <c r="AZ148" s="974">
        <f>0</f>
        <v>0</v>
      </c>
      <c r="BA148" s="974">
        <f>0</f>
        <v>0</v>
      </c>
      <c r="BB148" s="974">
        <f>0</f>
        <v>0</v>
      </c>
      <c r="BC148" s="974">
        <f>0</f>
        <v>0</v>
      </c>
      <c r="BD148" s="974">
        <f>0</f>
        <v>0</v>
      </c>
      <c r="BE148" s="974">
        <f>0</f>
        <v>0</v>
      </c>
      <c r="BF148" s="974">
        <f>0</f>
        <v>0</v>
      </c>
      <c r="BG148" s="974">
        <f>0</f>
        <v>0</v>
      </c>
      <c r="BH148" s="974">
        <f>0</f>
        <v>0</v>
      </c>
      <c r="BI148" s="974">
        <f>0</f>
        <v>0</v>
      </c>
      <c r="BJ148" s="974">
        <f>0</f>
        <v>0</v>
      </c>
      <c r="BK148" s="974">
        <f>0</f>
        <v>0</v>
      </c>
      <c r="BL148" s="1479">
        <f>0</f>
        <v>0</v>
      </c>
      <c r="BM148" s="974">
        <f>0</f>
        <v>0</v>
      </c>
      <c r="BN148" s="974">
        <f>0</f>
        <v>0</v>
      </c>
      <c r="BO148" s="974">
        <f>0</f>
        <v>0</v>
      </c>
      <c r="BP148" s="1418">
        <f>0</f>
        <v>0</v>
      </c>
      <c r="BQ148" s="2367">
        <f>0</f>
        <v>0</v>
      </c>
      <c r="BR148" s="974">
        <f>0</f>
        <v>0</v>
      </c>
      <c r="BS148" s="974">
        <f>0</f>
        <v>0</v>
      </c>
      <c r="BT148" s="974">
        <f>0</f>
        <v>0</v>
      </c>
      <c r="BU148" s="974">
        <f>0</f>
        <v>0</v>
      </c>
      <c r="BV148" s="974">
        <f>0</f>
        <v>0</v>
      </c>
      <c r="BW148" s="974">
        <f>0</f>
        <v>0</v>
      </c>
      <c r="BX148" s="974">
        <f>0</f>
        <v>0</v>
      </c>
      <c r="BY148" s="974">
        <f>0</f>
        <v>0</v>
      </c>
      <c r="BZ148" s="974">
        <f>0</f>
        <v>0</v>
      </c>
      <c r="CA148" s="974">
        <f>0</f>
        <v>0</v>
      </c>
      <c r="CB148" s="974">
        <f>0</f>
        <v>0</v>
      </c>
      <c r="CC148" s="974">
        <f>0</f>
        <v>0</v>
      </c>
      <c r="CD148" s="1652">
        <f>b_STC_T*η_bSTC_anox*X_CASTO*M_inhSO2_KO2_CASTO*M_satSNO3_KNO3_CASTO*M_inhSNO2_KNO2_CASTO*M_RsatXSTC_XCASTO_KSTC</f>
        <v>5.8011176405075908E-2</v>
      </c>
      <c r="CF148" s="2385">
        <f>E220*E148+F220*F148+G220*G148+H220*H148+I220*I148+J220*J148+K220*K148+L220*L148+M220*M148+N220*N148+O220*O148+P220*P148+Q220*Q148+R220*R148+S220*S148+T220*T148+U220*U148+V220*V148+W220*W148+X220*X148+Y220*Y148+Z220*Z148+AA220*AA148+AB220*AB148+AC220*AC148+AD220*AD148+AE220*AE148+AF220*AF148+AG220*AG148+AH220*AH148+AI220*AI148+AJ220*AJ148+AK220*AK148+AL220*AL148+AM220*AM148+AN220*AN148+AO220*AO148+AP220*AP148+AQ220*AQ148+AR220*AR148+AS220*AS148+AT220*AT148+AU220*AU148+AV220*AV148+AW220*AW148+AX220*AX148+AY220*AY148+AZ220*AZ148+BA220*BA148+BB220*BB148+BC220*BC148+BD220*BD148+BE220*BE148+BF220*BF148+BG220*BG148+BH220*BH148+BI220*BI148+BJ220*BJ148+BK220*BK148+BL220*BL148+BM220*BM148+BN220*BN148+BO220*BO148+BP220*BP148+BQ220*BQ148+BR220*BR148+BS220*BS148+BT220*BT148+BU220*BU148+BV220*BV148+BW220*BW148+BX220*BX148+BY220*BY148+BZ220*BZ148+CA220*CA148+CB220*CB148+CC220*CC148</f>
        <v>0</v>
      </c>
      <c r="CG148" s="2385">
        <f>E221*E148+F221*F148+G221*G148+H221*H148+I221*I148+J221*J148+K221*K148+L221*L148+M221*M148+N221*N148+O221*O148+P221*P148+Q221*Q148+R221*R148+S221*S148+T221*T148+U221*U148+V221*V148+W221*W148+X221*X148+Y221*Y148+Z221*Z148+AA221*AA148+AB221*AB148+AC221*AC148+AD221*AD148+AE221*AE148+AF221*AF148+AG221*AG148+AH221*AH148+AI221*AI148+AJ221*AJ148+AK221*AK148+AL221*AL148+AM221*AM148+AN221*AN148+AO221*AO148+AP221*AP148+AQ221*AQ148+AR221*AR148+AS221*AS148+AT221*AT148+AU221*AU148+AV221*AV148+AW221*AW148+AX221*AX148+AY221*AY148+AZ221*AZ148+BA221*BA148+BB221*BB148+BC221*BC148+BD221*BD148+BE221*BE148+BF221*BF148+BG221*BG148+BH221*BH148+BI221*BI148+BJ221*BJ148+BK221*BK148+BL221*BL148+BM221*BM148+BN221*BN148+BO221*BO148+BP221*BP148+BQ221*BQ148+BR221*BR148+BS221*BS148+BT221*BT148+BU221*BU148+BV221*BV148+BW221*BW148+BX221*BX148+BY221*BY148+BZ221*BZ148+CA221*CA148+CB221*CB148+CC221*CC148</f>
        <v>0</v>
      </c>
      <c r="CH148" s="2386">
        <f>E222*E148+F222*F148+G222*G148+H222*H148+I222*I148+J222*J148+K222*K148+L222*L148+M222*M148+N222*N148+O222*O148+P222*P148+Q222*Q148+R222*R148+S222*S148+T222*T148+U222*U148+V222*V148+W222*W148+X222*X148+Y222*Y148+Z222*Z148+AA222*AA148+AB222*AB148+AC222*AC148+AD222*AD148+AE222*AE148+AF222*AF148+AG222*AG148+AH222*AH148+AI222*AI148+AJ222*AJ148+AK222*AK148+AL222*AL148+AM222*AM148+AN222*AN148+AO222*AO148+AP222*AP148+AQ222*AQ148+AR222*AR148+AS222*AS148+AT222*AT148+AU222*AU148+AV222*AV148+AW222*AW148+AX222*AX148+AY222*AY148+AZ222*AZ148+BA222*BA148+BB222*BB148+BC222*BC148+BD222*BD148+BE222*BE148+BF222*BF148+BG222*BG148+BH222*BH148+BI222*BI148+BJ222*BJ148+BK222*BK148+BL222*BL148+BM222*BM148+BN222*BN148+BO222*BO148+BP222*BP148+BQ222*BQ148+BR222*BR148+BS222*BS148+BT222*BT148+BU222*BU148+BV222*BV148+BW222*BW148+BX222*BX148+BY222*BY148+BZ222*BZ148+CA222*CA148+CB222*CB148+CC222*CC148</f>
        <v>0</v>
      </c>
      <c r="CI148" s="2387">
        <f>E223*E148+F223*F148+G223*G148+H223*H148+I223*I148+J223*J148+K223*K148+L223*L148+M223*M148+N223*N148+O223*O148+P223*P148+Q223*Q148+R223*R148+S223*S148+T223*T148+U223*U148+V223*V148+W223*W148+X223*X148+Y223*Y148+Z223*Z148+AA223*AA148+AB223*AB148+AC223*AC148+AD223*AD148+AE223*AE148+AF223*AF148+AG223*AG148+AH223*AH148+AI223*AI148+AJ223*AJ148+AK223*AK148+AL223*AL148+AM223*AM148+AN223*AN148+AO223*AO148+AP223*AP148+AQ223*AQ148+AR223*AR148+AS223*AS148+AT223*AT148+AU223*AU148+AV223*AV148+AW223*AW148+AX223*AX148+AY223*AY148+AZ223*AZ148+BA223*BA148+BB223*BB148+BC223*BC148+BD223*BD148+BE223*BE148+BF223*BF148+BG223*BG148+BH223*BH148+BI223*BI148+BJ223*BJ148+BK223*BK148+BL223*BL148+BM223*BM148+BN223*BN148+BO223*BO148+BP223*BP148+BQ223*BQ148+BR223*BR148+BS223*BS148+BT223*BT148+BU223*BU148+BV223*BV148+BW223*BW148+BX223*BX148+BY223*BY148+BZ223*BZ148+CA223*CA148+CB223*CB148+CC223*CC148</f>
        <v>0</v>
      </c>
      <c r="CJ148" s="2387">
        <f>E224*E148+F224*F148+G224*G148+H224*H148+I224*I148+J224*J148+K224*K148+L224*L148+M224*M148+N224*N148+O224*O148+P224*P148+Q224*Q148+R224*R148+S224*S148+T224*T148+U224*U148+V224*V148+W224*W148+X224*X148+Y224*Y148+Z224*Z148+AA224*AA148+AB224*AB148+AC224*AC148+AD224*AD148+AE224*AE148+AF224*AF148+AG224*AG148+AH224*AH148+AI224*AI148+AJ224*AJ148+AK224*AK148+AL224*AL148+AM224*AM148+AN224*AN148+AO224*AO148+AP224*AP148+AQ224*AQ148+AR224*AR148+AS224*AS148+AT224*AT148+AU224*AU148+AV224*AV148+AW224*AW148+AX224*AX148+AY224*AY148+AZ224*AZ148+BA224*BA148+BB224*BB148+BC224*BC148+BD224*BD148+BE224*BE148+BF224*BF148+BG224*BG148+BH224*BH148+BI224*BI148+BJ224*BJ148+BK224*BK148+BL224*BL148+BM224*BM148+BN224*BN148+BO224*BO148+BP224*BP148+BQ224*BQ148+BR224*BR148+BS224*BS148+BT224*BT148+BU224*BU148+BV224*BV148+BW224*BW148+BX224*BX148+BY224*BY148+BZ224*BZ148+CA224*CA148+CB224*CB148+CC224*CC148</f>
        <v>0</v>
      </c>
      <c r="CK148" s="2387">
        <f>E225*E148+F225*F148+G225*G148+H225*H148+I225*I148+J225*J148+K225*K148+L225*L148+M225*M148+N225*N148+O225*O148+P225*P148+Q225*Q148+R225*R148+S225*S148+T225*T148+U225*U148+V225*V148+W225*W148+X225*X148+Y225*Y148+Z225*Z148+AA225*AA148+AB225*AB148+AC225*AC148+AD225*AD148+AE225*AE148+AF225*AF148+AG225*AG148+AH225*AH148+AI225*AI148+AJ225*AJ148+AK225*AK148+AL225*AL148+AM225*AM148+AN225*AN148+AO225*AO148+AP225*AP148+AQ225*AQ148+AR225*AR148+AS225*AS148+AT225*AT148+AU225*AU148+AV225*AV148+AW225*AW148+AX225*AX148+AY225*AY148+AZ225*AZ148+BA225*BA148+BB225*BB148+BC225*BC148+BD225*BD148+BE225*BE148+BF225*BF148+BG225*BG148+BH225*BH148+BI225*BI148+BJ225*BJ148+BK225*BK148+BL225*BL148+BM225*BM148+BN225*BN148+BO225*BO148+BP225*BP148+BQ225*BQ148+BR225*BR148+BS225*BS148+BT225*BT148+BU225*BU148+BV225*BV148+BW225*BW148+BX225*BX148+BY225*BY148+BZ225*BZ148+CA225*CA148+CB225*CB148+CC225*CC148</f>
        <v>0</v>
      </c>
      <c r="CL148" s="2387">
        <f>E226*E148+F226*F148+G226*G148+H226*H148+I226*I148+J226*J148+K226*K148+L226*L148+M226*M148+N226*N148+O226*O148+P226*P148+Q226*Q148+R226*R148+S226*S148+T226*T148+U226*U148+V226*V148+W226*W148+X226*X148+Y226*Y148+Z226*Z148+AA226*AA148+AB226*AB148+AC226*AC148+AD226*AD148+AE226*AE148+AF226*AF148+AG226*AG148+AH226*AH148+AI226*AI148+AJ226*AJ148+AK226*AK148+AL226*AL148+AM226*AM148+AN226*AN148+AO226*AO148+AP226*AP148+AQ226*AQ148+AR226*AR148+AS226*AS148+AT226*AT148+AU226*AU148+AV226*AV148+AW226*AW148+AX226*AX148+AY226*AY148+AZ226*AZ148+BA226*BA148+BB226*BB148+BC226*BC148+BD226*BD148+BE226*BE148+BF226*BF148+BG226*BG148+BH226*BH148+BI226*BI148+BJ226*BJ148+BK226*BK148+BL226*BL148+BM226*BM148+BN226*BN148+BO226*BO148+BP226*BP148+BQ226*BQ148+BR226*BR148+BS226*BS148+BT226*BT148+BU226*BU148+BV226*BV148+BW226*BW148+BX226*BX148+BY226*BY148+BZ226*BZ148+CA226*CA148+CB226*CB148+CC226*CC148</f>
        <v>0</v>
      </c>
      <c r="CM148" s="2387">
        <f>E227*E148+F227*F148+G227*G148+H227*H148+I227*I148+J227*J148+K227*K148+L227*L148+M227*M148+N227*N148+O227*O148+P227*P148+Q227*Q148+R227*R148+S227*S148+T227*T148+U227*U148+V227*V148+W227*W148+X227*X148+Y227*Y148+Z227*Z148+AA227*AA148+AB227*AB148+AC227*AC148+AD227*AD148+AE227*AE148+AF227*AF148+AG227*AG148+AH227*AH148+AI227*AI148+AJ227*AJ148+AK227*AK148+AL227*AL148+AM227*AM148+AN227*AN148+AO227*AO148+AP227*AP148+AQ227*AQ148+AR227*AR148+AS227*AS148+AT227*AT148+AU227*AU148+AV227*AV148+AW227*AW148+AX227*AX148+AY227*AY148+AZ227*AZ148+BA227*BA148+BB227*BB148+BC227*BC148+BD227*BD148+BE227*BE148+BF227*BF148+BG227*BG148+BH227*BH148+BI227*BI148+BJ227*BJ148+BK227*BK148+BL227*BL148+BM227*BM148+BN227*BN148+BO227*BO148+BP227*BP148+BQ227*BQ148+BR227*BR148+BS227*BS148+BT227*BT148+BU227*BU148+BV227*BV148+BW227*BW148+BX227*BX148+BY227*BY148+BZ227*BZ148+CA227*CA148+CB227*CB148+CC227*CC148</f>
        <v>0</v>
      </c>
      <c r="CN148" s="2387">
        <f>E228*E148+F228*F148+G228*G148+H228*H148+I228*I148+J228*J148+K228*K148+L228*L148+M228*M148+N228*N148+O228*O148+P228*P148+Q228*Q148+R228*R148+S228*S148+T228*T148+U228*U148+V228*V148+W228*W148+X228*X148+Y228*Y148+Z228*Z148+AA228*AA148+AB228*AB148+AC228*AC148+AD228*AD148+AE228*AE148+AF228*AF148+AG228*AG148+AH228*AH148+AI228*AI148+AJ228*AJ148+AK228*AK148+AL228*AL148+AM228*AM148+AN228*AN148+AO228*AO148+AP228*AP148+AQ228*AQ148+AR228*AR148+AS228*AS148+AT228*AT148+AU228*AU148+AV228*AV148+AW228*AW148+AX228*AX148+AY228*AY148+AZ228*AZ148+BA228*BA148+BB228*BB148+BC228*BC148+BD228*BD148+BE228*BE148+BF228*BF148+BG228*BG148+BH228*BH148+BI228*BI148+BJ228*BJ148+BK228*BK148+BL228*BL148+BM228*BM148+BN228*BN148+BO228*BO148+BP228*BP148+BQ228*BQ148+BR228*BR148+BS228*BS148+BT228*BT148+BU228*BU148+BV228*BV148+BW228*BW148+BX228*BX148+BY228*BY148+BZ228*BZ148+CA228*CA148+CB228*CB148+CC228*CC148</f>
        <v>0</v>
      </c>
      <c r="CO148" s="2387">
        <f>E229*E148+F229*F148+G229*G148+H229*H148+I229*I148+J229*J148+K229*K148+L229*L148+M229*M148+N229*N148+O229*O148+P229*P148+Q229*Q148+R229*R148+S229*S148+T229*T148+U229*U148+V229*V148+W229*W148+X229*X148+Y229*Y148+Z229*Z148+AA229*AA148+AB229*AB148+AC229*AC148+AD229*AD148+AE229*AE148+AF229*AF148+AG229*AG148+AH229*AH148+AI229*AI148+AJ229*AJ148+AK229*AK148+AL229*AL148+AM229*AM148+AN229*AN148+AO229*AO148+AP229*AP148+AQ229*AQ148+AR229*AR148+AS229*AS148+AT229*AT148+AU229*AU148+AV229*AV148+AW229*AW148+AX229*AX148+AY229*AY148+AZ229*AZ148+BA229*BA148+BB229*BB148+BC229*BC148+BD229*BD148+BE229*BE148+BF229*BF148+BG229*BG148+BH229*BH148+BI229*BI148+BJ229*BJ148+BK229*BK148+BL229*BL148+BM229*BM148+BN229*BN148+BO229*BO148+BP229*BP148+BQ229*BQ148+BR229*BR148+BS229*BS148+BT229*BT148+BU229*BU148+BV229*BV148+BW229*BW148+BX229*BX148+BY229*BY148+BZ229*BZ148+CA229*CA148+CB229*CB148+CC229*CC148</f>
        <v>0</v>
      </c>
      <c r="CP148" s="2387">
        <f>E230*E148+F230*F148+G230*G148+H230*H148+I230*I148+J230*J148+K230*K148+L230*L148+M230*M148+N230*N148+O230*O148+P230*P148+Q230*Q148+R230*R148+S230*S148+T230*T148+U230*U148+V230*V148+W230*W148+X230*X148+Y230*Y148+Z230*Z148+AA230*AA148+AB230*AB148+AC230*AC148+AD230*AD148+AE230*AE148+AF230*AF148+AG230*AG148+AH230*AH148+AI230*AI148+AJ230*AJ148+AK230*AK148+AL230*AL148+AM230*AM148+AN230*AN148+AO230*AO148+AP230*AP148+AQ230*AQ148+AR230*AR148+AS230*AS148+AT230*AT148+AU230*AU148+AV230*AV148+AW230*AW148+AX230*AX148+AY230*AY148+AZ230*AZ148+BA230*BA148+BB230*BB148+BC230*BC148+BD230*BD148+BE230*BE148+BF230*BF148+BG230*BG148+BH230*BH148+BI230*BI148+BJ230*BJ148+BK230*BK148+BL230*BL148+BM230*BM148+BN230*BN148+BO230*BO148+BP230*BP148+BQ230*BQ148+BR230*BR148+BS230*BS148+BT230*BT148+BU230*BU148+BV230*BV148+BW230*BW148+BX230*BX148+BY230*BY148+BZ230*BZ148+CA230*CA148+CB230*CB148+CC230*CC148</f>
        <v>0</v>
      </c>
    </row>
    <row r="149" spans="2:94" x14ac:dyDescent="0.25">
      <c r="B149" s="1585">
        <v>30</v>
      </c>
      <c r="C149" s="628" t="s">
        <v>1364</v>
      </c>
      <c r="D149" s="629" t="s">
        <v>2232</v>
      </c>
      <c r="E149" s="974">
        <f>1</f>
        <v>1</v>
      </c>
      <c r="F149" s="974">
        <f>0</f>
        <v>0</v>
      </c>
      <c r="G149" s="974">
        <f>0</f>
        <v>0</v>
      </c>
      <c r="H149" s="974">
        <f>0</f>
        <v>0</v>
      </c>
      <c r="I149" s="974">
        <f>0</f>
        <v>0</v>
      </c>
      <c r="J149" s="974">
        <f>0</f>
        <v>0</v>
      </c>
      <c r="K149" s="974">
        <f>0</f>
        <v>0</v>
      </c>
      <c r="L149" s="974">
        <f>0</f>
        <v>0</v>
      </c>
      <c r="M149" s="974">
        <f>0</f>
        <v>0</v>
      </c>
      <c r="N149" s="974">
        <f>-1</f>
        <v>-1</v>
      </c>
      <c r="O149" s="974">
        <f>0</f>
        <v>0</v>
      </c>
      <c r="P149" s="974">
        <f>0</f>
        <v>0</v>
      </c>
      <c r="Q149" s="974">
        <f>0</f>
        <v>0</v>
      </c>
      <c r="R149" s="974">
        <f>0</f>
        <v>0</v>
      </c>
      <c r="S149" s="974">
        <f>0</f>
        <v>0</v>
      </c>
      <c r="T149" s="974">
        <f>0</f>
        <v>0</v>
      </c>
      <c r="U149" s="974">
        <f>0</f>
        <v>0</v>
      </c>
      <c r="V149" s="974">
        <f>0</f>
        <v>0</v>
      </c>
      <c r="W149" s="974">
        <f>0</f>
        <v>0</v>
      </c>
      <c r="X149" s="974">
        <f>0</f>
        <v>0</v>
      </c>
      <c r="Y149" s="974">
        <f>0</f>
        <v>0</v>
      </c>
      <c r="Z149" s="975">
        <f>0</f>
        <v>0</v>
      </c>
      <c r="AA149" s="975">
        <f>0</f>
        <v>0</v>
      </c>
      <c r="AB149" s="975">
        <f>0</f>
        <v>0</v>
      </c>
      <c r="AC149" s="974">
        <f>0</f>
        <v>0</v>
      </c>
      <c r="AD149" s="974">
        <f>0</f>
        <v>0</v>
      </c>
      <c r="AE149" s="974">
        <f>0</f>
        <v>0</v>
      </c>
      <c r="AF149" s="974">
        <f>0</f>
        <v>0</v>
      </c>
      <c r="AG149" s="975">
        <f>0</f>
        <v>0</v>
      </c>
      <c r="AH149" s="974">
        <f>0</f>
        <v>0</v>
      </c>
      <c r="AI149" s="974">
        <f>0</f>
        <v>0</v>
      </c>
      <c r="AJ149" s="974">
        <f>0</f>
        <v>0</v>
      </c>
      <c r="AK149" s="974">
        <f>0</f>
        <v>0</v>
      </c>
      <c r="AL149" s="974">
        <f>0</f>
        <v>0</v>
      </c>
      <c r="AM149" s="974">
        <f>0</f>
        <v>0</v>
      </c>
      <c r="AN149" s="974">
        <f>i_CIT_GLY-i_CIT_VFA</f>
        <v>0</v>
      </c>
      <c r="AO149" s="975">
        <f>0</f>
        <v>0</v>
      </c>
      <c r="AP149" s="975">
        <f>0</f>
        <v>0</v>
      </c>
      <c r="AQ149" s="975">
        <f>0</f>
        <v>0</v>
      </c>
      <c r="AR149" s="975">
        <f>0</f>
        <v>0</v>
      </c>
      <c r="AS149" s="975">
        <f>0</f>
        <v>0</v>
      </c>
      <c r="AT149" s="975">
        <f>0</f>
        <v>0</v>
      </c>
      <c r="AU149" s="974">
        <f>0</f>
        <v>0</v>
      </c>
      <c r="AV149" s="974">
        <f>0</f>
        <v>0</v>
      </c>
      <c r="AW149" s="974">
        <f>0</f>
        <v>0</v>
      </c>
      <c r="AX149" s="974">
        <f>0</f>
        <v>0</v>
      </c>
      <c r="AY149" s="974">
        <f>0</f>
        <v>0</v>
      </c>
      <c r="AZ149" s="974">
        <f>0</f>
        <v>0</v>
      </c>
      <c r="BA149" s="974">
        <f>0</f>
        <v>0</v>
      </c>
      <c r="BB149" s="974">
        <f>0</f>
        <v>0</v>
      </c>
      <c r="BC149" s="974">
        <f>0</f>
        <v>0</v>
      </c>
      <c r="BD149" s="974">
        <f>0</f>
        <v>0</v>
      </c>
      <c r="BE149" s="974">
        <f>0</f>
        <v>0</v>
      </c>
      <c r="BF149" s="974">
        <f>0</f>
        <v>0</v>
      </c>
      <c r="BG149" s="974">
        <f>0</f>
        <v>0</v>
      </c>
      <c r="BH149" s="974">
        <f>0</f>
        <v>0</v>
      </c>
      <c r="BI149" s="974">
        <f>0</f>
        <v>0</v>
      </c>
      <c r="BJ149" s="974">
        <f>0</f>
        <v>0</v>
      </c>
      <c r="BK149" s="974">
        <f>0</f>
        <v>0</v>
      </c>
      <c r="BL149" s="1479">
        <f>0</f>
        <v>0</v>
      </c>
      <c r="BM149" s="974">
        <f>0</f>
        <v>0</v>
      </c>
      <c r="BN149" s="974">
        <f>0</f>
        <v>0</v>
      </c>
      <c r="BO149" s="974">
        <f>0</f>
        <v>0</v>
      </c>
      <c r="BP149" s="1418">
        <f>0</f>
        <v>0</v>
      </c>
      <c r="BQ149" s="2367">
        <f>0</f>
        <v>0</v>
      </c>
      <c r="BR149" s="974">
        <f>0</f>
        <v>0</v>
      </c>
      <c r="BS149" s="974">
        <f>0</f>
        <v>0</v>
      </c>
      <c r="BT149" s="974">
        <f>0</f>
        <v>0</v>
      </c>
      <c r="BU149" s="974">
        <f>0</f>
        <v>0</v>
      </c>
      <c r="BV149" s="974">
        <f>0</f>
        <v>0</v>
      </c>
      <c r="BW149" s="974">
        <f>0</f>
        <v>0</v>
      </c>
      <c r="BX149" s="974">
        <f>0</f>
        <v>0</v>
      </c>
      <c r="BY149" s="974">
        <f>0</f>
        <v>0</v>
      </c>
      <c r="BZ149" s="974">
        <f>0</f>
        <v>0</v>
      </c>
      <c r="CA149" s="974">
        <f>0</f>
        <v>0</v>
      </c>
      <c r="CB149" s="974">
        <f>0</f>
        <v>0</v>
      </c>
      <c r="CC149" s="974">
        <f>0</f>
        <v>0</v>
      </c>
      <c r="CD149" s="1652">
        <f>b_STC_T*η_bGLY_ana*X_GAO*M_inhSO2_KO2_CASTO*M_inhSNO3_KNO3_CASTO*M_inhSNO2_KNO2_CASTO*M_RsatXGLY_XGAO_KGLY</f>
        <v>3.4871672246134239E-5</v>
      </c>
      <c r="CF149" s="2385">
        <f>E220*E149+F220*F149+G220*G149+H220*H149+I220*I149+J220*J149+K220*K149+L220*L149+M220*M149+N220*N149+O220*O149+P220*P149+Q220*Q149+R220*R149+S220*S149+T220*T149+U220*U149+V220*V149+W220*W149+X220*X149+Y220*Y149+Z220*Z149+AA220*AA149+AB220*AB149+AC220*AC149+AD220*AD149+AE220*AE149+AF220*AF149+AG220*AG149+AH220*AH149+AI220*AI149+AJ220*AJ149+AK220*AK149+AL220*AL149+AM220*AM149+AN220*AN149+AO220*AO149+AP220*AP149+AQ220*AQ149+AR220*AR149+AS220*AS149+AT220*AT149+AU220*AU149+AV220*AV149+AW220*AW149+AX220*AX149+AY220*AY149+AZ220*AZ149+BA220*BA149+BB220*BB149+BC220*BC149+BD220*BD149+BE220*BE149+BF220*BF149+BG220*BG149+BH220*BH149+BI220*BI149+BJ220*BJ149+BK220*BK149+BL220*BL149+BM220*BM149+BN220*BN149+BO220*BO149+BP220*BP149+BQ220*BQ149+BR220*BR149+BS220*BS149+BT220*BT149+BU220*BU149+BV220*BV149+BW220*BW149+BX220*BX149+BY220*BY149+BZ220*BZ149+CA220*CA149+CB220*CB149+CC220*CC149</f>
        <v>0</v>
      </c>
      <c r="CG149" s="2385">
        <f>E221*E149+F221*F149+G221*G149+H221*H149+I221*I149+J221*J149+K221*K149+L221*L149+M221*M149+N221*N149+O221*O149+P221*P149+Q221*Q149+R221*R149+S221*S149+T221*T149+U221*U149+V221*V149+W221*W149+X221*X149+Y221*Y149+Z221*Z149+AA221*AA149+AB221*AB149+AC221*AC149+AD221*AD149+AE221*AE149+AF221*AF149+AG221*AG149+AH221*AH149+AI221*AI149+AJ221*AJ149+AK221*AK149+AL221*AL149+AM221*AM149+AN221*AN149+AO221*AO149+AP221*AP149+AQ221*AQ149+AR221*AR149+AS221*AS149+AT221*AT149+AU221*AU149+AV221*AV149+AW221*AW149+AX221*AX149+AY221*AY149+AZ221*AZ149+BA221*BA149+BB221*BB149+BC221*BC149+BD221*BD149+BE221*BE149+BF221*BF149+BG221*BG149+BH221*BH149+BI221*BI149+BJ221*BJ149+BK221*BK149+BL221*BL149+BM221*BM149+BN221*BN149+BO221*BO149+BP221*BP149+BQ221*BQ149+BR221*BR149+BS221*BS149+BT221*BT149+BU221*BU149+BV221*BV149+BW221*BW149+BX221*BX149+BY221*BY149+BZ221*BZ149+CA221*CA149+CB221*CB149+CC221*CC149</f>
        <v>0</v>
      </c>
      <c r="CH149" s="2386">
        <f>E222*E149+F222*F149+G222*G149+H222*H149+I222*I149+J222*J149+K222*K149+L222*L149+M222*M149+N222*N149+O222*O149+P222*P149+Q222*Q149+R222*R149+S222*S149+T222*T149+U222*U149+V222*V149+W222*W149+X222*X149+Y222*Y149+Z222*Z149+AA222*AA149+AB222*AB149+AC222*AC149+AD222*AD149+AE222*AE149+AF222*AF149+AG222*AG149+AH222*AH149+AI222*AI149+AJ222*AJ149+AK222*AK149+AL222*AL149+AM222*AM149+AN222*AN149+AO222*AO149+AP222*AP149+AQ222*AQ149+AR222*AR149+AS222*AS149+AT222*AT149+AU222*AU149+AV222*AV149+AW222*AW149+AX222*AX149+AY222*AY149+AZ222*AZ149+BA222*BA149+BB222*BB149+BC222*BC149+BD222*BD149+BE222*BE149+BF222*BF149+BG222*BG149+BH222*BH149+BI222*BI149+BJ222*BJ149+BK222*BK149+BL222*BL149+BM222*BM149+BN222*BN149+BO222*BO149+BP222*BP149+BQ222*BQ149+BR222*BR149+BS222*BS149+BT222*BT149+BU222*BU149+BV222*BV149+BW222*BW149+BX222*BX149+BY222*BY149+BZ222*BZ149+CA222*CA149+CB222*CB149+CC222*CC149</f>
        <v>0</v>
      </c>
      <c r="CI149" s="2387">
        <f>E223*E149+F223*F149+G223*G149+H223*H149+I223*I149+J223*J149+K223*K149+L223*L149+M223*M149+N223*N149+O223*O149+P223*P149+Q223*Q149+R223*R149+S223*S149+T223*T149+U223*U149+V223*V149+W223*W149+X223*X149+Y223*Y149+Z223*Z149+AA223*AA149+AB223*AB149+AC223*AC149+AD223*AD149+AE223*AE149+AF223*AF149+AG223*AG149+AH223*AH149+AI223*AI149+AJ223*AJ149+AK223*AK149+AL223*AL149+AM223*AM149+AN223*AN149+AO223*AO149+AP223*AP149+AQ223*AQ149+AR223*AR149+AS223*AS149+AT223*AT149+AU223*AU149+AV223*AV149+AW223*AW149+AX223*AX149+AY223*AY149+AZ223*AZ149+BA223*BA149+BB223*BB149+BC223*BC149+BD223*BD149+BE223*BE149+BF223*BF149+BG223*BG149+BH223*BH149+BI223*BI149+BJ223*BJ149+BK223*BK149+BL223*BL149+BM223*BM149+BN223*BN149+BO223*BO149+BP223*BP149+BQ223*BQ149+BR223*BR149+BS223*BS149+BT223*BT149+BU223*BU149+BV223*BV149+BW223*BW149+BX223*BX149+BY223*BY149+BZ223*BZ149+CA223*CA149+CB223*CB149+CC223*CC149</f>
        <v>0</v>
      </c>
      <c r="CJ149" s="2387">
        <f>E224*E149+F224*F149+G224*G149+H224*H149+I224*I149+J224*J149+K224*K149+L224*L149+M224*M149+N224*N149+O224*O149+P224*P149+Q224*Q149+R224*R149+S224*S149+T224*T149+U224*U149+V224*V149+W224*W149+X224*X149+Y224*Y149+Z224*Z149+AA224*AA149+AB224*AB149+AC224*AC149+AD224*AD149+AE224*AE149+AF224*AF149+AG224*AG149+AH224*AH149+AI224*AI149+AJ224*AJ149+AK224*AK149+AL224*AL149+AM224*AM149+AN224*AN149+AO224*AO149+AP224*AP149+AQ224*AQ149+AR224*AR149+AS224*AS149+AT224*AT149+AU224*AU149+AV224*AV149+AW224*AW149+AX224*AX149+AY224*AY149+AZ224*AZ149+BA224*BA149+BB224*BB149+BC224*BC149+BD224*BD149+BE224*BE149+BF224*BF149+BG224*BG149+BH224*BH149+BI224*BI149+BJ224*BJ149+BK224*BK149+BL224*BL149+BM224*BM149+BN224*BN149+BO224*BO149+BP224*BP149+BQ224*BQ149+BR224*BR149+BS224*BS149+BT224*BT149+BU224*BU149+BV224*BV149+BW224*BW149+BX224*BX149+BY224*BY149+BZ224*BZ149+CA224*CA149+CB224*CB149+CC224*CC149</f>
        <v>0</v>
      </c>
      <c r="CK149" s="2387">
        <f>E225*E149+F225*F149+G225*G149+H225*H149+I225*I149+J225*J149+K225*K149+L225*L149+M225*M149+N225*N149+O225*O149+P225*P149+Q225*Q149+R225*R149+S225*S149+T225*T149+U225*U149+V225*V149+W225*W149+X225*X149+Y225*Y149+Z225*Z149+AA225*AA149+AB225*AB149+AC225*AC149+AD225*AD149+AE225*AE149+AF225*AF149+AG225*AG149+AH225*AH149+AI225*AI149+AJ225*AJ149+AK225*AK149+AL225*AL149+AM225*AM149+AN225*AN149+AO225*AO149+AP225*AP149+AQ225*AQ149+AR225*AR149+AS225*AS149+AT225*AT149+AU225*AU149+AV225*AV149+AW225*AW149+AX225*AX149+AY225*AY149+AZ225*AZ149+BA225*BA149+BB225*BB149+BC225*BC149+BD225*BD149+BE225*BE149+BF225*BF149+BG225*BG149+BH225*BH149+BI225*BI149+BJ225*BJ149+BK225*BK149+BL225*BL149+BM225*BM149+BN225*BN149+BO225*BO149+BP225*BP149+BQ225*BQ149+BR225*BR149+BS225*BS149+BT225*BT149+BU225*BU149+BV225*BV149+BW225*BW149+BX225*BX149+BY225*BY149+BZ225*BZ149+CA225*CA149+CB225*CB149+CC225*CC149</f>
        <v>0</v>
      </c>
      <c r="CL149" s="2387">
        <f>E226*E149+F226*F149+G226*G149+H226*H149+I226*I149+J226*J149+K226*K149+L226*L149+M226*M149+N226*N149+O226*O149+P226*P149+Q226*Q149+R226*R149+S226*S149+T226*T149+U226*U149+V226*V149+W226*W149+X226*X149+Y226*Y149+Z226*Z149+AA226*AA149+AB226*AB149+AC226*AC149+AD226*AD149+AE226*AE149+AF226*AF149+AG226*AG149+AH226*AH149+AI226*AI149+AJ226*AJ149+AK226*AK149+AL226*AL149+AM226*AM149+AN226*AN149+AO226*AO149+AP226*AP149+AQ226*AQ149+AR226*AR149+AS226*AS149+AT226*AT149+AU226*AU149+AV226*AV149+AW226*AW149+AX226*AX149+AY226*AY149+AZ226*AZ149+BA226*BA149+BB226*BB149+BC226*BC149+BD226*BD149+BE226*BE149+BF226*BF149+BG226*BG149+BH226*BH149+BI226*BI149+BJ226*BJ149+BK226*BK149+BL226*BL149+BM226*BM149+BN226*BN149+BO226*BO149+BP226*BP149+BQ226*BQ149+BR226*BR149+BS226*BS149+BT226*BT149+BU226*BU149+BV226*BV149+BW226*BW149+BX226*BX149+BY226*BY149+BZ226*BZ149+CA226*CA149+CB226*CB149+CC226*CC149</f>
        <v>0</v>
      </c>
      <c r="CM149" s="2387">
        <f>E227*E149+F227*F149+G227*G149+H227*H149+I227*I149+J227*J149+K227*K149+L227*L149+M227*M149+N227*N149+O227*O149+P227*P149+Q227*Q149+R227*R149+S227*S149+T227*T149+U227*U149+V227*V149+W227*W149+X227*X149+Y227*Y149+Z227*Z149+AA227*AA149+AB227*AB149+AC227*AC149+AD227*AD149+AE227*AE149+AF227*AF149+AG227*AG149+AH227*AH149+AI227*AI149+AJ227*AJ149+AK227*AK149+AL227*AL149+AM227*AM149+AN227*AN149+AO227*AO149+AP227*AP149+AQ227*AQ149+AR227*AR149+AS227*AS149+AT227*AT149+AU227*AU149+AV227*AV149+AW227*AW149+AX227*AX149+AY227*AY149+AZ227*AZ149+BA227*BA149+BB227*BB149+BC227*BC149+BD227*BD149+BE227*BE149+BF227*BF149+BG227*BG149+BH227*BH149+BI227*BI149+BJ227*BJ149+BK227*BK149+BL227*BL149+BM227*BM149+BN227*BN149+BO227*BO149+BP227*BP149+BQ227*BQ149+BR227*BR149+BS227*BS149+BT227*BT149+BU227*BU149+BV227*BV149+BW227*BW149+BX227*BX149+BY227*BY149+BZ227*BZ149+CA227*CA149+CB227*CB149+CC227*CC149</f>
        <v>0</v>
      </c>
      <c r="CN149" s="2387">
        <f>E228*E149+F228*F149+G228*G149+H228*H149+I228*I149+J228*J149+K228*K149+L228*L149+M228*M149+N228*N149+O228*O149+P228*P149+Q228*Q149+R228*R149+S228*S149+T228*T149+U228*U149+V228*V149+W228*W149+X228*X149+Y228*Y149+Z228*Z149+AA228*AA149+AB228*AB149+AC228*AC149+AD228*AD149+AE228*AE149+AF228*AF149+AG228*AG149+AH228*AH149+AI228*AI149+AJ228*AJ149+AK228*AK149+AL228*AL149+AM228*AM149+AN228*AN149+AO228*AO149+AP228*AP149+AQ228*AQ149+AR228*AR149+AS228*AS149+AT228*AT149+AU228*AU149+AV228*AV149+AW228*AW149+AX228*AX149+AY228*AY149+AZ228*AZ149+BA228*BA149+BB228*BB149+BC228*BC149+BD228*BD149+BE228*BE149+BF228*BF149+BG228*BG149+BH228*BH149+BI228*BI149+BJ228*BJ149+BK228*BK149+BL228*BL149+BM228*BM149+BN228*BN149+BO228*BO149+BP228*BP149+BQ228*BQ149+BR228*BR149+BS228*BS149+BT228*BT149+BU228*BU149+BV228*BV149+BW228*BW149+BX228*BX149+BY228*BY149+BZ228*BZ149+CA228*CA149+CB228*CB149+CC228*CC149</f>
        <v>0</v>
      </c>
      <c r="CO149" s="2387">
        <f>E229*E149+F229*F149+G229*G149+H229*H149+I229*I149+J229*J149+K229*K149+L229*L149+M229*M149+N229*N149+O229*O149+P229*P149+Q229*Q149+R229*R149+S229*S149+T229*T149+U229*U149+V229*V149+W229*W149+X229*X149+Y229*Y149+Z229*Z149+AA229*AA149+AB229*AB149+AC229*AC149+AD229*AD149+AE229*AE149+AF229*AF149+AG229*AG149+AH229*AH149+AI229*AI149+AJ229*AJ149+AK229*AK149+AL229*AL149+AM229*AM149+AN229*AN149+AO229*AO149+AP229*AP149+AQ229*AQ149+AR229*AR149+AS229*AS149+AT229*AT149+AU229*AU149+AV229*AV149+AW229*AW149+AX229*AX149+AY229*AY149+AZ229*AZ149+BA229*BA149+BB229*BB149+BC229*BC149+BD229*BD149+BE229*BE149+BF229*BF149+BG229*BG149+BH229*BH149+BI229*BI149+BJ229*BJ149+BK229*BK149+BL229*BL149+BM229*BM149+BN229*BN149+BO229*BO149+BP229*BP149+BQ229*BQ149+BR229*BR149+BS229*BS149+BT229*BT149+BU229*BU149+BV229*BV149+BW229*BW149+BX229*BX149+BY229*BY149+BZ229*BZ149+CA229*CA149+CB229*CB149+CC229*CC149</f>
        <v>0</v>
      </c>
      <c r="CP149" s="2387">
        <f>E230*E149+F230*F149+G230*G149+H230*H149+I230*I149+J230*J149+K230*K149+L230*L149+M230*M149+N230*N149+O230*O149+P230*P149+Q230*Q149+R230*R149+S230*S149+T230*T149+U230*U149+V230*V149+W230*W149+X230*X149+Y230*Y149+Z230*Z149+AA230*AA149+AB230*AB149+AC230*AC149+AD230*AD149+AE230*AE149+AF230*AF149+AG230*AG149+AH230*AH149+AI230*AI149+AJ230*AJ149+AK230*AK149+AL230*AL149+AM230*AM149+AN230*AN149+AO230*AO149+AP230*AP149+AQ230*AQ149+AR230*AR149+AS230*AS149+AT230*AT149+AU230*AU149+AV230*AV149+AW230*AW149+AX230*AX149+AY230*AY149+AZ230*AZ149+BA230*BA149+BB230*BB149+BC230*BC149+BD230*BD149+BE230*BE149+BF230*BF149+BG230*BG149+BH230*BH149+BI230*BI149+BJ230*BJ149+BK230*BK149+BL230*BL149+BM230*BM149+BN230*BN149+BO230*BO149+BP230*BP149+BQ230*BQ149+BR230*BR149+BS230*BS149+BT230*BT149+BU230*BU149+BV230*BV149+BW230*BW149+BX230*BX149+BY230*BY149+BZ230*BZ149+CA230*CA149+CB230*CB149+CC230*CC149</f>
        <v>0</v>
      </c>
    </row>
    <row r="150" spans="2:94" x14ac:dyDescent="0.25">
      <c r="B150" s="1585">
        <v>31</v>
      </c>
      <c r="C150" s="628" t="s">
        <v>1365</v>
      </c>
      <c r="D150" s="629" t="s">
        <v>2237</v>
      </c>
      <c r="E150" s="974">
        <f>0</f>
        <v>0</v>
      </c>
      <c r="F150" s="974">
        <f>0</f>
        <v>0</v>
      </c>
      <c r="G150" s="974">
        <f>0</f>
        <v>0</v>
      </c>
      <c r="H150" s="974">
        <f>0</f>
        <v>0</v>
      </c>
      <c r="I150" s="974">
        <f>0</f>
        <v>0</v>
      </c>
      <c r="J150" s="974">
        <f>0</f>
        <v>0</v>
      </c>
      <c r="K150" s="974">
        <f>0</f>
        <v>0</v>
      </c>
      <c r="L150" s="974">
        <f>0</f>
        <v>0</v>
      </c>
      <c r="M150" s="974">
        <f>0</f>
        <v>0</v>
      </c>
      <c r="N150" s="974">
        <f>0</f>
        <v>0</v>
      </c>
      <c r="O150" s="974">
        <f>0</f>
        <v>0</v>
      </c>
      <c r="P150" s="974">
        <f>0</f>
        <v>0</v>
      </c>
      <c r="Q150" s="974">
        <f>0</f>
        <v>0</v>
      </c>
      <c r="R150" s="974">
        <f>0</f>
        <v>0</v>
      </c>
      <c r="S150" s="974">
        <f>0</f>
        <v>0</v>
      </c>
      <c r="T150" s="974">
        <f>0</f>
        <v>0</v>
      </c>
      <c r="U150" s="974">
        <f>0</f>
        <v>0</v>
      </c>
      <c r="V150" s="974">
        <f>0</f>
        <v>0</v>
      </c>
      <c r="W150" s="974">
        <f>0</f>
        <v>0</v>
      </c>
      <c r="X150" s="974">
        <f>0</f>
        <v>0</v>
      </c>
      <c r="Y150" s="974">
        <f>0</f>
        <v>0</v>
      </c>
      <c r="Z150" s="974">
        <f>0</f>
        <v>0</v>
      </c>
      <c r="AA150" s="974">
        <f>0</f>
        <v>0</v>
      </c>
      <c r="AB150" s="974">
        <f>0</f>
        <v>0</v>
      </c>
      <c r="AC150" s="974">
        <f>0</f>
        <v>0</v>
      </c>
      <c r="AD150" s="974">
        <f>0</f>
        <v>0</v>
      </c>
      <c r="AE150" s="974">
        <f>0</f>
        <v>0</v>
      </c>
      <c r="AF150" s="974">
        <f>1</f>
        <v>1</v>
      </c>
      <c r="AG150" s="974">
        <f>-1</f>
        <v>-1</v>
      </c>
      <c r="AH150" s="974">
        <f>0</f>
        <v>0</v>
      </c>
      <c r="AI150" s="974">
        <f>0</f>
        <v>0</v>
      </c>
      <c r="AJ150" s="974">
        <f>0</f>
        <v>0</v>
      </c>
      <c r="AK150" s="974">
        <f>0</f>
        <v>0</v>
      </c>
      <c r="AL150" s="974">
        <f>0</f>
        <v>0</v>
      </c>
      <c r="AM150" s="974">
        <f>0</f>
        <v>0</v>
      </c>
      <c r="AN150" s="974">
        <f>0</f>
        <v>0</v>
      </c>
      <c r="AO150" s="974">
        <f>0</f>
        <v>0</v>
      </c>
      <c r="AP150" s="974">
        <f>0</f>
        <v>0</v>
      </c>
      <c r="AQ150" s="974">
        <f>0</f>
        <v>0</v>
      </c>
      <c r="AR150" s="975">
        <f>i_Ca_PP*A_MCa/A_MP</f>
        <v>0.12939338702613273</v>
      </c>
      <c r="AS150" s="975">
        <f>i_Mg_PP*A_MMg/A_MP</f>
        <v>0.27464374347136938</v>
      </c>
      <c r="AT150" s="975">
        <f>i_K_PP*A_MK/A_MP</f>
        <v>0.12623038734377579</v>
      </c>
      <c r="AU150" s="974">
        <f>0</f>
        <v>0</v>
      </c>
      <c r="AV150" s="974">
        <f>0</f>
        <v>0</v>
      </c>
      <c r="AW150" s="974">
        <f>0</f>
        <v>0</v>
      </c>
      <c r="AX150" s="974">
        <f>0</f>
        <v>0</v>
      </c>
      <c r="AY150" s="974">
        <f>0</f>
        <v>0</v>
      </c>
      <c r="AZ150" s="974">
        <f>0</f>
        <v>0</v>
      </c>
      <c r="BA150" s="974">
        <f>0</f>
        <v>0</v>
      </c>
      <c r="BB150" s="974">
        <f>0</f>
        <v>0</v>
      </c>
      <c r="BC150" s="974">
        <f>0</f>
        <v>0</v>
      </c>
      <c r="BD150" s="974">
        <f>0</f>
        <v>0</v>
      </c>
      <c r="BE150" s="974">
        <f>0</f>
        <v>0</v>
      </c>
      <c r="BF150" s="974">
        <f>0</f>
        <v>0</v>
      </c>
      <c r="BG150" s="974">
        <f>0</f>
        <v>0</v>
      </c>
      <c r="BH150" s="974">
        <f>0</f>
        <v>0</v>
      </c>
      <c r="BI150" s="974">
        <f>0</f>
        <v>0</v>
      </c>
      <c r="BJ150" s="974">
        <f>0</f>
        <v>0</v>
      </c>
      <c r="BK150" s="974">
        <f>0</f>
        <v>0</v>
      </c>
      <c r="BL150" s="1479">
        <f>0</f>
        <v>0</v>
      </c>
      <c r="BM150" s="974">
        <f>0</f>
        <v>0</v>
      </c>
      <c r="BN150" s="974">
        <f>0</f>
        <v>0</v>
      </c>
      <c r="BO150" s="974">
        <f>0</f>
        <v>0</v>
      </c>
      <c r="BP150" s="1418">
        <f>0</f>
        <v>0</v>
      </c>
      <c r="BQ150" s="2367">
        <f>0</f>
        <v>0</v>
      </c>
      <c r="BR150" s="974">
        <f>0</f>
        <v>0</v>
      </c>
      <c r="BS150" s="974">
        <f>0</f>
        <v>0</v>
      </c>
      <c r="BT150" s="974">
        <f>0</f>
        <v>0</v>
      </c>
      <c r="BU150" s="974">
        <f>0</f>
        <v>0</v>
      </c>
      <c r="BV150" s="974">
        <f>0</f>
        <v>0</v>
      </c>
      <c r="BW150" s="974">
        <f>0</f>
        <v>0</v>
      </c>
      <c r="BX150" s="974">
        <f>0</f>
        <v>0</v>
      </c>
      <c r="BY150" s="974">
        <f>0</f>
        <v>0</v>
      </c>
      <c r="BZ150" s="974">
        <f>0</f>
        <v>0</v>
      </c>
      <c r="CA150" s="974">
        <f>0</f>
        <v>0</v>
      </c>
      <c r="CB150" s="974">
        <f>0</f>
        <v>0</v>
      </c>
      <c r="CC150" s="974">
        <f>0</f>
        <v>0</v>
      </c>
      <c r="CD150" s="1652">
        <f>b_PP_ana_T*X_PAO*L_ogsatXPP_KPO4_PAO*(η_bPP_aer*M_RinhXPHA_XPAO_KPHA_cle*M_satSO2_KO2_CASTO+η_bPP_anox*M_inhSO2_KO2_CASTO*M_satSNO2_KNO2_CASTO+η_bPP_anox*M_inhSO2_KO2_CASTO*M_satSNO3_KNO3_CASTO*M_inhSNO2_KNO2_CASTO+M_inhSO2_KO2_CASTO*M_inhSNO3_KNO3_CASTO*M_inhSNO2_KNO2_CASTO)</f>
        <v>0.38985063851269147</v>
      </c>
      <c r="CF150" s="2385">
        <f>E220*E150+F220*F150+G220*G150+H220*H150+I220*I150+J220*J150+K220*K150+L220*L150+M220*M150+N220*N150+O220*O150+P220*P150+Q220*Q150+R220*R150+S220*S150+T220*T150+U220*U150+V220*V150+W220*W150+X220*X150+Y220*Y150+Z220*Z150+AA220*AA150+AB220*AB150+AC220*AC150+AD220*AD150+AE220*AE150+AF220*AF150+AG220*AG150+AH220*AH150+AI220*AI150+AJ220*AJ150+AK220*AK150+AL220*AL150+AM220*AM150+AN220*AN150+AO220*AO150+AP220*AP150+AQ220*AQ150+AR220*AR150+AS220*AS150+AT220*AT150+AU220*AU150+AV220*AV150+AW220*AW150+AX220*AX150+AY220*AY150+AZ220*AZ150+BA220*BA150+BB220*BB150+BC220*BC150+BD220*BD150+BE220*BE150+BF220*BF150+BG220*BG150+BH220*BH150+BI220*BI150+BJ220*BJ150+BK220*BK150+BL220*BL150+BM220*BM150+BN220*BN150+BO220*BO150+BP220*BP150+BQ220*BQ150+BR220*BR150+BS220*BS150+BT220*BT150+BU220*BU150+BV220*BV150+BW220*BW150+BX220*BX150+BY220*BY150+BZ220*BZ150+CA220*CA150+CB220*CB150+CC220*CC150</f>
        <v>0</v>
      </c>
      <c r="CG150" s="2385">
        <f>E221*E150+F221*F150+G221*G150+H221*H150+I221*I150+J221*J150+K221*K150+L221*L150+M221*M150+N221*N150+O221*O150+P221*P150+Q221*Q150+R221*R150+S221*S150+T221*T150+U221*U150+V221*V150+W221*W150+X221*X150+Y221*Y150+Z221*Z150+AA221*AA150+AB221*AB150+AC221*AC150+AD221*AD150+AE221*AE150+AF221*AF150+AG221*AG150+AH221*AH150+AI221*AI150+AJ221*AJ150+AK221*AK150+AL221*AL150+AM221*AM150+AN221*AN150+AO221*AO150+AP221*AP150+AQ221*AQ150+AR221*AR150+AS221*AS150+AT221*AT150+AU221*AU150+AV221*AV150+AW221*AW150+AX221*AX150+AY221*AY150+AZ221*AZ150+BA221*BA150+BB221*BB150+BC221*BC150+BD221*BD150+BE221*BE150+BF221*BF150+BG221*BG150+BH221*BH150+BI221*BI150+BJ221*BJ150+BK221*BK150+BL221*BL150+BM221*BM150+BN221*BN150+BO221*BO150+BP221*BP150+BQ221*BQ150+BR221*BR150+BS221*BS150+BT221*BT150+BU221*BU150+BV221*BV150+BW221*BW150+BX221*BX150+BY221*BY150+BZ221*BZ150+CA221*CA150+CB221*CB150+CC221*CC150</f>
        <v>0</v>
      </c>
      <c r="CH150" s="2386">
        <f>E222*E150+F222*F150+G222*G150+H222*H150+I222*I150+J222*J150+K222*K150+L222*L150+M222*M150+N222*N150+O222*O150+P222*P150+Q222*Q150+R222*R150+S222*S150+T222*T150+U222*U150+V222*V150+W222*W150+X222*X150+Y222*Y150+Z222*Z150+AA222*AA150+AB222*AB150+AC222*AC150+AD222*AD150+AE222*AE150+AF222*AF150+AG222*AG150+AH222*AH150+AI222*AI150+AJ222*AJ150+AK222*AK150+AL222*AL150+AM222*AM150+AN222*AN150+AO222*AO150+AP222*AP150+AQ222*AQ150+AR222*AR150+AS222*AS150+AT222*AT150+AU222*AU150+AV222*AV150+AW222*AW150+AX222*AX150+AY222*AY150+AZ222*AZ150+BA222*BA150+BB222*BB150+BC222*BC150+BD222*BD150+BE222*BE150+BF222*BF150+BG222*BG150+BH222*BH150+BI222*BI150+BJ222*BJ150+BK222*BK150+BL222*BL150+BM222*BM150+BN222*BN150+BO222*BO150+BP222*BP150+BQ222*BQ150+BR222*BR150+BS222*BS150+BT222*BT150+BU222*BU150+BV222*BV150+BW222*BW150+BX222*BX150+BY222*BY150+BZ222*BZ150+CA222*CA150+CB222*CB150+CC222*CC150</f>
        <v>0</v>
      </c>
      <c r="CI150" s="2387">
        <f>E223*E150+F223*F150+G223*G150+H223*H150+I223*I150+J223*J150+K223*K150+L223*L150+M223*M150+N223*N150+O223*O150+P223*P150+Q223*Q150+R223*R150+S223*S150+T223*T150+U223*U150+V223*V150+W223*W150+X223*X150+Y223*Y150+Z223*Z150+AA223*AA150+AB223*AB150+AC223*AC150+AD223*AD150+AE223*AE150+AF223*AF150+AG223*AG150+AH223*AH150+AI223*AI150+AJ223*AJ150+AK223*AK150+AL223*AL150+AM223*AM150+AN223*AN150+AO223*AO150+AP223*AP150+AQ223*AQ150+AR223*AR150+AS223*AS150+AT223*AT150+AU223*AU150+AV223*AV150+AW223*AW150+AX223*AX150+AY223*AY150+AZ223*AZ150+BA223*BA150+BB223*BB150+BC223*BC150+BD223*BD150+BE223*BE150+BF223*BF150+BG223*BG150+BH223*BH150+BI223*BI150+BJ223*BJ150+BK223*BK150+BL223*BL150+BM223*BM150+BN223*BN150+BO223*BO150+BP223*BP150+BQ223*BQ150+BR223*BR150+BS223*BS150+BT223*BT150+BU223*BU150+BV223*BV150+BW223*BW150+BX223*BX150+BY223*BY150+BZ223*BZ150+CA223*CA150+CB223*CB150+CC223*CC150</f>
        <v>0</v>
      </c>
      <c r="CJ150" s="2387">
        <f>E224*E150+F224*F150+G224*G150+H224*H150+I224*I150+J224*J150+K224*K150+L224*L150+M224*M150+N224*N150+O224*O150+P224*P150+Q224*Q150+R224*R150+S224*S150+T224*T150+U224*U150+V224*V150+W224*W150+X224*X150+Y224*Y150+Z224*Z150+AA224*AA150+AB224*AB150+AC224*AC150+AD224*AD150+AE224*AE150+AF224*AF150+AG224*AG150+AH224*AH150+AI224*AI150+AJ224*AJ150+AK224*AK150+AL224*AL150+AM224*AM150+AN224*AN150+AO224*AO150+AP224*AP150+AQ224*AQ150+AR224*AR150+AS224*AS150+AT224*AT150+AU224*AU150+AV224*AV150+AW224*AW150+AX224*AX150+AY224*AY150+AZ224*AZ150+BA224*BA150+BB224*BB150+BC224*BC150+BD224*BD150+BE224*BE150+BF224*BF150+BG224*BG150+BH224*BH150+BI224*BI150+BJ224*BJ150+BK224*BK150+BL224*BL150+BM224*BM150+BN224*BN150+BO224*BO150+BP224*BP150+BQ224*BQ150+BR224*BR150+BS224*BS150+BT224*BT150+BU224*BU150+BV224*BV150+BW224*BW150+BX224*BX150+BY224*BY150+BZ224*BZ150+CA224*CA150+CB224*CB150+CC224*CC150</f>
        <v>0</v>
      </c>
      <c r="CK150" s="2387">
        <f>E225*E150+F225*F150+G225*G150+H225*H150+I225*I150+J225*J150+K225*K150+L225*L150+M225*M150+N225*N150+O225*O150+P225*P150+Q225*Q150+R225*R150+S225*S150+T225*T150+U225*U150+V225*V150+W225*W150+X225*X150+Y225*Y150+Z225*Z150+AA225*AA150+AB225*AB150+AC225*AC150+AD225*AD150+AE225*AE150+AF225*AF150+AG225*AG150+AH225*AH150+AI225*AI150+AJ225*AJ150+AK225*AK150+AL225*AL150+AM225*AM150+AN225*AN150+AO225*AO150+AP225*AP150+AQ225*AQ150+AR225*AR150+AS225*AS150+AT225*AT150+AU225*AU150+AV225*AV150+AW225*AW150+AX225*AX150+AY225*AY150+AZ225*AZ150+BA225*BA150+BB225*BB150+BC225*BC150+BD225*BD150+BE225*BE150+BF225*BF150+BG225*BG150+BH225*BH150+BI225*BI150+BJ225*BJ150+BK225*BK150+BL225*BL150+BM225*BM150+BN225*BN150+BO225*BO150+BP225*BP150+BQ225*BQ150+BR225*BR150+BS225*BS150+BT225*BT150+BU225*BU150+BV225*BV150+BW225*BW150+BX225*BX150+BY225*BY150+BZ225*BZ150+CA225*CA150+CB225*CB150+CC225*CC150</f>
        <v>0</v>
      </c>
      <c r="CL150" s="2387">
        <f>E226*E150+F226*F150+G226*G150+H226*H150+I226*I150+J226*J150+K226*K150+L226*L150+M226*M150+N226*N150+O226*O150+P226*P150+Q226*Q150+R226*R150+S226*S150+T226*T150+U226*U150+V226*V150+W226*W150+X226*X150+Y226*Y150+Z226*Z150+AA226*AA150+AB226*AB150+AC226*AC150+AD226*AD150+AE226*AE150+AF226*AF150+AG226*AG150+AH226*AH150+AI226*AI150+AJ226*AJ150+AK226*AK150+AL226*AL150+AM226*AM150+AN226*AN150+AO226*AO150+AP226*AP150+AQ226*AQ150+AR226*AR150+AS226*AS150+AT226*AT150+AU226*AU150+AV226*AV150+AW226*AW150+AX226*AX150+AY226*AY150+AZ226*AZ150+BA226*BA150+BB226*BB150+BC226*BC150+BD226*BD150+BE226*BE150+BF226*BF150+BG226*BG150+BH226*BH150+BI226*BI150+BJ226*BJ150+BK226*BK150+BL226*BL150+BM226*BM150+BN226*BN150+BO226*BO150+BP226*BP150+BQ226*BQ150+BR226*BR150+BS226*BS150+BT226*BT150+BU226*BU150+BV226*BV150+BW226*BW150+BX226*BX150+BY226*BY150+BZ226*BZ150+CA226*CA150+CB226*CB150+CC226*CC150</f>
        <v>0</v>
      </c>
      <c r="CM150" s="2387">
        <f>E227*E150+F227*F150+G227*G150+H227*H150+I227*I150+J227*J150+K227*K150+L227*L150+M227*M150+N227*N150+O227*O150+P227*P150+Q227*Q150+R227*R150+S227*S150+T227*T150+U227*U150+V227*V150+W227*W150+X227*X150+Y227*Y150+Z227*Z150+AA227*AA150+AB227*AB150+AC227*AC150+AD227*AD150+AE227*AE150+AF227*AF150+AG227*AG150+AH227*AH150+AI227*AI150+AJ227*AJ150+AK227*AK150+AL227*AL150+AM227*AM150+AN227*AN150+AO227*AO150+AP227*AP150+AQ227*AQ150+AR227*AR150+AS227*AS150+AT227*AT150+AU227*AU150+AV227*AV150+AW227*AW150+AX227*AX150+AY227*AY150+AZ227*AZ150+BA227*BA150+BB227*BB150+BC227*BC150+BD227*BD150+BE227*BE150+BF227*BF150+BG227*BG150+BH227*BH150+BI227*BI150+BJ227*BJ150+BK227*BK150+BL227*BL150+BM227*BM150+BN227*BN150+BO227*BO150+BP227*BP150+BQ227*BQ150+BR227*BR150+BS227*BS150+BT227*BT150+BU227*BU150+BV227*BV150+BW227*BW150+BX227*BX150+BY227*BY150+BZ227*BZ150+CA227*CA150+CB227*CB150+CC227*CC150</f>
        <v>0</v>
      </c>
      <c r="CN150" s="2387">
        <f>E228*E150+F228*F150+G228*G150+H228*H150+I228*I150+J228*J150+K228*K150+L228*L150+M228*M150+N228*N150+O228*O150+P228*P150+Q228*Q150+R228*R150+S228*S150+T228*T150+U228*U150+V228*V150+W228*W150+X228*X150+Y228*Y150+Z228*Z150+AA228*AA150+AB228*AB150+AC228*AC150+AD228*AD150+AE228*AE150+AF228*AF150+AG228*AG150+AH228*AH150+AI228*AI150+AJ228*AJ150+AK228*AK150+AL228*AL150+AM228*AM150+AN228*AN150+AO228*AO150+AP228*AP150+AQ228*AQ150+AR228*AR150+AS228*AS150+AT228*AT150+AU228*AU150+AV228*AV150+AW228*AW150+AX228*AX150+AY228*AY150+AZ228*AZ150+BA228*BA150+BB228*BB150+BC228*BC150+BD228*BD150+BE228*BE150+BF228*BF150+BG228*BG150+BH228*BH150+BI228*BI150+BJ228*BJ150+BK228*BK150+BL228*BL150+BM228*BM150+BN228*BN150+BO228*BO150+BP228*BP150+BQ228*BQ150+BR228*BR150+BS228*BS150+BT228*BT150+BU228*BU150+BV228*BV150+BW228*BW150+BX228*BX150+BY228*BY150+BZ228*BZ150+CA228*CA150+CB228*CB150+CC228*CC150</f>
        <v>0</v>
      </c>
      <c r="CO150" s="2387">
        <f>E229*E150+F229*F150+G229*G150+H229*H150+I229*I150+J229*J150+K229*K150+L229*L150+M229*M150+N229*N150+O229*O150+P229*P150+Q229*Q150+R229*R150+S229*S150+T229*T150+U229*U150+V229*V150+W229*W150+X229*X150+Y229*Y150+Z229*Z150+AA229*AA150+AB229*AB150+AC229*AC150+AD229*AD150+AE229*AE150+AF229*AF150+AG229*AG150+AH229*AH150+AI229*AI150+AJ229*AJ150+AK229*AK150+AL229*AL150+AM229*AM150+AN229*AN150+AO229*AO150+AP229*AP150+AQ229*AQ150+AR229*AR150+AS229*AS150+AT229*AT150+AU229*AU150+AV229*AV150+AW229*AW150+AX229*AX150+AY229*AY150+AZ229*AZ150+BA229*BA150+BB229*BB150+BC229*BC150+BD229*BD150+BE229*BE150+BF229*BF150+BG229*BG150+BH229*BH150+BI229*BI150+BJ229*BJ150+BK229*BK150+BL229*BL150+BM229*BM150+BN229*BN150+BO229*BO150+BP229*BP150+BQ229*BQ150+BR229*BR150+BS229*BS150+BT229*BT150+BU229*BU150+BV229*BV150+BW229*BW150+BX229*BX150+BY229*BY150+BZ229*BZ150+CA229*CA150+CB229*CB150+CC229*CC150</f>
        <v>0</v>
      </c>
      <c r="CP150" s="2387">
        <f>E230*E150+F230*F150+G230*G150+H230*H150+I230*I150+J230*J150+K230*K150+L230*L150+M230*M150+N230*N150+O230*O150+P230*P150+Q230*Q150+R230*R150+S230*S150+T230*T150+U230*U150+V230*V150+W230*W150+X230*X150+Y230*Y150+Z230*Z150+AA230*AA150+AB230*AB150+AC230*AC150+AD230*AD150+AE230*AE150+AF230*AF150+AG230*AG150+AH230*AH150+AI230*AI150+AJ230*AJ150+AK230*AK150+AL230*AL150+AM230*AM150+AN230*AN150+AO230*AO150+AP230*AP150+AQ230*AQ150+AR230*AR150+AS230*AS150+AT230*AT150+AU230*AU150+AV230*AV150+AW230*AW150+AX230*AX150+AY230*AY150+AZ230*AZ150+BA230*BA150+BB230*BB150+BC230*BC150+BD230*BD150+BE230*BE150+BF230*BF150+BG230*BG150+BH230*BH150+BI230*BI150+BJ230*BJ150+BK230*BK150+BL230*BL150+BM230*BM150+BN230*BN150+BO230*BO150+BP230*BP150+BQ230*BQ150+BR230*BR150+BS230*BS150+BT230*BT150+BU230*BU150+BV230*BV150+BW230*BW150+BX230*BX150+BY230*BY150+BZ230*BZ150+CA230*CA150+CB230*CB150+CC230*CC150</f>
        <v>0</v>
      </c>
    </row>
    <row r="151" spans="2:94" ht="18" x14ac:dyDescent="0.25">
      <c r="B151" s="1585">
        <v>32</v>
      </c>
      <c r="C151" s="628" t="s">
        <v>252</v>
      </c>
      <c r="D151" s="629" t="s">
        <v>3172</v>
      </c>
      <c r="E151" s="1418">
        <f>(1-Y_CASTO_SB_ana-Y_CASTO_H2_ana_high)/Y_CASTO_SB_ana</f>
        <v>5.5</v>
      </c>
      <c r="F151" s="1417">
        <f>-1/Y_CASTO_SB_ana</f>
        <v>-10</v>
      </c>
      <c r="G151" s="974">
        <f>0</f>
        <v>0</v>
      </c>
      <c r="H151" s="974">
        <f>0</f>
        <v>0</v>
      </c>
      <c r="I151" s="974">
        <f>0</f>
        <v>0</v>
      </c>
      <c r="J151" s="974">
        <f>0</f>
        <v>0</v>
      </c>
      <c r="K151" s="974">
        <f>0</f>
        <v>0</v>
      </c>
      <c r="L151" s="974">
        <f>0</f>
        <v>0</v>
      </c>
      <c r="M151" s="975">
        <f>0</f>
        <v>0</v>
      </c>
      <c r="N151" s="975">
        <f>0</f>
        <v>0</v>
      </c>
      <c r="O151" s="974">
        <f>0</f>
        <v>0</v>
      </c>
      <c r="P151" s="974">
        <f>0</f>
        <v>0</v>
      </c>
      <c r="Q151" s="974">
        <f>0</f>
        <v>0</v>
      </c>
      <c r="R151" s="974">
        <f>1</f>
        <v>1</v>
      </c>
      <c r="S151" s="974">
        <f>0</f>
        <v>0</v>
      </c>
      <c r="T151" s="974">
        <f>0</f>
        <v>0</v>
      </c>
      <c r="U151" s="974">
        <f>0</f>
        <v>0</v>
      </c>
      <c r="V151" s="974">
        <f>0</f>
        <v>0</v>
      </c>
      <c r="W151" s="974">
        <f>0</f>
        <v>0</v>
      </c>
      <c r="X151" s="974">
        <f>0</f>
        <v>0</v>
      </c>
      <c r="Y151" s="974">
        <f>-i_N_BIO</f>
        <v>-7.0000000000000007E-2</v>
      </c>
      <c r="Z151" s="975">
        <f>0</f>
        <v>0</v>
      </c>
      <c r="AA151" s="975">
        <f>0</f>
        <v>0</v>
      </c>
      <c r="AB151" s="975">
        <f>0</f>
        <v>0</v>
      </c>
      <c r="AC151" s="974">
        <f>0</f>
        <v>0</v>
      </c>
      <c r="AD151" s="974">
        <f>0</f>
        <v>0</v>
      </c>
      <c r="AE151" s="974">
        <f>0</f>
        <v>0</v>
      </c>
      <c r="AF151" s="974">
        <f>-i_P_BIO</f>
        <v>-0.02</v>
      </c>
      <c r="AG151" s="975">
        <f>0</f>
        <v>0</v>
      </c>
      <c r="AH151" s="974">
        <f>0</f>
        <v>0</v>
      </c>
      <c r="AI151" s="974">
        <f>0</f>
        <v>0</v>
      </c>
      <c r="AJ151" s="974">
        <f>0</f>
        <v>0</v>
      </c>
      <c r="AK151" s="974">
        <f>0</f>
        <v>0</v>
      </c>
      <c r="AL151" s="974">
        <f>0</f>
        <v>0</v>
      </c>
      <c r="AM151" s="1418">
        <f>Y_CASTO_H2_ana_high/Y_CASTO_SB_ana</f>
        <v>3.4999999999999996</v>
      </c>
      <c r="AN151" s="1418">
        <f>(i_CIT_SB-i_CIT_VFA*(1-Y_CASTO_SB_ana-Y_CASTO_H2_ana_high)-i_CIT_BIO*Y_CASTO_SB_ana)/Y_CASTO_SB_ana</f>
        <v>0.44549999999999956</v>
      </c>
      <c r="AO151" s="1003">
        <f>i_INORG</f>
        <v>0.11</v>
      </c>
      <c r="AP151" s="1003">
        <f>-i_INORG*(1-i_Ca_INORG*(A_MCa+2*A_MCl)/A_MCa-i_Mg_INORG*(A_MMg+2*A_MCl)/A_MMg)*f_Na</f>
        <v>-2.8804303582798466E-2</v>
      </c>
      <c r="AQ151" s="1003">
        <f>-i_INORG*(i_Ca_INORG*(2*A_MCl)/A_MCa+i_Mg_INORG*(2*A_MCl)/A_MMg)-i_INORG*(1-i_Ca_INORG*(A_MCa+2*A_MCl)/A_MCa-i_Mg_INORG*(A_MMg+2*A_MCl)/A_MMg)*(1-f_Na)</f>
        <v>-7.0195696417201539E-2</v>
      </c>
      <c r="AR151" s="1003">
        <f>-i_INORG*i_Ca_INORG</f>
        <v>-5.5000000000000005E-3</v>
      </c>
      <c r="AS151" s="1003">
        <f>-i_INORG*i_Mg_INORG</f>
        <v>-5.5000000000000005E-3</v>
      </c>
      <c r="AT151" s="975">
        <f>0</f>
        <v>0</v>
      </c>
      <c r="AU151" s="975">
        <f>0</f>
        <v>0</v>
      </c>
      <c r="AV151" s="975">
        <f>0</f>
        <v>0</v>
      </c>
      <c r="AW151" s="975">
        <f>0</f>
        <v>0</v>
      </c>
      <c r="AX151" s="975">
        <f>0</f>
        <v>0</v>
      </c>
      <c r="AY151" s="975">
        <f>0</f>
        <v>0</v>
      </c>
      <c r="AZ151" s="975">
        <f>0</f>
        <v>0</v>
      </c>
      <c r="BA151" s="975">
        <f>0</f>
        <v>0</v>
      </c>
      <c r="BB151" s="975">
        <f>0</f>
        <v>0</v>
      </c>
      <c r="BC151" s="975">
        <f>0</f>
        <v>0</v>
      </c>
      <c r="BD151" s="975">
        <f>0</f>
        <v>0</v>
      </c>
      <c r="BE151" s="975">
        <f>0</f>
        <v>0</v>
      </c>
      <c r="BF151" s="975">
        <f>0</f>
        <v>0</v>
      </c>
      <c r="BG151" s="975">
        <f>0</f>
        <v>0</v>
      </c>
      <c r="BH151" s="975">
        <f>0</f>
        <v>0</v>
      </c>
      <c r="BI151" s="975">
        <f>0</f>
        <v>0</v>
      </c>
      <c r="BJ151" s="975">
        <f>0</f>
        <v>0</v>
      </c>
      <c r="BK151" s="975">
        <f>0</f>
        <v>0</v>
      </c>
      <c r="BL151" s="1479">
        <f>0</f>
        <v>0</v>
      </c>
      <c r="BM151" s="975">
        <f>0</f>
        <v>0</v>
      </c>
      <c r="BN151" s="975">
        <f>0</f>
        <v>0</v>
      </c>
      <c r="BO151" s="975">
        <f>0</f>
        <v>0</v>
      </c>
      <c r="BP151" s="1417">
        <f>0</f>
        <v>0</v>
      </c>
      <c r="BQ151" s="2366">
        <f>0</f>
        <v>0</v>
      </c>
      <c r="BR151" s="975">
        <f>0</f>
        <v>0</v>
      </c>
      <c r="BS151" s="975">
        <f>0</f>
        <v>0</v>
      </c>
      <c r="BT151" s="975">
        <f>0</f>
        <v>0</v>
      </c>
      <c r="BU151" s="975">
        <f>0</f>
        <v>0</v>
      </c>
      <c r="BV151" s="975">
        <f>0</f>
        <v>0</v>
      </c>
      <c r="BW151" s="975">
        <f>0</f>
        <v>0</v>
      </c>
      <c r="BX151" s="975">
        <f>0</f>
        <v>0</v>
      </c>
      <c r="BY151" s="975">
        <f>0</f>
        <v>0</v>
      </c>
      <c r="BZ151" s="975">
        <f>0</f>
        <v>0</v>
      </c>
      <c r="CA151" s="975">
        <f>0</f>
        <v>0</v>
      </c>
      <c r="CB151" s="975">
        <f>0</f>
        <v>0</v>
      </c>
      <c r="CC151" s="975">
        <f>0</f>
        <v>0</v>
      </c>
      <c r="CD151" s="1652">
        <f>µ_FERM_PAO_T*X_CASTO*actferm_PAO_ORP*L_ogsatSVFA_KVFA_FERM*M_satSB_KSB_ana*M_satSNHx_KNHx_BIO*M_satSPO4_KPO4_BIO*M_satSCAT_KCAT*M_satSAN_KAN*M_satSCa_KCa*M_satSMg_KMg*B_ellinhpH</f>
        <v>5.4523116080688366E-224</v>
      </c>
      <c r="CF151" s="2385">
        <f>E220*E151+F220*F151+G220*G151+H220*H151+I220*I151+J220*J151+K220*K151+L220*L151+M220*M151+N220*N151+O220*O151+P220*P151+Q220*Q151+R220*R151+S220*S151+T220*T151+U220*U151+V220*V151+W220*W151+X220*X151+Y220*Y151+Z220*Z151+AA220*AA151+AB220*AB151+AC220*AC151+AD220*AD151+AE220*AE151+AF220*AF151+AG220*AG151+AH220*AH151+AI220*AI151+AJ220*AJ151+AK220*AK151+AL220*AL151+AM220*AM151+AN220*AN151+AO220*AO151+AP220*AP151+AQ220*AQ151+AR220*AR151+AS220*AS151+AT220*AT151+AU220*AU151+AV220*AV151+AW220*AW151+AX220*AX151+AY220*AY151+AZ220*AZ151+BA220*BA151+BB220*BB151+BC220*BC151+BD220*BD151+BE220*BE151+BF220*BF151+BG220*BG151+BH220*BH151+BI220*BI151+BJ220*BJ151+BK220*BK151+BL220*BL151+BM220*BM151+BN220*BN151+BO220*BO151+BP220*BP151+BQ220*BQ151+BR220*BR151+BS220*BS151+BT220*BT151+BU220*BU151+BV220*BV151+BW220*BW151+BX220*BX151+BY220*BY151+BZ220*BZ151+CA220*CA151+CB220*CB151+CC220*CC151</f>
        <v>-4.4408920985006262E-16</v>
      </c>
      <c r="CG151" s="2385">
        <f>E221*E151+F221*F151+G221*G151+H221*H151+I221*I151+J221*J151+K221*K151+L221*L151+M221*M151+N221*N151+O221*O151+P221*P151+Q221*Q151+R221*R151+S221*S151+T221*T151+U221*U151+V221*V151+W221*W151+X221*X151+Y221*Y151+Z221*Z151+AA221*AA151+AB221*AB151+AC221*AC151+AD221*AD151+AE221*AE151+AF221*AF151+AG221*AG151+AH221*AH151+AI221*AI151+AJ221*AJ151+AK221*AK151+AL221*AL151+AM221*AM151+AN221*AN151+AO221*AO151+AP221*AP151+AQ221*AQ151+AR221*AR151+AS221*AS151+AT221*AT151+AU221*AU151+AV221*AV151+AW221*AW151+AX221*AX151+AY221*AY151+AZ221*AZ151+BA221*BA151+BB221*BB151+BC221*BC151+BD221*BD151+BE221*BE151+BF221*BF151+BG221*BG151+BH221*BH151+BI221*BI151+BJ221*BJ151+BK221*BK151+BL221*BL151+BM221*BM151+BN221*BN151+BO221*BO151+BP221*BP151+BQ221*BQ151+BR221*BR151+BS221*BS151+BT221*BT151+BU221*BU151+BV221*BV151+BW221*BW151+BX221*BX151+BY221*BY151+BZ221*BZ151+CA221*CA151+CB221*CB151+CC221*CC151</f>
        <v>-3.3306690738754696E-16</v>
      </c>
      <c r="CH151" s="2386">
        <f>E222*E151+F222*F151+G222*G151+H222*H151+I222*I151+J222*J151+K222*K151+L222*L151+M222*M151+N222*N151+O222*O151+P222*P151+Q222*Q151+R222*R151+S222*S151+T222*T151+U222*U151+V222*V151+W222*W151+X222*X151+Y222*Y151+Z222*Z151+AA222*AA151+AB222*AB151+AC222*AC151+AD222*AD151+AE222*AE151+AF222*AF151+AG222*AG151+AH222*AH151+AI222*AI151+AJ222*AJ151+AK222*AK151+AL222*AL151+AM222*AM151+AN222*AN151+AO222*AO151+AP222*AP151+AQ222*AQ151+AR222*AR151+AS222*AS151+AT222*AT151+AU222*AU151+AV222*AV151+AW222*AW151+AX222*AX151+AY222*AY151+AZ222*AZ151+BA222*BA151+BB222*BB151+BC222*BC151+BD222*BD151+BE222*BE151+BF222*BF151+BG222*BG151+BH222*BH151+BI222*BI151+BJ222*BJ151+BK222*BK151+BL222*BL151+BM222*BM151+BN222*BN151+BO222*BO151+BP222*BP151+BQ222*BQ151+BR222*BR151+BS222*BS151+BT222*BT151+BU222*BU151+BV222*BV151+BW222*BW151+BX222*BX151+BY222*BY151+BZ222*BZ151+CA222*CA151+CB222*CB151+CC222*CC151</f>
        <v>0</v>
      </c>
      <c r="CI151" s="2387">
        <f>E223*E151+F223*F151+G223*G151+H223*H151+I223*I151+J223*J151+K223*K151+L223*L151+M223*M151+N223*N151+O223*O151+P223*P151+Q223*Q151+R223*R151+S223*S151+T223*T151+U223*U151+V223*V151+W223*W151+X223*X151+Y223*Y151+Z223*Z151+AA223*AA151+AB223*AB151+AC223*AC151+AD223*AD151+AE223*AE151+AF223*AF151+AG223*AG151+AH223*AH151+AI223*AI151+AJ223*AJ151+AK223*AK151+AL223*AL151+AM223*AM151+AN223*AN151+AO223*AO151+AP223*AP151+AQ223*AQ151+AR223*AR151+AS223*AS151+AT223*AT151+AU223*AU151+AV223*AV151+AW223*AW151+AX223*AX151+AY223*AY151+AZ223*AZ151+BA223*BA151+BB223*BB151+BC223*BC151+BD223*BD151+BE223*BE151+BF223*BF151+BG223*BG151+BH223*BH151+BI223*BI151+BJ223*BJ151+BK223*BK151+BL223*BL151+BM223*BM151+BN223*BN151+BO223*BO151+BP223*BP151+BQ223*BQ151+BR223*BR151+BS223*BS151+BT223*BT151+BU223*BU151+BV223*BV151+BW223*BW151+BX223*BX151+BY223*BY151+BZ223*BZ151+CA223*CA151+CB223*CB151+CC223*CC151</f>
        <v>0</v>
      </c>
      <c r="CJ151" s="2387">
        <f>E224*E151+F224*F151+G224*G151+H224*H151+I224*I151+J224*J151+K224*K151+L224*L151+M224*M151+N224*N151+O224*O151+P224*P151+Q224*Q151+R224*R151+S224*S151+T224*T151+U224*U151+V224*V151+W224*W151+X224*X151+Y224*Y151+Z224*Z151+AA224*AA151+AB224*AB151+AC224*AC151+AD224*AD151+AE224*AE151+AF224*AF151+AG224*AG151+AH224*AH151+AI224*AI151+AJ224*AJ151+AK224*AK151+AL224*AL151+AM224*AM151+AN224*AN151+AO224*AO151+AP224*AP151+AQ224*AQ151+AR224*AR151+AS224*AS151+AT224*AT151+AU224*AU151+AV224*AV151+AW224*AW151+AX224*AX151+AY224*AY151+AZ224*AZ151+BA224*BA151+BB224*BB151+BC224*BC151+BD224*BD151+BE224*BE151+BF224*BF151+BG224*BG151+BH224*BH151+BI224*BI151+BJ224*BJ151+BK224*BK151+BL224*BL151+BM224*BM151+BN224*BN151+BO224*BO151+BP224*BP151+BQ224*BQ151+BR224*BR151+BS224*BS151+BT224*BT151+BU224*BU151+BV224*BV151+BW224*BW151+BX224*BX151+BY224*BY151+BZ224*BZ151+CA224*CA151+CB224*CB151+CC224*CC151</f>
        <v>0</v>
      </c>
      <c r="CK151" s="2387">
        <f>E225*E151+F225*F151+G225*G151+H225*H151+I225*I151+J225*J151+K225*K151+L225*L151+M225*M151+N225*N151+O225*O151+P225*P151+Q225*Q151+R225*R151+S225*S151+T225*T151+U225*U151+V225*V151+W225*W151+X225*X151+Y225*Y151+Z225*Z151+AA225*AA151+AB225*AB151+AC225*AC151+AD225*AD151+AE225*AE151+AF225*AF151+AG225*AG151+AH225*AH151+AI225*AI151+AJ225*AJ151+AK225*AK151+AL225*AL151+AM225*AM151+AN225*AN151+AO225*AO151+AP225*AP151+AQ225*AQ151+AR225*AR151+AS225*AS151+AT225*AT151+AU225*AU151+AV225*AV151+AW225*AW151+AX225*AX151+AY225*AY151+AZ225*AZ151+BA225*BA151+BB225*BB151+BC225*BC151+BD225*BD151+BE225*BE151+BF225*BF151+BG225*BG151+BH225*BH151+BI225*BI151+BJ225*BJ151+BK225*BK151+BL225*BL151+BM225*BM151+BN225*BN151+BO225*BO151+BP225*BP151+BQ225*BQ151+BR225*BR151+BS225*BS151+BT225*BT151+BU225*BU151+BV225*BV151+BW225*BW151+BX225*BX151+BY225*BY151+BZ225*BZ151+CA225*CA151+CB225*CB151+CC225*CC151</f>
        <v>0</v>
      </c>
      <c r="CL151" s="2387">
        <f>E226*E151+F226*F151+G226*G151+H226*H151+I226*I151+J226*J151+K226*K151+L226*L151+M226*M151+N226*N151+O226*O151+P226*P151+Q226*Q151+R226*R151+S226*S151+T226*T151+U226*U151+V226*V151+W226*W151+X226*X151+Y226*Y151+Z226*Z151+AA226*AA151+AB226*AB151+AC226*AC151+AD226*AD151+AE226*AE151+AF226*AF151+AG226*AG151+AH226*AH151+AI226*AI151+AJ226*AJ151+AK226*AK151+AL226*AL151+AM226*AM151+AN226*AN151+AO226*AO151+AP226*AP151+AQ226*AQ151+AR226*AR151+AS226*AS151+AT226*AT151+AU226*AU151+AV226*AV151+AW226*AW151+AX226*AX151+AY226*AY151+AZ226*AZ151+BA226*BA151+BB226*BB151+BC226*BC151+BD226*BD151+BE226*BE151+BF226*BF151+BG226*BG151+BH226*BH151+BI226*BI151+BJ226*BJ151+BK226*BK151+BL226*BL151+BM226*BM151+BN226*BN151+BO226*BO151+BP226*BP151+BQ226*BQ151+BR226*BR151+BS226*BS151+BT226*BT151+BU226*BU151+BV226*BV151+BW226*BW151+BX226*BX151+BY226*BY151+BZ226*BZ151+CA226*CA151+CB226*CB151+CC226*CC151</f>
        <v>0</v>
      </c>
      <c r="CM151" s="2387">
        <f>E227*E151+F227*F151+G227*G151+H227*H151+I227*I151+J227*J151+K227*K151+L227*L151+M227*M151+N227*N151+O227*O151+P227*P151+Q227*Q151+R227*R151+S227*S151+T227*T151+U227*U151+V227*V151+W227*W151+X227*X151+Y227*Y151+Z227*Z151+AA227*AA151+AB227*AB151+AC227*AC151+AD227*AD151+AE227*AE151+AF227*AF151+AG227*AG151+AH227*AH151+AI227*AI151+AJ227*AJ151+AK227*AK151+AL227*AL151+AM227*AM151+AN227*AN151+AO227*AO151+AP227*AP151+AQ227*AQ151+AR227*AR151+AS227*AS151+AT227*AT151+AU227*AU151+AV227*AV151+AW227*AW151+AX227*AX151+AY227*AY151+AZ227*AZ151+BA227*BA151+BB227*BB151+BC227*BC151+BD227*BD151+BE227*BE151+BF227*BF151+BG227*BG151+BH227*BH151+BI227*BI151+BJ227*BJ151+BK227*BK151+BL227*BL151+BM227*BM151+BN227*BN151+BO227*BO151+BP227*BP151+BQ227*BQ151+BR227*BR151+BS227*BS151+BT227*BT151+BU227*BU151+BV227*BV151+BW227*BW151+BX227*BX151+BY227*BY151+BZ227*BZ151+CA227*CA151+CB227*CB151+CC227*CC151</f>
        <v>0</v>
      </c>
      <c r="CN151" s="2387">
        <f>E228*E151+F228*F151+G228*G151+H228*H151+I228*I151+J228*J151+K228*K151+L228*L151+M228*M151+N228*N151+O228*O151+P228*P151+Q228*Q151+R228*R151+S228*S151+T228*T151+U228*U151+V228*V151+W228*W151+X228*X151+Y228*Y151+Z228*Z151+AA228*AA151+AB228*AB151+AC228*AC151+AD228*AD151+AE228*AE151+AF228*AF151+AG228*AG151+AH228*AH151+AI228*AI151+AJ228*AJ151+AK228*AK151+AL228*AL151+AM228*AM151+AN228*AN151+AO228*AO151+AP228*AP151+AQ228*AQ151+AR228*AR151+AS228*AS151+AT228*AT151+AU228*AU151+AV228*AV151+AW228*AW151+AX228*AX151+AY228*AY151+AZ228*AZ151+BA228*BA151+BB228*BB151+BC228*BC151+BD228*BD151+BE228*BE151+BF228*BF151+BG228*BG151+BH228*BH151+BI228*BI151+BJ228*BJ151+BK228*BK151+BL228*BL151+BM228*BM151+BN228*BN151+BO228*BO151+BP228*BP151+BQ228*BQ151+BR228*BR151+BS228*BS151+BT228*BT151+BU228*BU151+BV228*BV151+BW228*BW151+BX228*BX151+BY228*BY151+BZ228*BZ151+CA228*CA151+CB228*CB151+CC228*CC151</f>
        <v>0</v>
      </c>
      <c r="CO151" s="2387">
        <f>E229*E151+F229*F151+G229*G151+H229*H151+I229*I151+J229*J151+K229*K151+L229*L151+M229*M151+N229*N151+O229*O151+P229*P151+Q229*Q151+R229*R151+S229*S151+T229*T151+U229*U151+V229*V151+W229*W151+X229*X151+Y229*Y151+Z229*Z151+AA229*AA151+AB229*AB151+AC229*AC151+AD229*AD151+AE229*AE151+AF229*AF151+AG229*AG151+AH229*AH151+AI229*AI151+AJ229*AJ151+AK229*AK151+AL229*AL151+AM229*AM151+AN229*AN151+AO229*AO151+AP229*AP151+AQ229*AQ151+AR229*AR151+AS229*AS151+AT229*AT151+AU229*AU151+AV229*AV151+AW229*AW151+AX229*AX151+AY229*AY151+AZ229*AZ151+BA229*BA151+BB229*BB151+BC229*BC151+BD229*BD151+BE229*BE151+BF229*BF151+BG229*BG151+BH229*BH151+BI229*BI151+BJ229*BJ151+BK229*BK151+BL229*BL151+BM229*BM151+BN229*BN151+BO229*BO151+BP229*BP151+BQ229*BQ151+BR229*BR151+BS229*BS151+BT229*BT151+BU229*BU151+BV229*BV151+BW229*BW151+BX229*BX151+BY229*BY151+BZ229*BZ151+CA229*CA151+CB229*CB151+CC229*CC151</f>
        <v>0</v>
      </c>
      <c r="CP151" s="2387">
        <f>E230*E151+F230*F151+G230*G151+H230*H151+I230*I151+J230*J151+K230*K151+L230*L151+M230*M151+N230*N151+O230*O151+P230*P151+Q230*Q151+R230*R151+S230*S151+T230*T151+U230*U151+V230*V151+W230*W151+X230*X151+Y230*Y151+Z230*Z151+AA230*AA151+AB230*AB151+AC230*AC151+AD230*AD151+AE230*AE151+AF230*AF151+AG230*AG151+AH230*AH151+AI230*AI151+AJ230*AJ151+AK230*AK151+AL230*AL151+AM230*AM151+AN230*AN151+AO230*AO151+AP230*AP151+AQ230*AQ151+AR230*AR151+AS230*AS151+AT230*AT151+AU230*AU151+AV230*AV151+AW230*AW151+AX230*AX151+AY230*AY151+AZ230*AZ151+BA230*BA151+BB230*BB151+BC230*BC151+BD230*BD151+BE230*BE151+BF230*BF151+BG230*BG151+BH230*BH151+BI230*BI151+BJ230*BJ151+BK230*BK151+BL230*BL151+BM230*BM151+BN230*BN151+BO230*BO151+BP230*BP151+BQ230*BQ151+BR230*BR151+BS230*BS151+BT230*BT151+BU230*BU151+BV230*BV151+BW230*BW151+BX230*BX151+BY230*BY151+BZ230*BZ151+CA230*CA151+CB230*CB151+CC230*CC151</f>
        <v>0</v>
      </c>
    </row>
    <row r="152" spans="2:94" ht="18" x14ac:dyDescent="0.25">
      <c r="B152" s="1585">
        <v>33</v>
      </c>
      <c r="C152" s="628" t="s">
        <v>253</v>
      </c>
      <c r="D152" s="629" t="s">
        <v>3173</v>
      </c>
      <c r="E152" s="1418">
        <f>(1-Y_CASTO_SB_ana-Y_CASTO_H2_ana_low)/Y_CASTO_SB_ana</f>
        <v>8</v>
      </c>
      <c r="F152" s="1417">
        <f>-1/Y_CASTO_SB_ana</f>
        <v>-10</v>
      </c>
      <c r="G152" s="974">
        <f>0</f>
        <v>0</v>
      </c>
      <c r="H152" s="974">
        <f>0</f>
        <v>0</v>
      </c>
      <c r="I152" s="974">
        <f>0</f>
        <v>0</v>
      </c>
      <c r="J152" s="974">
        <f>0</f>
        <v>0</v>
      </c>
      <c r="K152" s="974">
        <f>0</f>
        <v>0</v>
      </c>
      <c r="L152" s="974">
        <f>0</f>
        <v>0</v>
      </c>
      <c r="M152" s="975">
        <f>0</f>
        <v>0</v>
      </c>
      <c r="N152" s="975">
        <f>0</f>
        <v>0</v>
      </c>
      <c r="O152" s="974">
        <f>0</f>
        <v>0</v>
      </c>
      <c r="P152" s="974">
        <f>0</f>
        <v>0</v>
      </c>
      <c r="Q152" s="974">
        <f>0</f>
        <v>0</v>
      </c>
      <c r="R152" s="974">
        <f>1</f>
        <v>1</v>
      </c>
      <c r="S152" s="974">
        <f>0</f>
        <v>0</v>
      </c>
      <c r="T152" s="974">
        <f>0</f>
        <v>0</v>
      </c>
      <c r="U152" s="974">
        <f>0</f>
        <v>0</v>
      </c>
      <c r="V152" s="974">
        <f>0</f>
        <v>0</v>
      </c>
      <c r="W152" s="974">
        <f>0</f>
        <v>0</v>
      </c>
      <c r="X152" s="974">
        <f>0</f>
        <v>0</v>
      </c>
      <c r="Y152" s="974">
        <f>-i_N_BIO</f>
        <v>-7.0000000000000007E-2</v>
      </c>
      <c r="Z152" s="975">
        <f>0</f>
        <v>0</v>
      </c>
      <c r="AA152" s="975">
        <f>0</f>
        <v>0</v>
      </c>
      <c r="AB152" s="975">
        <f>0</f>
        <v>0</v>
      </c>
      <c r="AC152" s="974">
        <f>0</f>
        <v>0</v>
      </c>
      <c r="AD152" s="974">
        <f>0</f>
        <v>0</v>
      </c>
      <c r="AE152" s="974">
        <f>0</f>
        <v>0</v>
      </c>
      <c r="AF152" s="974">
        <f>-i_P_BIO</f>
        <v>-0.02</v>
      </c>
      <c r="AG152" s="975">
        <f>0</f>
        <v>0</v>
      </c>
      <c r="AH152" s="974">
        <f>0</f>
        <v>0</v>
      </c>
      <c r="AI152" s="974">
        <f>0</f>
        <v>0</v>
      </c>
      <c r="AJ152" s="974">
        <f>0</f>
        <v>0</v>
      </c>
      <c r="AK152" s="974">
        <f>0</f>
        <v>0</v>
      </c>
      <c r="AL152" s="974">
        <f>0</f>
        <v>0</v>
      </c>
      <c r="AM152" s="1418">
        <f>Y_CASTO_H2_ana_low/Y_CASTO_SB_ana</f>
        <v>1</v>
      </c>
      <c r="AN152" s="1418">
        <f>(i_CIT_SB-i_CIT_VFA*(1-Y_CASTO_SB_ana-Y_CASTO_H2_ana_low)-i_CIT_BIO*Y_CASTO_SB_ana)/Y_CASTO_SB_ana</f>
        <v>-0.49200000000000066</v>
      </c>
      <c r="AO152" s="1003">
        <f>i_INORG</f>
        <v>0.11</v>
      </c>
      <c r="AP152" s="1003">
        <f>-i_INORG*(1-i_Ca_INORG*(A_MCa+2*A_MCl)/A_MCa-i_Mg_INORG*(A_MMg+2*A_MCl)/A_MMg)*f_Na</f>
        <v>-2.8804303582798466E-2</v>
      </c>
      <c r="AQ152" s="1003">
        <f>-i_INORG*(i_Ca_INORG*(2*A_MCl)/A_MCa+i_Mg_INORG*(2*A_MCl)/A_MMg)-i_INORG*(1-i_Ca_INORG*(A_MCa+2*A_MCl)/A_MCa-i_Mg_INORG*(A_MMg+2*A_MCl)/A_MMg)*(1-f_Na)</f>
        <v>-7.0195696417201539E-2</v>
      </c>
      <c r="AR152" s="1003">
        <f>-i_INORG*i_Ca_INORG</f>
        <v>-5.5000000000000005E-3</v>
      </c>
      <c r="AS152" s="1003">
        <f>-i_INORG*i_Mg_INORG</f>
        <v>-5.5000000000000005E-3</v>
      </c>
      <c r="AT152" s="975">
        <f>0</f>
        <v>0</v>
      </c>
      <c r="AU152" s="975">
        <f>0</f>
        <v>0</v>
      </c>
      <c r="AV152" s="975">
        <f>0</f>
        <v>0</v>
      </c>
      <c r="AW152" s="975">
        <f>0</f>
        <v>0</v>
      </c>
      <c r="AX152" s="975">
        <f>0</f>
        <v>0</v>
      </c>
      <c r="AY152" s="975">
        <f>0</f>
        <v>0</v>
      </c>
      <c r="AZ152" s="975">
        <f>0</f>
        <v>0</v>
      </c>
      <c r="BA152" s="975">
        <f>0</f>
        <v>0</v>
      </c>
      <c r="BB152" s="975">
        <f>0</f>
        <v>0</v>
      </c>
      <c r="BC152" s="975">
        <f>0</f>
        <v>0</v>
      </c>
      <c r="BD152" s="975">
        <f>0</f>
        <v>0</v>
      </c>
      <c r="BE152" s="975">
        <f>0</f>
        <v>0</v>
      </c>
      <c r="BF152" s="975">
        <f>0</f>
        <v>0</v>
      </c>
      <c r="BG152" s="975">
        <f>0</f>
        <v>0</v>
      </c>
      <c r="BH152" s="975">
        <f>0</f>
        <v>0</v>
      </c>
      <c r="BI152" s="975">
        <f>0</f>
        <v>0</v>
      </c>
      <c r="BJ152" s="975">
        <f>0</f>
        <v>0</v>
      </c>
      <c r="BK152" s="975">
        <f>0</f>
        <v>0</v>
      </c>
      <c r="BL152" s="1479">
        <f>0</f>
        <v>0</v>
      </c>
      <c r="BM152" s="975">
        <f>0</f>
        <v>0</v>
      </c>
      <c r="BN152" s="975">
        <f>0</f>
        <v>0</v>
      </c>
      <c r="BO152" s="975">
        <f>0</f>
        <v>0</v>
      </c>
      <c r="BP152" s="1417">
        <f>0</f>
        <v>0</v>
      </c>
      <c r="BQ152" s="2366">
        <f>0</f>
        <v>0</v>
      </c>
      <c r="BR152" s="975">
        <f>0</f>
        <v>0</v>
      </c>
      <c r="BS152" s="975">
        <f>0</f>
        <v>0</v>
      </c>
      <c r="BT152" s="975">
        <f>0</f>
        <v>0</v>
      </c>
      <c r="BU152" s="975">
        <f>0</f>
        <v>0</v>
      </c>
      <c r="BV152" s="975">
        <f>0</f>
        <v>0</v>
      </c>
      <c r="BW152" s="975">
        <f>0</f>
        <v>0</v>
      </c>
      <c r="BX152" s="975">
        <f>0</f>
        <v>0</v>
      </c>
      <c r="BY152" s="975">
        <f>0</f>
        <v>0</v>
      </c>
      <c r="BZ152" s="975">
        <f>0</f>
        <v>0</v>
      </c>
      <c r="CA152" s="975">
        <f>0</f>
        <v>0</v>
      </c>
      <c r="CB152" s="975">
        <f>0</f>
        <v>0</v>
      </c>
      <c r="CC152" s="975">
        <f>0</f>
        <v>0</v>
      </c>
      <c r="CD152" s="1652">
        <f>µ_FERM_PAO_T*X_CASTO*actferm_PAO_ORP*L_oginhSVFA_KVFA_FERM*M_satSB_KSB_ana*M_satSNHx_KNHx_BIO*M_satSPO4_KPO4_BIO*M_satSCAT_KCAT*M_satSAN_KAN*M_satSCa_KCa*M_satSMg_KMg*M_satSCO2_KCO2_BIO*B_ellinhpH</f>
        <v>1.1984761708402547E-7</v>
      </c>
      <c r="CF152" s="2385">
        <f>E220*E152+F220*F152+G220*G152+H220*H152+I220*I152+J220*J152+K220*K152+L220*L152+M220*M152+N220*N152+O220*O152+P220*P152+Q220*Q152+R220*R152+S220*S152+T220*T152+U220*U152+V220*V152+W220*W152+X220*X152+Y220*Y152+Z220*Z152+AA220*AA152+AB220*AB152+AC220*AC152+AD220*AD152+AE220*AE152+AF220*AF152+AG220*AG152+AH220*AH152+AI220*AI152+AJ220*AJ152+AK220*AK152+AL220*AL152+AM220*AM152+AN220*AN152+AO220*AO152+AP220*AP152+AQ220*AQ152+AR220*AR152+AS220*AS152+AT220*AT152+AU220*AU152+AV220*AV152+AW220*AW152+AX220*AX152+AY220*AY152+AZ220*AZ152+BA220*BA152+BB220*BB152+BC220*BC152+BD220*BD152+BE220*BE152+BF220*BF152+BG220*BG152+BH220*BH152+BI220*BI152+BJ220*BJ152+BK220*BK152+BL220*BL152+BM220*BM152+BN220*BN152+BO220*BO152+BP220*BP152+BQ220*BQ152+BR220*BR152+BS220*BS152+BT220*BT152+BU220*BU152+BV220*BV152+BW220*BW152+BX220*BX152+BY220*BY152+BZ220*BZ152+CA220*CA152+CB220*CB152+CC220*CC152</f>
        <v>0</v>
      </c>
      <c r="CG152" s="2385">
        <f>E221*E152+F221*F152+G221*G152+H221*H152+I221*I152+J221*J152+K221*K152+L221*L152+M221*M152+N221*N152+O221*O152+P221*P152+Q221*Q152+R221*R152+S221*S152+T221*T152+U221*U152+V221*V152+W221*W152+X221*X152+Y221*Y152+Z221*Z152+AA221*AA152+AB221*AB152+AC221*AC152+AD221*AD152+AE221*AE152+AF221*AF152+AG221*AG152+AH221*AH152+AI221*AI152+AJ221*AJ152+AK221*AK152+AL221*AL152+AM221*AM152+AN221*AN152+AO221*AO152+AP221*AP152+AQ221*AQ152+AR221*AR152+AS221*AS152+AT221*AT152+AU221*AU152+AV221*AV152+AW221*AW152+AX221*AX152+AY221*AY152+AZ221*AZ152+BA221*BA152+BB221*BB152+BC221*BC152+BD221*BD152+BE221*BE152+BF221*BF152+BG221*BG152+BH221*BH152+BI221*BI152+BJ221*BJ152+BK221*BK152+BL221*BL152+BM221*BM152+BN221*BN152+BO221*BO152+BP221*BP152+BQ221*BQ152+BR221*BR152+BS221*BS152+BT221*BT152+BU221*BU152+BV221*BV152+BW221*BW152+BX221*BX152+BY221*BY152+BZ221*BZ152+CA221*CA152+CB221*CB152+CC221*CC152</f>
        <v>-5.5511151231257827E-16</v>
      </c>
      <c r="CH152" s="2386">
        <f>E222*E152+F222*F152+G222*G152+H222*H152+I222*I152+J222*J152+K222*K152+L222*L152+M222*M152+N222*N152+O222*O152+P222*P152+Q222*Q152+R222*R152+S222*S152+T222*T152+U222*U152+V222*V152+W222*W152+X222*X152+Y222*Y152+Z222*Z152+AA222*AA152+AB222*AB152+AC222*AC152+AD222*AD152+AE222*AE152+AF222*AF152+AG222*AG152+AH222*AH152+AI222*AI152+AJ222*AJ152+AK222*AK152+AL222*AL152+AM222*AM152+AN222*AN152+AO222*AO152+AP222*AP152+AQ222*AQ152+AR222*AR152+AS222*AS152+AT222*AT152+AU222*AU152+AV222*AV152+AW222*AW152+AX222*AX152+AY222*AY152+AZ222*AZ152+BA222*BA152+BB222*BB152+BC222*BC152+BD222*BD152+BE222*BE152+BF222*BF152+BG222*BG152+BH222*BH152+BI222*BI152+BJ222*BJ152+BK222*BK152+BL222*BL152+BM222*BM152+BN222*BN152+BO222*BO152+BP222*BP152+BQ222*BQ152+BR222*BR152+BS222*BS152+BT222*BT152+BU222*BU152+BV222*BV152+BW222*BW152+BX222*BX152+BY222*BY152+BZ222*BZ152+CA222*CA152+CB222*CB152+CC222*CC152</f>
        <v>0</v>
      </c>
      <c r="CI152" s="2387">
        <f>E223*E152+F223*F152+G223*G152+H223*H152+I223*I152+J223*J152+K223*K152+L223*L152+M223*M152+N223*N152+O223*O152+P223*P152+Q223*Q152+R223*R152+S223*S152+T223*T152+U223*U152+V223*V152+W223*W152+X223*X152+Y223*Y152+Z223*Z152+AA223*AA152+AB223*AB152+AC223*AC152+AD223*AD152+AE223*AE152+AF223*AF152+AG223*AG152+AH223*AH152+AI223*AI152+AJ223*AJ152+AK223*AK152+AL223*AL152+AM223*AM152+AN223*AN152+AO223*AO152+AP223*AP152+AQ223*AQ152+AR223*AR152+AS223*AS152+AT223*AT152+AU223*AU152+AV223*AV152+AW223*AW152+AX223*AX152+AY223*AY152+AZ223*AZ152+BA223*BA152+BB223*BB152+BC223*BC152+BD223*BD152+BE223*BE152+BF223*BF152+BG223*BG152+BH223*BH152+BI223*BI152+BJ223*BJ152+BK223*BK152+BL223*BL152+BM223*BM152+BN223*BN152+BO223*BO152+BP223*BP152+BQ223*BQ152+BR223*BR152+BS223*BS152+BT223*BT152+BU223*BU152+BV223*BV152+BW223*BW152+BX223*BX152+BY223*BY152+BZ223*BZ152+CA223*CA152+CB223*CB152+CC223*CC152</f>
        <v>0</v>
      </c>
      <c r="CJ152" s="2387">
        <f>E224*E152+F224*F152+G224*G152+H224*H152+I224*I152+J224*J152+K224*K152+L224*L152+M224*M152+N224*N152+O224*O152+P224*P152+Q224*Q152+R224*R152+S224*S152+T224*T152+U224*U152+V224*V152+W224*W152+X224*X152+Y224*Y152+Z224*Z152+AA224*AA152+AB224*AB152+AC224*AC152+AD224*AD152+AE224*AE152+AF224*AF152+AG224*AG152+AH224*AH152+AI224*AI152+AJ224*AJ152+AK224*AK152+AL224*AL152+AM224*AM152+AN224*AN152+AO224*AO152+AP224*AP152+AQ224*AQ152+AR224*AR152+AS224*AS152+AT224*AT152+AU224*AU152+AV224*AV152+AW224*AW152+AX224*AX152+AY224*AY152+AZ224*AZ152+BA224*BA152+BB224*BB152+BC224*BC152+BD224*BD152+BE224*BE152+BF224*BF152+BG224*BG152+BH224*BH152+BI224*BI152+BJ224*BJ152+BK224*BK152+BL224*BL152+BM224*BM152+BN224*BN152+BO224*BO152+BP224*BP152+BQ224*BQ152+BR224*BR152+BS224*BS152+BT224*BT152+BU224*BU152+BV224*BV152+BW224*BW152+BX224*BX152+BY224*BY152+BZ224*BZ152+CA224*CA152+CB224*CB152+CC224*CC152</f>
        <v>0</v>
      </c>
      <c r="CK152" s="2387">
        <f>E225*E152+F225*F152+G225*G152+H225*H152+I225*I152+J225*J152+K225*K152+L225*L152+M225*M152+N225*N152+O225*O152+P225*P152+Q225*Q152+R225*R152+S225*S152+T225*T152+U225*U152+V225*V152+W225*W152+X225*X152+Y225*Y152+Z225*Z152+AA225*AA152+AB225*AB152+AC225*AC152+AD225*AD152+AE225*AE152+AF225*AF152+AG225*AG152+AH225*AH152+AI225*AI152+AJ225*AJ152+AK225*AK152+AL225*AL152+AM225*AM152+AN225*AN152+AO225*AO152+AP225*AP152+AQ225*AQ152+AR225*AR152+AS225*AS152+AT225*AT152+AU225*AU152+AV225*AV152+AW225*AW152+AX225*AX152+AY225*AY152+AZ225*AZ152+BA225*BA152+BB225*BB152+BC225*BC152+BD225*BD152+BE225*BE152+BF225*BF152+BG225*BG152+BH225*BH152+BI225*BI152+BJ225*BJ152+BK225*BK152+BL225*BL152+BM225*BM152+BN225*BN152+BO225*BO152+BP225*BP152+BQ225*BQ152+BR225*BR152+BS225*BS152+BT225*BT152+BU225*BU152+BV225*BV152+BW225*BW152+BX225*BX152+BY225*BY152+BZ225*BZ152+CA225*CA152+CB225*CB152+CC225*CC152</f>
        <v>0</v>
      </c>
      <c r="CL152" s="2387">
        <f>E226*E152+F226*F152+G226*G152+H226*H152+I226*I152+J226*J152+K226*K152+L226*L152+M226*M152+N226*N152+O226*O152+P226*P152+Q226*Q152+R226*R152+S226*S152+T226*T152+U226*U152+V226*V152+W226*W152+X226*X152+Y226*Y152+Z226*Z152+AA226*AA152+AB226*AB152+AC226*AC152+AD226*AD152+AE226*AE152+AF226*AF152+AG226*AG152+AH226*AH152+AI226*AI152+AJ226*AJ152+AK226*AK152+AL226*AL152+AM226*AM152+AN226*AN152+AO226*AO152+AP226*AP152+AQ226*AQ152+AR226*AR152+AS226*AS152+AT226*AT152+AU226*AU152+AV226*AV152+AW226*AW152+AX226*AX152+AY226*AY152+AZ226*AZ152+BA226*BA152+BB226*BB152+BC226*BC152+BD226*BD152+BE226*BE152+BF226*BF152+BG226*BG152+BH226*BH152+BI226*BI152+BJ226*BJ152+BK226*BK152+BL226*BL152+BM226*BM152+BN226*BN152+BO226*BO152+BP226*BP152+BQ226*BQ152+BR226*BR152+BS226*BS152+BT226*BT152+BU226*BU152+BV226*BV152+BW226*BW152+BX226*BX152+BY226*BY152+BZ226*BZ152+CA226*CA152+CB226*CB152+CC226*CC152</f>
        <v>0</v>
      </c>
      <c r="CM152" s="2387">
        <f>E227*E152+F227*F152+G227*G152+H227*H152+I227*I152+J227*J152+K227*K152+L227*L152+M227*M152+N227*N152+O227*O152+P227*P152+Q227*Q152+R227*R152+S227*S152+T227*T152+U227*U152+V227*V152+W227*W152+X227*X152+Y227*Y152+Z227*Z152+AA227*AA152+AB227*AB152+AC227*AC152+AD227*AD152+AE227*AE152+AF227*AF152+AG227*AG152+AH227*AH152+AI227*AI152+AJ227*AJ152+AK227*AK152+AL227*AL152+AM227*AM152+AN227*AN152+AO227*AO152+AP227*AP152+AQ227*AQ152+AR227*AR152+AS227*AS152+AT227*AT152+AU227*AU152+AV227*AV152+AW227*AW152+AX227*AX152+AY227*AY152+AZ227*AZ152+BA227*BA152+BB227*BB152+BC227*BC152+BD227*BD152+BE227*BE152+BF227*BF152+BG227*BG152+BH227*BH152+BI227*BI152+BJ227*BJ152+BK227*BK152+BL227*BL152+BM227*BM152+BN227*BN152+BO227*BO152+BP227*BP152+BQ227*BQ152+BR227*BR152+BS227*BS152+BT227*BT152+BU227*BU152+BV227*BV152+BW227*BW152+BX227*BX152+BY227*BY152+BZ227*BZ152+CA227*CA152+CB227*CB152+CC227*CC152</f>
        <v>0</v>
      </c>
      <c r="CN152" s="2387">
        <f>E228*E152+F228*F152+G228*G152+H228*H152+I228*I152+J228*J152+K228*K152+L228*L152+M228*M152+N228*N152+O228*O152+P228*P152+Q228*Q152+R228*R152+S228*S152+T228*T152+U228*U152+V228*V152+W228*W152+X228*X152+Y228*Y152+Z228*Z152+AA228*AA152+AB228*AB152+AC228*AC152+AD228*AD152+AE228*AE152+AF228*AF152+AG228*AG152+AH228*AH152+AI228*AI152+AJ228*AJ152+AK228*AK152+AL228*AL152+AM228*AM152+AN228*AN152+AO228*AO152+AP228*AP152+AQ228*AQ152+AR228*AR152+AS228*AS152+AT228*AT152+AU228*AU152+AV228*AV152+AW228*AW152+AX228*AX152+AY228*AY152+AZ228*AZ152+BA228*BA152+BB228*BB152+BC228*BC152+BD228*BD152+BE228*BE152+BF228*BF152+BG228*BG152+BH228*BH152+BI228*BI152+BJ228*BJ152+BK228*BK152+BL228*BL152+BM228*BM152+BN228*BN152+BO228*BO152+BP228*BP152+BQ228*BQ152+BR228*BR152+BS228*BS152+BT228*BT152+BU228*BU152+BV228*BV152+BW228*BW152+BX228*BX152+BY228*BY152+BZ228*BZ152+CA228*CA152+CB228*CB152+CC228*CC152</f>
        <v>0</v>
      </c>
      <c r="CO152" s="2387">
        <f>E229*E152+F229*F152+G229*G152+H229*H152+I229*I152+J229*J152+K229*K152+L229*L152+M229*M152+N229*N152+O229*O152+P229*P152+Q229*Q152+R229*R152+S229*S152+T229*T152+U229*U152+V229*V152+W229*W152+X229*X152+Y229*Y152+Z229*Z152+AA229*AA152+AB229*AB152+AC229*AC152+AD229*AD152+AE229*AE152+AF229*AF152+AG229*AG152+AH229*AH152+AI229*AI152+AJ229*AJ152+AK229*AK152+AL229*AL152+AM229*AM152+AN229*AN152+AO229*AO152+AP229*AP152+AQ229*AQ152+AR229*AR152+AS229*AS152+AT229*AT152+AU229*AU152+AV229*AV152+AW229*AW152+AX229*AX152+AY229*AY152+AZ229*AZ152+BA229*BA152+BB229*BB152+BC229*BC152+BD229*BD152+BE229*BE152+BF229*BF152+BG229*BG152+BH229*BH152+BI229*BI152+BJ229*BJ152+BK229*BK152+BL229*BL152+BM229*BM152+BN229*BN152+BO229*BO152+BP229*BP152+BQ229*BQ152+BR229*BR152+BS229*BS152+BT229*BT152+BU229*BU152+BV229*BV152+BW229*BW152+BX229*BX152+BY229*BY152+BZ229*BZ152+CA229*CA152+CB229*CB152+CC229*CC152</f>
        <v>0</v>
      </c>
      <c r="CP152" s="2387">
        <f>E230*E152+F230*F152+G230*G152+H230*H152+I230*I152+J230*J152+K230*K152+L230*L152+M230*M152+N230*N152+O230*O152+P230*P152+Q230*Q152+R230*R152+S230*S152+T230*T152+U230*U152+V230*V152+W230*W152+X230*X152+Y230*Y152+Z230*Z152+AA230*AA152+AB230*AB152+AC230*AC152+AD230*AD152+AE230*AE152+AF230*AF152+AG230*AG152+AH230*AH152+AI230*AI152+AJ230*AJ152+AK230*AK152+AL230*AL152+AM230*AM152+AN230*AN152+AO230*AO152+AP230*AP152+AQ230*AQ152+AR230*AR152+AS230*AS152+AT230*AT152+AU230*AU152+AV230*AV152+AW230*AW152+AX230*AX152+AY230*AY152+AZ230*AZ152+BA230*BA152+BB230*BB152+BC230*BC152+BD230*BD152+BE230*BE152+BF230*BF152+BG230*BG152+BH230*BH152+BI230*BI152+BJ230*BJ152+BK230*BK152+BL230*BL152+BM230*BM152+BN230*BN152+BO230*BO152+BP230*BP152+BQ230*BQ152+BR230*BR152+BS230*BS152+BT230*BT152+BU230*BU152+BV230*BV152+BW230*BW152+BX230*BX152+BY230*BY152+BZ230*BZ152+CA230*CA152+CB230*CB152+CC230*CC152</f>
        <v>0</v>
      </c>
    </row>
    <row r="153" spans="2:94" x14ac:dyDescent="0.25">
      <c r="B153" s="1585">
        <v>34</v>
      </c>
      <c r="C153" s="628" t="s">
        <v>4508</v>
      </c>
      <c r="D153" s="629" t="s">
        <v>4430</v>
      </c>
      <c r="E153" s="1417">
        <f>X_STC/X_CASTO</f>
        <v>4.5999999999999999E-2</v>
      </c>
      <c r="F153" s="974">
        <f>0</f>
        <v>0</v>
      </c>
      <c r="G153" s="974">
        <f>0</f>
        <v>0</v>
      </c>
      <c r="H153" s="974">
        <f>0</f>
        <v>0</v>
      </c>
      <c r="I153" s="974">
        <f>1-f_E</f>
        <v>0.92</v>
      </c>
      <c r="J153" s="974">
        <f>0</f>
        <v>0</v>
      </c>
      <c r="K153" s="974">
        <f>0</f>
        <v>0</v>
      </c>
      <c r="L153" s="974">
        <f>0</f>
        <v>0</v>
      </c>
      <c r="M153" s="1417">
        <f>-X_PHA/X_CASTO</f>
        <v>-0.04</v>
      </c>
      <c r="N153" s="1417">
        <f>-X_GLY/X_CASTO</f>
        <v>-6.0000000000000001E-3</v>
      </c>
      <c r="O153" s="974">
        <f>f_E</f>
        <v>0.08</v>
      </c>
      <c r="P153" s="974">
        <f>0</f>
        <v>0</v>
      </c>
      <c r="Q153" s="974">
        <f>0</f>
        <v>0</v>
      </c>
      <c r="R153" s="974">
        <f>-1</f>
        <v>-1</v>
      </c>
      <c r="S153" s="974">
        <f>0</f>
        <v>0</v>
      </c>
      <c r="T153" s="974">
        <f>0</f>
        <v>0</v>
      </c>
      <c r="U153" s="974">
        <f>0</f>
        <v>0</v>
      </c>
      <c r="V153" s="974">
        <f>0</f>
        <v>0</v>
      </c>
      <c r="W153" s="974">
        <f>0</f>
        <v>0</v>
      </c>
      <c r="X153" s="974">
        <f>0</f>
        <v>0</v>
      </c>
      <c r="Y153" s="974">
        <f>-f_E*(i_N_XE-i_N_BIO)</f>
        <v>8.0000000000000069E-4</v>
      </c>
      <c r="Z153" s="974">
        <f>0</f>
        <v>0</v>
      </c>
      <c r="AA153" s="974">
        <f>0</f>
        <v>0</v>
      </c>
      <c r="AB153" s="974">
        <f>0</f>
        <v>0</v>
      </c>
      <c r="AC153" s="974">
        <f>0</f>
        <v>0</v>
      </c>
      <c r="AD153" s="974">
        <f>(1-f_E)*i_N_BIO</f>
        <v>6.4400000000000013E-2</v>
      </c>
      <c r="AE153" s="974">
        <f>0</f>
        <v>0</v>
      </c>
      <c r="AF153" s="1417">
        <f>X_PP/X_CASTO</f>
        <v>0.12</v>
      </c>
      <c r="AG153" s="1417">
        <f>-X_PP/X_CASTO</f>
        <v>-0.12</v>
      </c>
      <c r="AH153" s="974">
        <f>0</f>
        <v>0</v>
      </c>
      <c r="AI153" s="974">
        <f>(1-f_E)*i_P_BIO</f>
        <v>1.84E-2</v>
      </c>
      <c r="AJ153" s="974">
        <f>0</f>
        <v>0</v>
      </c>
      <c r="AK153" s="974">
        <f>0</f>
        <v>0</v>
      </c>
      <c r="AL153" s="974">
        <f>0</f>
        <v>0</v>
      </c>
      <c r="AM153" s="974">
        <f>0</f>
        <v>0</v>
      </c>
      <c r="AN153" s="1418">
        <f>(1-f_E)*(i_CIT_BIO-i_CIT_SB)+(i_CIT_STC-i_CIT_VFA)*X_STC/X_CASTO</f>
        <v>5.9040000000000002E-2</v>
      </c>
      <c r="AO153" s="1004">
        <f>-i_INORG</f>
        <v>-0.11</v>
      </c>
      <c r="AP153" s="1003">
        <f>i_INORG*(1-i_Ca_INORG*(A_MCa+2*A_MCl)/A_MCa-i_Mg_INORG*(A_MMg+2*A_MCl)/A_MMg)*f_Na</f>
        <v>2.8804303582798466E-2</v>
      </c>
      <c r="AQ153" s="1003">
        <f>i_INORG*(i_Ca_INORG*(2*A_MCl)/A_MCa+i_Mg_INORG*(2*A_MCl)/A_MMg)+i_INORG*(1-i_Ca_INORG*(A_MCa+2*A_MCl)/A_MCa-i_Mg_INORG*(A_MMg+2*A_MCl)/A_MMg)*(1-f_Na)</f>
        <v>7.0195696417201539E-2</v>
      </c>
      <c r="AR153" s="1417">
        <f>i_INORG*i_Ca_INORG+X_PP*A_MCa/A_MP*i_Ca_PP/X_CASTO</f>
        <v>2.102720644313593E-2</v>
      </c>
      <c r="AS153" s="1417">
        <f>i_INORG*i_Mg_INORG+X_PP*A_MMg/A_MP*i_Mg_PP/X_CASTO</f>
        <v>3.8457249216564328E-2</v>
      </c>
      <c r="AT153" s="1417">
        <f>X_PP*A_MK/A_MP*i_K_PP/X_CASTO</f>
        <v>1.5147646481253094E-2</v>
      </c>
      <c r="AU153" s="974">
        <f>0</f>
        <v>0</v>
      </c>
      <c r="AV153" s="974">
        <f>0</f>
        <v>0</v>
      </c>
      <c r="AW153" s="974">
        <f>0</f>
        <v>0</v>
      </c>
      <c r="AX153" s="974">
        <f>0</f>
        <v>0</v>
      </c>
      <c r="AY153" s="974">
        <f>0</f>
        <v>0</v>
      </c>
      <c r="AZ153" s="974">
        <f>0</f>
        <v>0</v>
      </c>
      <c r="BA153" s="974">
        <f>0</f>
        <v>0</v>
      </c>
      <c r="BB153" s="974">
        <f>0</f>
        <v>0</v>
      </c>
      <c r="BC153" s="974">
        <f>0</f>
        <v>0</v>
      </c>
      <c r="BD153" s="974">
        <f>0</f>
        <v>0</v>
      </c>
      <c r="BE153" s="974">
        <f>0</f>
        <v>0</v>
      </c>
      <c r="BF153" s="974">
        <f>0</f>
        <v>0</v>
      </c>
      <c r="BG153" s="974">
        <f>0</f>
        <v>0</v>
      </c>
      <c r="BH153" s="974">
        <f>0</f>
        <v>0</v>
      </c>
      <c r="BI153" s="974">
        <f>0</f>
        <v>0</v>
      </c>
      <c r="BJ153" s="974">
        <f>0</f>
        <v>0</v>
      </c>
      <c r="BK153" s="974">
        <f>0</f>
        <v>0</v>
      </c>
      <c r="BL153" s="1479">
        <f>0</f>
        <v>0</v>
      </c>
      <c r="BM153" s="974">
        <f>0</f>
        <v>0</v>
      </c>
      <c r="BN153" s="974">
        <f>0</f>
        <v>0</v>
      </c>
      <c r="BO153" s="974">
        <f>0</f>
        <v>0</v>
      </c>
      <c r="BP153" s="1418">
        <f>0</f>
        <v>0</v>
      </c>
      <c r="BQ153" s="2367">
        <f>0</f>
        <v>0</v>
      </c>
      <c r="BR153" s="974">
        <f>0</f>
        <v>0</v>
      </c>
      <c r="BS153" s="974">
        <f>0</f>
        <v>0</v>
      </c>
      <c r="BT153" s="974">
        <f>0</f>
        <v>0</v>
      </c>
      <c r="BU153" s="974">
        <f>0</f>
        <v>0</v>
      </c>
      <c r="BV153" s="974">
        <f>0</f>
        <v>0</v>
      </c>
      <c r="BW153" s="974">
        <f>0</f>
        <v>0</v>
      </c>
      <c r="BX153" s="974">
        <f>0</f>
        <v>0</v>
      </c>
      <c r="BY153" s="974">
        <f>0</f>
        <v>0</v>
      </c>
      <c r="BZ153" s="974">
        <f>0</f>
        <v>0</v>
      </c>
      <c r="CA153" s="974">
        <f>0</f>
        <v>0</v>
      </c>
      <c r="CB153" s="974">
        <f>0</f>
        <v>0</v>
      </c>
      <c r="CC153" s="974">
        <f>0</f>
        <v>0</v>
      </c>
      <c r="CD153" s="1652">
        <f>b_CASTO_T*M_RinhXSTC_XCASTO_KSTC*(X_CASTO*M_satSO2_KO2_CASTO+η_bCASTO_anox*(X_GAO+X_PAO*M_RinhXPP_XPAO_KPP)*(M_satSNO2_KNO2_CASTO+M_inhSNO2_KNO2_CASTO*M_satSNO3_KNO3_CASTO)*M_inhSO2_KO2_CASTO)</f>
        <v>26.791831827110222</v>
      </c>
      <c r="CF153" s="2385">
        <f>E220*E153+F220*F153+G220*G153+H220*H153+I220*I153+J220*J153+K220*K153+L220*L153+M220*M153+N220*N153+O220*O153+P220*P153+Q220*Q153+R220*R153+S220*S153+T220*T153+U220*U153+V220*V153+W220*W153+X220*X153+Y220*Y153+Z220*Z153+AA220*AA153+AB220*AB153+AC220*AC153+AD220*AD153+AE220*AE153+AF220*AF153+AG220*AG153+AH220*AH153+AI220*AI153+AJ220*AJ153+AK220*AK153+AL220*AL153+AM220*AM153+AN220*AN153+AO220*AO153+AP220*AP153+AQ220*AQ153+AR220*AR153+AS220*AS153+AT220*AT153+AU220*AU153+AV220*AV153+AW220*AW153+AX220*AX153+AY220*AY153+AZ220*AZ153+BA220*BA153+BB220*BB153+BC220*BC153+BD220*BD153+BE220*BE153+BF220*BF153+BG220*BG153+BH220*BH153+BI220*BI153+BJ220*BJ153+BK220*BK153+BL220*BL153+BM220*BM153+BN220*BN153+BO220*BO153+BP220*BP153+BQ220*BQ153+BR220*BR153+BS220*BS153+BT220*BT153+BU220*BU153+BV220*BV153+BW220*BW153+BX220*BX153+BY220*BY153+BZ220*BZ153+CA220*CA153+CB220*CB153+CC220*CC153</f>
        <v>0</v>
      </c>
      <c r="CG153" s="2385">
        <f>E221*E153+F221*F153+G221*G153+H221*H153+I221*I153+J221*J153+K221*K153+L221*L153+M221*M153+N221*N153+O221*O153+P221*P153+Q221*Q153+R221*R153+S221*S153+T221*T153+U221*U153+V221*V153+W221*W153+X221*X153+Y221*Y153+Z221*Z153+AA221*AA153+AB221*AB153+AC221*AC153+AD221*AD153+AE221*AE153+AF221*AF153+AG221*AG153+AH221*AH153+AI221*AI153+AJ221*AJ153+AK221*AK153+AL221*AL153+AM221*AM153+AN221*AN153+AO221*AO153+AP221*AP153+AQ221*AQ153+AR221*AR153+AS221*AS153+AT221*AT153+AU221*AU153+AV221*AV153+AW221*AW153+AX221*AX153+AY221*AY153+AZ221*AZ153+BA221*BA153+BB221*BB153+BC221*BC153+BD221*BD153+BE221*BE153+BF221*BF153+BG221*BG153+BH221*BH153+BI221*BI153+BJ221*BJ153+BK221*BK153+BL221*BL153+BM221*BM153+BN221*BN153+BO221*BO153+BP221*BP153+BQ221*BQ153+BR221*BR153+BS221*BS153+BT221*BT153+BU221*BU153+BV221*BV153+BW221*BW153+BX221*BX153+BY221*BY153+BZ221*BZ153+CA221*CA153+CB221*CB153+CC221*CC153</f>
        <v>2.0816681711721685E-17</v>
      </c>
      <c r="CH153" s="2386">
        <f>E222*E153+F222*F153+G222*G153+H222*H153+I222*I153+J222*J153+K222*K153+L222*L153+M222*M153+N222*N153+O222*O153+P222*P153+Q222*Q153+R222*R153+S222*S153+T222*T153+U222*U153+V222*V153+W222*W153+X222*X153+Y222*Y153+Z222*Z153+AA222*AA153+AB222*AB153+AC222*AC153+AD222*AD153+AE222*AE153+AF222*AF153+AG222*AG153+AH222*AH153+AI222*AI153+AJ222*AJ153+AK222*AK153+AL222*AL153+AM222*AM153+AN222*AN153+AO222*AO153+AP222*AP153+AQ222*AQ153+AR222*AR153+AS222*AS153+AT222*AT153+AU222*AU153+AV222*AV153+AW222*AW153+AX222*AX153+AY222*AY153+AZ222*AZ153+BA222*BA153+BB222*BB153+BC222*BC153+BD222*BD153+BE222*BE153+BF222*BF153+BG222*BG153+BH222*BH153+BI222*BI153+BJ222*BJ153+BK222*BK153+BL222*BL153+BM222*BM153+BN222*BN153+BO222*BO153+BP222*BP153+BQ222*BQ153+BR222*BR153+BS222*BS153+BT222*BT153+BU222*BU153+BV222*BV153+BW222*BW153+BX222*BX153+BY222*BY153+BZ222*BZ153+CA222*CA153+CB222*CB153+CC222*CC153</f>
        <v>0</v>
      </c>
      <c r="CI153" s="2387">
        <f>E223*E153+F223*F153+G223*G153+H223*H153+I223*I153+J223*J153+K223*K153+L223*L153+M223*M153+N223*N153+O223*O153+P223*P153+Q223*Q153+R223*R153+S223*S153+T223*T153+U223*U153+V223*V153+W223*W153+X223*X153+Y223*Y153+Z223*Z153+AA223*AA153+AB223*AB153+AC223*AC153+AD223*AD153+AE223*AE153+AF223*AF153+AG223*AG153+AH223*AH153+AI223*AI153+AJ223*AJ153+AK223*AK153+AL223*AL153+AM223*AM153+AN223*AN153+AO223*AO153+AP223*AP153+AQ223*AQ153+AR223*AR153+AS223*AS153+AT223*AT153+AU223*AU153+AV223*AV153+AW223*AW153+AX223*AX153+AY223*AY153+AZ223*AZ153+BA223*BA153+BB223*BB153+BC223*BC153+BD223*BD153+BE223*BE153+BF223*BF153+BG223*BG153+BH223*BH153+BI223*BI153+BJ223*BJ153+BK223*BK153+BL223*BL153+BM223*BM153+BN223*BN153+BO223*BO153+BP223*BP153+BQ223*BQ153+BR223*BR153+BS223*BS153+BT223*BT153+BU223*BU153+BV223*BV153+BW223*BW153+BX223*BX153+BY223*BY153+BZ223*BZ153+CA223*CA153+CB223*CB153+CC223*CC153</f>
        <v>0</v>
      </c>
      <c r="CJ153" s="2387">
        <f>E224*E153+F224*F153+G224*G153+H224*H153+I224*I153+J224*J153+K224*K153+L224*L153+M224*M153+N224*N153+O224*O153+P224*P153+Q224*Q153+R224*R153+S224*S153+T224*T153+U224*U153+V224*V153+W224*W153+X224*X153+Y224*Y153+Z224*Z153+AA224*AA153+AB224*AB153+AC224*AC153+AD224*AD153+AE224*AE153+AF224*AF153+AG224*AG153+AH224*AH153+AI224*AI153+AJ224*AJ153+AK224*AK153+AL224*AL153+AM224*AM153+AN224*AN153+AO224*AO153+AP224*AP153+AQ224*AQ153+AR224*AR153+AS224*AS153+AT224*AT153+AU224*AU153+AV224*AV153+AW224*AW153+AX224*AX153+AY224*AY153+AZ224*AZ153+BA224*BA153+BB224*BB153+BC224*BC153+BD224*BD153+BE224*BE153+BF224*BF153+BG224*BG153+BH224*BH153+BI224*BI153+BJ224*BJ153+BK224*BK153+BL224*BL153+BM224*BM153+BN224*BN153+BO224*BO153+BP224*BP153+BQ224*BQ153+BR224*BR153+BS224*BS153+BT224*BT153+BU224*BU153+BV224*BV153+BW224*BW153+BX224*BX153+BY224*BY153+BZ224*BZ153+CA224*CA153+CB224*CB153+CC224*CC153</f>
        <v>0</v>
      </c>
      <c r="CK153" s="2387">
        <f>E225*E153+F225*F153+G225*G153+H225*H153+I225*I153+J225*J153+K225*K153+L225*L153+M225*M153+N225*N153+O225*O153+P225*P153+Q225*Q153+R225*R153+S225*S153+T225*T153+U225*U153+V225*V153+W225*W153+X225*X153+Y225*Y153+Z225*Z153+AA225*AA153+AB225*AB153+AC225*AC153+AD225*AD153+AE225*AE153+AF225*AF153+AG225*AG153+AH225*AH153+AI225*AI153+AJ225*AJ153+AK225*AK153+AL225*AL153+AM225*AM153+AN225*AN153+AO225*AO153+AP225*AP153+AQ225*AQ153+AR225*AR153+AS225*AS153+AT225*AT153+AU225*AU153+AV225*AV153+AW225*AW153+AX225*AX153+AY225*AY153+AZ225*AZ153+BA225*BA153+BB225*BB153+BC225*BC153+BD225*BD153+BE225*BE153+BF225*BF153+BG225*BG153+BH225*BH153+BI225*BI153+BJ225*BJ153+BK225*BK153+BL225*BL153+BM225*BM153+BN225*BN153+BO225*BO153+BP225*BP153+BQ225*BQ153+BR225*BR153+BS225*BS153+BT225*BT153+BU225*BU153+BV225*BV153+BW225*BW153+BX225*BX153+BY225*BY153+BZ225*BZ153+CA225*CA153+CB225*CB153+CC225*CC153</f>
        <v>0</v>
      </c>
      <c r="CL153" s="2387">
        <f>E226*E153+F226*F153+G226*G153+H226*H153+I226*I153+J226*J153+K226*K153+L226*L153+M226*M153+N226*N153+O226*O153+P226*P153+Q226*Q153+R226*R153+S226*S153+T226*T153+U226*U153+V226*V153+W226*W153+X226*X153+Y226*Y153+Z226*Z153+AA226*AA153+AB226*AB153+AC226*AC153+AD226*AD153+AE226*AE153+AF226*AF153+AG226*AG153+AH226*AH153+AI226*AI153+AJ226*AJ153+AK226*AK153+AL226*AL153+AM226*AM153+AN226*AN153+AO226*AO153+AP226*AP153+AQ226*AQ153+AR226*AR153+AS226*AS153+AT226*AT153+AU226*AU153+AV226*AV153+AW226*AW153+AX226*AX153+AY226*AY153+AZ226*AZ153+BA226*BA153+BB226*BB153+BC226*BC153+BD226*BD153+BE226*BE153+BF226*BF153+BG226*BG153+BH226*BH153+BI226*BI153+BJ226*BJ153+BK226*BK153+BL226*BL153+BM226*BM153+BN226*BN153+BO226*BO153+BP226*BP153+BQ226*BQ153+BR226*BR153+BS226*BS153+BT226*BT153+BU226*BU153+BV226*BV153+BW226*BW153+BX226*BX153+BY226*BY153+BZ226*BZ153+CA226*CA153+CB226*CB153+CC226*CC153</f>
        <v>3.4694469519536142E-18</v>
      </c>
      <c r="CM153" s="2387">
        <f>E227*E153+F227*F153+G227*G153+H227*H153+I227*I153+J227*J153+K227*K153+L227*L153+M227*M153+N227*N153+O227*O153+P227*P153+Q227*Q153+R227*R153+S227*S153+T227*T153+U227*U153+V227*V153+W227*W153+X227*X153+Y227*Y153+Z227*Z153+AA227*AA153+AB227*AB153+AC227*AC153+AD227*AD153+AE227*AE153+AF227*AF153+AG227*AG153+AH227*AH153+AI227*AI153+AJ227*AJ153+AK227*AK153+AL227*AL153+AM227*AM153+AN227*AN153+AO227*AO153+AP227*AP153+AQ227*AQ153+AR227*AR153+AS227*AS153+AT227*AT153+AU227*AU153+AV227*AV153+AW227*AW153+AX227*AX153+AY227*AY153+AZ227*AZ153+BA227*BA153+BB227*BB153+BC227*BC153+BD227*BD153+BE227*BE153+BF227*BF153+BG227*BG153+BH227*BH153+BI227*BI153+BJ227*BJ153+BK227*BK153+BL227*BL153+BM227*BM153+BN227*BN153+BO227*BO153+BP227*BP153+BQ227*BQ153+BR227*BR153+BS227*BS153+BT227*BT153+BU227*BU153+BV227*BV153+BW227*BW153+BX227*BX153+BY227*BY153+BZ227*BZ153+CA227*CA153+CB227*CB153+CC227*CC153</f>
        <v>6.9388939039072284E-18</v>
      </c>
      <c r="CN153" s="2387">
        <f>E228*E153+F228*F153+G228*G153+H228*H153+I228*I153+J228*J153+K228*K153+L228*L153+M228*M153+N228*N153+O228*O153+P228*P153+Q228*Q153+R228*R153+S228*S153+T228*T153+U228*U153+V228*V153+W228*W153+X228*X153+Y228*Y153+Z228*Z153+AA228*AA153+AB228*AB153+AC228*AC153+AD228*AD153+AE228*AE153+AF228*AF153+AG228*AG153+AH228*AH153+AI228*AI153+AJ228*AJ153+AK228*AK153+AL228*AL153+AM228*AM153+AN228*AN153+AO228*AO153+AP228*AP153+AQ228*AQ153+AR228*AR153+AS228*AS153+AT228*AT153+AU228*AU153+AV228*AV153+AW228*AW153+AX228*AX153+AY228*AY153+AZ228*AZ153+BA228*BA153+BB228*BB153+BC228*BC153+BD228*BD153+BE228*BE153+BF228*BF153+BG228*BG153+BH228*BH153+BI228*BI153+BJ228*BJ153+BK228*BK153+BL228*BL153+BM228*BM153+BN228*BN153+BO228*BO153+BP228*BP153+BQ228*BQ153+BR228*BR153+BS228*BS153+BT228*BT153+BU228*BU153+BV228*BV153+BW228*BW153+BX228*BX153+BY228*BY153+BZ228*BZ153+CA228*CA153+CB228*CB153+CC228*CC153</f>
        <v>0</v>
      </c>
      <c r="CO153" s="2387">
        <f>E229*E153+F229*F153+G229*G153+H229*H153+I229*I153+J229*J153+K229*K153+L229*L153+M229*M153+N229*N153+O229*O153+P229*P153+Q229*Q153+R229*R153+S229*S153+T229*T153+U229*U153+V229*V153+W229*W153+X229*X153+Y229*Y153+Z229*Z153+AA229*AA153+AB229*AB153+AC229*AC153+AD229*AD153+AE229*AE153+AF229*AF153+AG229*AG153+AH229*AH153+AI229*AI153+AJ229*AJ153+AK229*AK153+AL229*AL153+AM229*AM153+AN229*AN153+AO229*AO153+AP229*AP153+AQ229*AQ153+AR229*AR153+AS229*AS153+AT229*AT153+AU229*AU153+AV229*AV153+AW229*AW153+AX229*AX153+AY229*AY153+AZ229*AZ153+BA229*BA153+BB229*BB153+BC229*BC153+BD229*BD153+BE229*BE153+BF229*BF153+BG229*BG153+BH229*BH153+BI229*BI153+BJ229*BJ153+BK229*BK153+BL229*BL153+BM229*BM153+BN229*BN153+BO229*BO153+BP229*BP153+BQ229*BQ153+BR229*BR153+BS229*BS153+BT229*BT153+BU229*BU153+BV229*BV153+BW229*BW153+BX229*BX153+BY229*BY153+BZ229*BZ153+CA229*CA153+CB229*CB153+CC229*CC153</f>
        <v>0</v>
      </c>
      <c r="CP153" s="2387">
        <f>E230*E153+F230*F153+G230*G153+H230*H153+I230*I153+J230*J153+K230*K153+L230*L153+M230*M153+N230*N153+O230*O153+P230*P153+Q230*Q153+R230*R153+S230*S153+T230*T153+U230*U153+V230*V153+W230*W153+X230*X153+Y230*Y153+Z230*Z153+AA230*AA153+AB230*AB153+AC230*AC153+AD230*AD153+AE230*AE153+AF230*AF153+AG230*AG153+AH230*AH153+AI230*AI153+AJ230*AJ153+AK230*AK153+AL230*AL153+AM230*AM153+AN230*AN153+AO230*AO153+AP230*AP153+AQ230*AQ153+AR230*AR153+AS230*AS153+AT230*AT153+AU230*AU153+AV230*AV153+AW230*AW153+AX230*AX153+AY230*AY153+AZ230*AZ153+BA230*BA153+BB230*BB153+BC230*BC153+BD230*BD153+BE230*BE153+BF230*BF153+BG230*BG153+BH230*BH153+BI230*BI153+BJ230*BJ153+BK230*BK153+BL230*BL153+BM230*BM153+BN230*BN153+BO230*BO153+BP230*BP153+BQ230*BQ153+BR230*BR153+BS230*BS153+BT230*BT153+BU230*BU153+BV230*BV153+BW230*BW153+BX230*BX153+BY230*BY153+BZ230*BZ153+CA230*CA153+CB230*CB153+CC230*CC153</f>
        <v>0</v>
      </c>
    </row>
    <row r="154" spans="2:94" x14ac:dyDescent="0.25">
      <c r="B154" s="1585">
        <v>35</v>
      </c>
      <c r="C154" s="628" t="s">
        <v>4509</v>
      </c>
      <c r="D154" s="629" t="s">
        <v>4431</v>
      </c>
      <c r="E154" s="1417">
        <f>X_STC/X_CASTO</f>
        <v>4.5999999999999999E-2</v>
      </c>
      <c r="F154" s="974">
        <f>0</f>
        <v>0</v>
      </c>
      <c r="G154" s="974">
        <f>0</f>
        <v>0</v>
      </c>
      <c r="H154" s="974">
        <f>0</f>
        <v>0</v>
      </c>
      <c r="I154" s="974">
        <f>1-f_E</f>
        <v>0.92</v>
      </c>
      <c r="J154" s="974">
        <f>0</f>
        <v>0</v>
      </c>
      <c r="K154" s="974">
        <f>0</f>
        <v>0</v>
      </c>
      <c r="L154" s="974">
        <f>0</f>
        <v>0</v>
      </c>
      <c r="M154" s="1417">
        <f>-X_PHA/X_CASTO</f>
        <v>-0.04</v>
      </c>
      <c r="N154" s="1417">
        <f>-X_GLY/X_CASTO</f>
        <v>-6.0000000000000001E-3</v>
      </c>
      <c r="O154" s="974">
        <f>0</f>
        <v>0</v>
      </c>
      <c r="P154" s="974">
        <f>f_E</f>
        <v>0.08</v>
      </c>
      <c r="Q154" s="974">
        <f>0</f>
        <v>0</v>
      </c>
      <c r="R154" s="974">
        <f>-1</f>
        <v>-1</v>
      </c>
      <c r="S154" s="974">
        <f>0</f>
        <v>0</v>
      </c>
      <c r="T154" s="974">
        <f>0</f>
        <v>0</v>
      </c>
      <c r="U154" s="974">
        <f>0</f>
        <v>0</v>
      </c>
      <c r="V154" s="974">
        <f>0</f>
        <v>0</v>
      </c>
      <c r="W154" s="974">
        <f>0</f>
        <v>0</v>
      </c>
      <c r="X154" s="974">
        <f>0</f>
        <v>0</v>
      </c>
      <c r="Y154" s="974">
        <f>-f_E*(i_N_XE-i_N_BIO)</f>
        <v>8.0000000000000069E-4</v>
      </c>
      <c r="Z154" s="974">
        <f>0</f>
        <v>0</v>
      </c>
      <c r="AA154" s="974">
        <f>0</f>
        <v>0</v>
      </c>
      <c r="AB154" s="974">
        <f>0</f>
        <v>0</v>
      </c>
      <c r="AC154" s="974">
        <f>0</f>
        <v>0</v>
      </c>
      <c r="AD154" s="974">
        <f>(1-f_E)*i_N_BIO</f>
        <v>6.4400000000000013E-2</v>
      </c>
      <c r="AE154" s="974">
        <f>0</f>
        <v>0</v>
      </c>
      <c r="AF154" s="1417">
        <f>X_PP/X_CASTO</f>
        <v>0.12</v>
      </c>
      <c r="AG154" s="1417">
        <f>-X_PP/X_CASTO</f>
        <v>-0.12</v>
      </c>
      <c r="AH154" s="974">
        <f>0</f>
        <v>0</v>
      </c>
      <c r="AI154" s="974">
        <f>(1-f_E)*i_P_BIO</f>
        <v>1.84E-2</v>
      </c>
      <c r="AJ154" s="974">
        <f>0</f>
        <v>0</v>
      </c>
      <c r="AK154" s="974">
        <f>0</f>
        <v>0</v>
      </c>
      <c r="AL154" s="974">
        <f>0</f>
        <v>0</v>
      </c>
      <c r="AM154" s="974">
        <f>0</f>
        <v>0</v>
      </c>
      <c r="AN154" s="1418">
        <f>(1-f_E)*(i_CIT_BIO-i_CIT_SB)+(i_CIT_STC-i_CIT_VFA)*X_STC/X_CASTO</f>
        <v>5.9040000000000002E-2</v>
      </c>
      <c r="AO154" s="1004">
        <f>-i_INORG</f>
        <v>-0.11</v>
      </c>
      <c r="AP154" s="1003">
        <f>i_INORG*(1-i_Ca_INORG*(A_MCa+2*A_MCl)/A_MCa-i_Mg_INORG*(A_MMg+2*A_MCl)/A_MMg)*f_Na</f>
        <v>2.8804303582798466E-2</v>
      </c>
      <c r="AQ154" s="1003">
        <f>i_INORG*(i_Ca_INORG*(2*A_MCl)/A_MCa+i_Mg_INORG*(2*A_MCl)/A_MMg)+i_INORG*(1-i_Ca_INORG*(A_MCa+2*A_MCl)/A_MCa-i_Mg_INORG*(A_MMg+2*A_MCl)/A_MMg)*(1-f_Na)</f>
        <v>7.0195696417201539E-2</v>
      </c>
      <c r="AR154" s="1417">
        <f>i_INORG*i_Ca_INORG+X_PP*A_MCa/A_MP*i_Ca_PP/X_CASTO</f>
        <v>2.102720644313593E-2</v>
      </c>
      <c r="AS154" s="1417">
        <f>i_INORG*i_Mg_INORG+X_PP*A_MMg/A_MP*i_Mg_PP/X_CASTO</f>
        <v>3.8457249216564328E-2</v>
      </c>
      <c r="AT154" s="1417">
        <f>X_PP*A_MK/A_MP*i_K_PP/X_CASTO</f>
        <v>1.5147646481253094E-2</v>
      </c>
      <c r="AU154" s="974">
        <f>0</f>
        <v>0</v>
      </c>
      <c r="AV154" s="974">
        <f>0</f>
        <v>0</v>
      </c>
      <c r="AW154" s="974">
        <f>0</f>
        <v>0</v>
      </c>
      <c r="AX154" s="974">
        <f>0</f>
        <v>0</v>
      </c>
      <c r="AY154" s="974">
        <f>0</f>
        <v>0</v>
      </c>
      <c r="AZ154" s="974">
        <f>0</f>
        <v>0</v>
      </c>
      <c r="BA154" s="974">
        <f>0</f>
        <v>0</v>
      </c>
      <c r="BB154" s="974">
        <f>0</f>
        <v>0</v>
      </c>
      <c r="BC154" s="974">
        <f>0</f>
        <v>0</v>
      </c>
      <c r="BD154" s="974">
        <f>0</f>
        <v>0</v>
      </c>
      <c r="BE154" s="974">
        <f>0</f>
        <v>0</v>
      </c>
      <c r="BF154" s="974">
        <f>0</f>
        <v>0</v>
      </c>
      <c r="BG154" s="974">
        <f>0</f>
        <v>0</v>
      </c>
      <c r="BH154" s="974">
        <f>0</f>
        <v>0</v>
      </c>
      <c r="BI154" s="974">
        <f>0</f>
        <v>0</v>
      </c>
      <c r="BJ154" s="974">
        <f>0</f>
        <v>0</v>
      </c>
      <c r="BK154" s="974">
        <f>0</f>
        <v>0</v>
      </c>
      <c r="BL154" s="1479">
        <f>0</f>
        <v>0</v>
      </c>
      <c r="BM154" s="974">
        <f>0</f>
        <v>0</v>
      </c>
      <c r="BN154" s="974">
        <f>0</f>
        <v>0</v>
      </c>
      <c r="BO154" s="974">
        <f>0</f>
        <v>0</v>
      </c>
      <c r="BP154" s="1418">
        <f>0</f>
        <v>0</v>
      </c>
      <c r="BQ154" s="2367">
        <f>0</f>
        <v>0</v>
      </c>
      <c r="BR154" s="974">
        <f>0</f>
        <v>0</v>
      </c>
      <c r="BS154" s="974">
        <f>0</f>
        <v>0</v>
      </c>
      <c r="BT154" s="974">
        <f>0</f>
        <v>0</v>
      </c>
      <c r="BU154" s="974">
        <f>0</f>
        <v>0</v>
      </c>
      <c r="BV154" s="974">
        <f>0</f>
        <v>0</v>
      </c>
      <c r="BW154" s="974">
        <f>0</f>
        <v>0</v>
      </c>
      <c r="BX154" s="974">
        <f>0</f>
        <v>0</v>
      </c>
      <c r="BY154" s="974">
        <f>0</f>
        <v>0</v>
      </c>
      <c r="BZ154" s="974">
        <f>0</f>
        <v>0</v>
      </c>
      <c r="CA154" s="974">
        <f>0</f>
        <v>0</v>
      </c>
      <c r="CB154" s="974">
        <f>0</f>
        <v>0</v>
      </c>
      <c r="CC154" s="974">
        <f>0</f>
        <v>0</v>
      </c>
      <c r="CD154" s="1652">
        <f>b_CASTO_T*(η_bCASTO_ana*(X_PAO*M_RinhXPP_XPAO_KPP+X_GAO*M_RinhXGLY_XGAO_KGLY)*M_inhSNO3_KNO3_CASTO*M_inhSNO2_KNO2_CASTO*M_inhSO2_KO2_CASTO+X_CASTO*m_tox_ana)</f>
        <v>2.019594917729782E-4</v>
      </c>
      <c r="CF154" s="2385">
        <f>E220*E154+F220*F154+G220*G154+H220*H154+I220*I154+J220*J154+K220*K154+L220*L154+M220*M154+N220*N154+O220*O154+P220*P154+Q220*Q154+R220*R154+S220*S154+T220*T154+U220*U154+V220*V154+W220*W154+X220*X154+Y220*Y154+Z220*Z154+AA220*AA154+AB220*AB154+AC220*AC154+AD220*AD154+AE220*AE154+AF220*AF154+AG220*AG154+AH220*AH154+AI220*AI154+AJ220*AJ154+AK220*AK154+AL220*AL154+AM220*AM154+AN220*AN154+AO220*AO154+AP220*AP154+AQ220*AQ154+AR220*AR154+AS220*AS154+AT220*AT154+AU220*AU154+AV220*AV154+AW220*AW154+AX220*AX154+AY220*AY154+AZ220*AZ154+BA220*BA154+BB220*BB154+BC220*BC154+BD220*BD154+BE220*BE154+BF220*BF154+BG220*BG154+BH220*BH154+BI220*BI154+BJ220*BJ154+BK220*BK154+BL220*BL154+BM220*BM154+BN220*BN154+BO220*BO154+BP220*BP154+BQ220*BQ154+BR220*BR154+BS220*BS154+BT220*BT154+BU220*BU154+BV220*BV154+BW220*BW154+BX220*BX154+BY220*BY154+BZ220*BZ154+CA220*CA154+CB220*CB154+CC220*CC154</f>
        <v>0</v>
      </c>
      <c r="CG154" s="2385">
        <f>E221*E154+F221*F154+G221*G154+H221*H154+I221*I154+J221*J154+K221*K154+L221*L154+M221*M154+N221*N154+O221*O154+P221*P154+Q221*Q154+R221*R154+S221*S154+T221*T154+U221*U154+V221*V154+W221*W154+X221*X154+Y221*Y154+Z221*Z154+AA221*AA154+AB221*AB154+AC221*AC154+AD221*AD154+AE221*AE154+AF221*AF154+AG221*AG154+AH221*AH154+AI221*AI154+AJ221*AJ154+AK221*AK154+AL221*AL154+AM221*AM154+AN221*AN154+AO221*AO154+AP221*AP154+AQ221*AQ154+AR221*AR154+AS221*AS154+AT221*AT154+AU221*AU154+AV221*AV154+AW221*AW154+AX221*AX154+AY221*AY154+AZ221*AZ154+BA221*BA154+BB221*BB154+BC221*BC154+BD221*BD154+BE221*BE154+BF221*BF154+BG221*BG154+BH221*BH154+BI221*BI154+BJ221*BJ154+BK221*BK154+BL221*BL154+BM221*BM154+BN221*BN154+BO221*BO154+BP221*BP154+BQ221*BQ154+BR221*BR154+BS221*BS154+BT221*BT154+BU221*BU154+BV221*BV154+BW221*BW154+BX221*BX154+BY221*BY154+BZ221*BZ154+CA221*CA154+CB221*CB154+CC221*CC154</f>
        <v>2.0816681711721685E-17</v>
      </c>
      <c r="CH154" s="2386">
        <f>E222*E154+F222*F154+G222*G154+H222*H154+I222*I154+J222*J154+K222*K154+L222*L154+M222*M154+N222*N154+O222*O154+P222*P154+Q222*Q154+R222*R154+S222*S154+T222*T154+U222*U154+V222*V154+W222*W154+X222*X154+Y222*Y154+Z222*Z154+AA222*AA154+AB222*AB154+AC222*AC154+AD222*AD154+AE222*AE154+AF222*AF154+AG222*AG154+AH222*AH154+AI222*AI154+AJ222*AJ154+AK222*AK154+AL222*AL154+AM222*AM154+AN222*AN154+AO222*AO154+AP222*AP154+AQ222*AQ154+AR222*AR154+AS222*AS154+AT222*AT154+AU222*AU154+AV222*AV154+AW222*AW154+AX222*AX154+AY222*AY154+AZ222*AZ154+BA222*BA154+BB222*BB154+BC222*BC154+BD222*BD154+BE222*BE154+BF222*BF154+BG222*BG154+BH222*BH154+BI222*BI154+BJ222*BJ154+BK222*BK154+BL222*BL154+BM222*BM154+BN222*BN154+BO222*BO154+BP222*BP154+BQ222*BQ154+BR222*BR154+BS222*BS154+BT222*BT154+BU222*BU154+BV222*BV154+BW222*BW154+BX222*BX154+BY222*BY154+BZ222*BZ154+CA222*CA154+CB222*CB154+CC222*CC154</f>
        <v>0</v>
      </c>
      <c r="CI154" s="2387">
        <f>E223*E154+F223*F154+G223*G154+H223*H154+I223*I154+J223*J154+K223*K154+L223*L154+M223*M154+N223*N154+O223*O154+P223*P154+Q223*Q154+R223*R154+S223*S154+T223*T154+U223*U154+V223*V154+W223*W154+X223*X154+Y223*Y154+Z223*Z154+AA223*AA154+AB223*AB154+AC223*AC154+AD223*AD154+AE223*AE154+AF223*AF154+AG223*AG154+AH223*AH154+AI223*AI154+AJ223*AJ154+AK223*AK154+AL223*AL154+AM223*AM154+AN223*AN154+AO223*AO154+AP223*AP154+AQ223*AQ154+AR223*AR154+AS223*AS154+AT223*AT154+AU223*AU154+AV223*AV154+AW223*AW154+AX223*AX154+AY223*AY154+AZ223*AZ154+BA223*BA154+BB223*BB154+BC223*BC154+BD223*BD154+BE223*BE154+BF223*BF154+BG223*BG154+BH223*BH154+BI223*BI154+BJ223*BJ154+BK223*BK154+BL223*BL154+BM223*BM154+BN223*BN154+BO223*BO154+BP223*BP154+BQ223*BQ154+BR223*BR154+BS223*BS154+BT223*BT154+BU223*BU154+BV223*BV154+BW223*BW154+BX223*BX154+BY223*BY154+BZ223*BZ154+CA223*CA154+CB223*CB154+CC223*CC154</f>
        <v>0</v>
      </c>
      <c r="CJ154" s="2387">
        <f>E224*E154+F224*F154+G224*G154+H224*H154+I224*I154+J224*J154+K224*K154+L224*L154+M224*M154+N224*N154+O224*O154+P224*P154+Q224*Q154+R224*R154+S224*S154+T224*T154+U224*U154+V224*V154+W224*W154+X224*X154+Y224*Y154+Z224*Z154+AA224*AA154+AB224*AB154+AC224*AC154+AD224*AD154+AE224*AE154+AF224*AF154+AG224*AG154+AH224*AH154+AI224*AI154+AJ224*AJ154+AK224*AK154+AL224*AL154+AM224*AM154+AN224*AN154+AO224*AO154+AP224*AP154+AQ224*AQ154+AR224*AR154+AS224*AS154+AT224*AT154+AU224*AU154+AV224*AV154+AW224*AW154+AX224*AX154+AY224*AY154+AZ224*AZ154+BA224*BA154+BB224*BB154+BC224*BC154+BD224*BD154+BE224*BE154+BF224*BF154+BG224*BG154+BH224*BH154+BI224*BI154+BJ224*BJ154+BK224*BK154+BL224*BL154+BM224*BM154+BN224*BN154+BO224*BO154+BP224*BP154+BQ224*BQ154+BR224*BR154+BS224*BS154+BT224*BT154+BU224*BU154+BV224*BV154+BW224*BW154+BX224*BX154+BY224*BY154+BZ224*BZ154+CA224*CA154+CB224*CB154+CC224*CC154</f>
        <v>0</v>
      </c>
      <c r="CK154" s="2387">
        <f>E225*E154+F225*F154+G225*G154+H225*H154+I225*I154+J225*J154+K225*K154+L225*L154+M225*M154+N225*N154+O225*O154+P225*P154+Q225*Q154+R225*R154+S225*S154+T225*T154+U225*U154+V225*V154+W225*W154+X225*X154+Y225*Y154+Z225*Z154+AA225*AA154+AB225*AB154+AC225*AC154+AD225*AD154+AE225*AE154+AF225*AF154+AG225*AG154+AH225*AH154+AI225*AI154+AJ225*AJ154+AK225*AK154+AL225*AL154+AM225*AM154+AN225*AN154+AO225*AO154+AP225*AP154+AQ225*AQ154+AR225*AR154+AS225*AS154+AT225*AT154+AU225*AU154+AV225*AV154+AW225*AW154+AX225*AX154+AY225*AY154+AZ225*AZ154+BA225*BA154+BB225*BB154+BC225*BC154+BD225*BD154+BE225*BE154+BF225*BF154+BG225*BG154+BH225*BH154+BI225*BI154+BJ225*BJ154+BK225*BK154+BL225*BL154+BM225*BM154+BN225*BN154+BO225*BO154+BP225*BP154+BQ225*BQ154+BR225*BR154+BS225*BS154+BT225*BT154+BU225*BU154+BV225*BV154+BW225*BW154+BX225*BX154+BY225*BY154+BZ225*BZ154+CA225*CA154+CB225*CB154+CC225*CC154</f>
        <v>0</v>
      </c>
      <c r="CL154" s="2387">
        <f>E226*E154+F226*F154+G226*G154+H226*H154+I226*I154+J226*J154+K226*K154+L226*L154+M226*M154+N226*N154+O226*O154+P226*P154+Q226*Q154+R226*R154+S226*S154+T226*T154+U226*U154+V226*V154+W226*W154+X226*X154+Y226*Y154+Z226*Z154+AA226*AA154+AB226*AB154+AC226*AC154+AD226*AD154+AE226*AE154+AF226*AF154+AG226*AG154+AH226*AH154+AI226*AI154+AJ226*AJ154+AK226*AK154+AL226*AL154+AM226*AM154+AN226*AN154+AO226*AO154+AP226*AP154+AQ226*AQ154+AR226*AR154+AS226*AS154+AT226*AT154+AU226*AU154+AV226*AV154+AW226*AW154+AX226*AX154+AY226*AY154+AZ226*AZ154+BA226*BA154+BB226*BB154+BC226*BC154+BD226*BD154+BE226*BE154+BF226*BF154+BG226*BG154+BH226*BH154+BI226*BI154+BJ226*BJ154+BK226*BK154+BL226*BL154+BM226*BM154+BN226*BN154+BO226*BO154+BP226*BP154+BQ226*BQ154+BR226*BR154+BS226*BS154+BT226*BT154+BU226*BU154+BV226*BV154+BW226*BW154+BX226*BX154+BY226*BY154+BZ226*BZ154+CA226*CA154+CB226*CB154+CC226*CC154</f>
        <v>3.4694469519536142E-18</v>
      </c>
      <c r="CM154" s="2387">
        <f>E227*E154+F227*F154+G227*G154+H227*H154+I227*I154+J227*J154+K227*K154+L227*L154+M227*M154+N227*N154+O227*O154+P227*P154+Q227*Q154+R227*R154+S227*S154+T227*T154+U227*U154+V227*V154+W227*W154+X227*X154+Y227*Y154+Z227*Z154+AA227*AA154+AB227*AB154+AC227*AC154+AD227*AD154+AE227*AE154+AF227*AF154+AG227*AG154+AH227*AH154+AI227*AI154+AJ227*AJ154+AK227*AK154+AL227*AL154+AM227*AM154+AN227*AN154+AO227*AO154+AP227*AP154+AQ227*AQ154+AR227*AR154+AS227*AS154+AT227*AT154+AU227*AU154+AV227*AV154+AW227*AW154+AX227*AX154+AY227*AY154+AZ227*AZ154+BA227*BA154+BB227*BB154+BC227*BC154+BD227*BD154+BE227*BE154+BF227*BF154+BG227*BG154+BH227*BH154+BI227*BI154+BJ227*BJ154+BK227*BK154+BL227*BL154+BM227*BM154+BN227*BN154+BO227*BO154+BP227*BP154+BQ227*BQ154+BR227*BR154+BS227*BS154+BT227*BT154+BU227*BU154+BV227*BV154+BW227*BW154+BX227*BX154+BY227*BY154+BZ227*BZ154+CA227*CA154+CB227*CB154+CC227*CC154</f>
        <v>6.9388939039072284E-18</v>
      </c>
      <c r="CN154" s="2387">
        <f>E228*E154+F228*F154+G228*G154+H228*H154+I228*I154+J228*J154+K228*K154+L228*L154+M228*M154+N228*N154+O228*O154+P228*P154+Q228*Q154+R228*R154+S228*S154+T228*T154+U228*U154+V228*V154+W228*W154+X228*X154+Y228*Y154+Z228*Z154+AA228*AA154+AB228*AB154+AC228*AC154+AD228*AD154+AE228*AE154+AF228*AF154+AG228*AG154+AH228*AH154+AI228*AI154+AJ228*AJ154+AK228*AK154+AL228*AL154+AM228*AM154+AN228*AN154+AO228*AO154+AP228*AP154+AQ228*AQ154+AR228*AR154+AS228*AS154+AT228*AT154+AU228*AU154+AV228*AV154+AW228*AW154+AX228*AX154+AY228*AY154+AZ228*AZ154+BA228*BA154+BB228*BB154+BC228*BC154+BD228*BD154+BE228*BE154+BF228*BF154+BG228*BG154+BH228*BH154+BI228*BI154+BJ228*BJ154+BK228*BK154+BL228*BL154+BM228*BM154+BN228*BN154+BO228*BO154+BP228*BP154+BQ228*BQ154+BR228*BR154+BS228*BS154+BT228*BT154+BU228*BU154+BV228*BV154+BW228*BW154+BX228*BX154+BY228*BY154+BZ228*BZ154+CA228*CA154+CB228*CB154+CC228*CC154</f>
        <v>0</v>
      </c>
      <c r="CO154" s="2387">
        <f>E229*E154+F229*F154+G229*G154+H229*H154+I229*I154+J229*J154+K229*K154+L229*L154+M229*M154+N229*N154+O229*O154+P229*P154+Q229*Q154+R229*R154+S229*S154+T229*T154+U229*U154+V229*V154+W229*W154+X229*X154+Y229*Y154+Z229*Z154+AA229*AA154+AB229*AB154+AC229*AC154+AD229*AD154+AE229*AE154+AF229*AF154+AG229*AG154+AH229*AH154+AI229*AI154+AJ229*AJ154+AK229*AK154+AL229*AL154+AM229*AM154+AN229*AN154+AO229*AO154+AP229*AP154+AQ229*AQ154+AR229*AR154+AS229*AS154+AT229*AT154+AU229*AU154+AV229*AV154+AW229*AW154+AX229*AX154+AY229*AY154+AZ229*AZ154+BA229*BA154+BB229*BB154+BC229*BC154+BD229*BD154+BE229*BE154+BF229*BF154+BG229*BG154+BH229*BH154+BI229*BI154+BJ229*BJ154+BK229*BK154+BL229*BL154+BM229*BM154+BN229*BN154+BO229*BO154+BP229*BP154+BQ229*BQ154+BR229*BR154+BS229*BS154+BT229*BT154+BU229*BU154+BV229*BV154+BW229*BW154+BX229*BX154+BY229*BY154+BZ229*BZ154+CA229*CA154+CB229*CB154+CC229*CC154</f>
        <v>0</v>
      </c>
      <c r="CP154" s="2387">
        <f>E230*E154+F230*F154+G230*G154+H230*H154+I230*I154+J230*J154+K230*K154+L230*L154+M230*M154+N230*N154+O230*O154+P230*P154+Q230*Q154+R230*R154+S230*S154+T230*T154+U230*U154+V230*V154+W230*W154+X230*X154+Y230*Y154+Z230*Z154+AA230*AA154+AB230*AB154+AC230*AC154+AD230*AD154+AE230*AE154+AF230*AF154+AG230*AG154+AH230*AH154+AI230*AI154+AJ230*AJ154+AK230*AK154+AL230*AL154+AM230*AM154+AN230*AN154+AO230*AO154+AP230*AP154+AQ230*AQ154+AR230*AR154+AS230*AS154+AT230*AT154+AU230*AU154+AV230*AV154+AW230*AW154+AX230*AX154+AY230*AY154+AZ230*AZ154+BA230*BA154+BB230*BB154+BC230*BC154+BD230*BD154+BE230*BE154+BF230*BF154+BG230*BG154+BH230*BH154+BI230*BI154+BJ230*BJ154+BK230*BK154+BL230*BL154+BM230*BM154+BN230*BN154+BO230*BO154+BP230*BP154+BQ230*BQ154+BR230*BR154+BS230*BS154+BT230*BT154+BU230*BU154+BV230*BV154+BW230*BW154+BX230*BX154+BY230*BY154+BZ230*BZ154+CA230*CA154+CB230*CB154+CC230*CC154</f>
        <v>0</v>
      </c>
    </row>
    <row r="155" spans="2:94" x14ac:dyDescent="0.25">
      <c r="B155" s="2402">
        <v>36</v>
      </c>
      <c r="C155" s="2403" t="s">
        <v>4510</v>
      </c>
      <c r="D155" s="2404" t="s">
        <v>4801</v>
      </c>
      <c r="E155" s="2367">
        <f>0</f>
        <v>0</v>
      </c>
      <c r="F155" s="2367">
        <f>0</f>
        <v>0</v>
      </c>
      <c r="G155" s="2367">
        <f>0</f>
        <v>0</v>
      </c>
      <c r="H155" s="2367">
        <f>0</f>
        <v>0</v>
      </c>
      <c r="I155" s="2367">
        <f>0</f>
        <v>0</v>
      </c>
      <c r="J155" s="2367">
        <f>0</f>
        <v>0</v>
      </c>
      <c r="K155" s="2367">
        <f>0</f>
        <v>0</v>
      </c>
      <c r="L155" s="2367">
        <f>0</f>
        <v>0</v>
      </c>
      <c r="M155" s="2367">
        <f>0</f>
        <v>0</v>
      </c>
      <c r="N155" s="2367">
        <f>0</f>
        <v>0</v>
      </c>
      <c r="O155" s="2367">
        <f>0</f>
        <v>0</v>
      </c>
      <c r="P155" s="2367">
        <f>0</f>
        <v>0</v>
      </c>
      <c r="Q155" s="2366">
        <f>0</f>
        <v>0</v>
      </c>
      <c r="R155" s="2367">
        <f>0</f>
        <v>0</v>
      </c>
      <c r="S155" s="2367">
        <f>0</f>
        <v>0</v>
      </c>
      <c r="T155" s="2367">
        <f>0</f>
        <v>0</v>
      </c>
      <c r="U155" s="2367">
        <f>0</f>
        <v>0</v>
      </c>
      <c r="V155" s="2367">
        <f>0</f>
        <v>0</v>
      </c>
      <c r="W155" s="2366">
        <f>0</f>
        <v>0</v>
      </c>
      <c r="X155" s="2367">
        <f>0</f>
        <v>0</v>
      </c>
      <c r="Y155" s="2367">
        <f>0</f>
        <v>0</v>
      </c>
      <c r="Z155" s="2367">
        <f>0</f>
        <v>0</v>
      </c>
      <c r="AA155" s="2367">
        <f>0</f>
        <v>0</v>
      </c>
      <c r="AB155" s="2367">
        <f>0</f>
        <v>0</v>
      </c>
      <c r="AC155" s="2366">
        <f>0</f>
        <v>0</v>
      </c>
      <c r="AD155" s="2367">
        <f>0</f>
        <v>0</v>
      </c>
      <c r="AE155" s="2367">
        <f>0</f>
        <v>0</v>
      </c>
      <c r="AF155" s="2367">
        <f>0</f>
        <v>0</v>
      </c>
      <c r="AG155" s="2367">
        <f>0</f>
        <v>0</v>
      </c>
      <c r="AH155" s="2367">
        <f>0</f>
        <v>0</v>
      </c>
      <c r="AI155" s="2367">
        <f>0</f>
        <v>0</v>
      </c>
      <c r="AJ155" s="2367">
        <f>0</f>
        <v>0</v>
      </c>
      <c r="AK155" s="2367">
        <f>0</f>
        <v>0</v>
      </c>
      <c r="AL155" s="2367">
        <f>0</f>
        <v>0</v>
      </c>
      <c r="AM155" s="2367">
        <f>0</f>
        <v>0</v>
      </c>
      <c r="AN155" s="2367">
        <f>0</f>
        <v>0</v>
      </c>
      <c r="AO155" s="2367">
        <f>0</f>
        <v>0</v>
      </c>
      <c r="AP155" s="2366">
        <f>0</f>
        <v>0</v>
      </c>
      <c r="AQ155" s="2367">
        <f>0</f>
        <v>0</v>
      </c>
      <c r="AR155" s="2366">
        <f>0</f>
        <v>0</v>
      </c>
      <c r="AS155" s="2367">
        <f>0</f>
        <v>0</v>
      </c>
      <c r="AT155" s="2367">
        <f>0</f>
        <v>0</v>
      </c>
      <c r="AU155" s="2366">
        <f>0</f>
        <v>0</v>
      </c>
      <c r="AV155" s="2366">
        <f>0</f>
        <v>0</v>
      </c>
      <c r="AW155" s="2367">
        <f>0</f>
        <v>0</v>
      </c>
      <c r="AX155" s="2366">
        <f>0</f>
        <v>0</v>
      </c>
      <c r="AY155" s="2366">
        <f>0</f>
        <v>0</v>
      </c>
      <c r="AZ155" s="2367">
        <f>0</f>
        <v>0</v>
      </c>
      <c r="BA155" s="2367">
        <f>0</f>
        <v>0</v>
      </c>
      <c r="BB155" s="2366">
        <f>0</f>
        <v>0</v>
      </c>
      <c r="BC155" s="2366">
        <f>0</f>
        <v>0</v>
      </c>
      <c r="BD155" s="2367">
        <f>0</f>
        <v>0</v>
      </c>
      <c r="BE155" s="2366">
        <f>0</f>
        <v>0</v>
      </c>
      <c r="BF155" s="2366">
        <f>0</f>
        <v>0</v>
      </c>
      <c r="BG155" s="2366">
        <f>0</f>
        <v>0</v>
      </c>
      <c r="BH155" s="2366">
        <f>0</f>
        <v>0</v>
      </c>
      <c r="BI155" s="2366">
        <f>0</f>
        <v>0</v>
      </c>
      <c r="BJ155" s="2366">
        <f>0</f>
        <v>0</v>
      </c>
      <c r="BK155" s="2366">
        <f>0</f>
        <v>0</v>
      </c>
      <c r="BL155" s="2366">
        <f>0</f>
        <v>0</v>
      </c>
      <c r="BM155" s="2366">
        <f>0</f>
        <v>0</v>
      </c>
      <c r="BN155" s="2366">
        <f>0</f>
        <v>0</v>
      </c>
      <c r="BO155" s="2366">
        <f>0</f>
        <v>0</v>
      </c>
      <c r="BP155" s="2366">
        <f>0</f>
        <v>0</v>
      </c>
      <c r="BQ155" s="2366">
        <f>1</f>
        <v>1</v>
      </c>
      <c r="BR155" s="2366">
        <f>0</f>
        <v>0</v>
      </c>
      <c r="BS155" s="2366">
        <f>0</f>
        <v>0</v>
      </c>
      <c r="BT155" s="2366">
        <f>0</f>
        <v>0</v>
      </c>
      <c r="BU155" s="2366">
        <f>0</f>
        <v>0</v>
      </c>
      <c r="BV155" s="2366">
        <f>0</f>
        <v>0</v>
      </c>
      <c r="BW155" s="2366">
        <f>0</f>
        <v>0</v>
      </c>
      <c r="BX155" s="2366">
        <f>0</f>
        <v>0</v>
      </c>
      <c r="BY155" s="2366">
        <f>0</f>
        <v>0</v>
      </c>
      <c r="BZ155" s="2366">
        <f>0</f>
        <v>0</v>
      </c>
      <c r="CA155" s="2366">
        <f>0</f>
        <v>0</v>
      </c>
      <c r="CB155" s="2366">
        <f>0</f>
        <v>0</v>
      </c>
      <c r="CC155" s="2408">
        <f>0</f>
        <v>0</v>
      </c>
      <c r="CD155" s="2411">
        <f>k_ORPswitch*(O_RP+o_ffsetORPswitch-S_ORPswitch)</f>
        <v>285.36585365853671</v>
      </c>
      <c r="CF155" s="2385">
        <f>E220*E155+F220*F155+G220*G155+H220*H155+I220*I155+J220*J155+K220*K155+L220*L155+M220*M155+N220*N155+O220*O155+P220*P155+Q220*Q155+R220*R155+S220*S155+T220*T155+U220*U155+V220*V155+W220*W155+X220*X155+Y220*Y155+Z220*Z155+AA220*AA155+AB220*AB155+AC220*AC155+AD220*AD155+AE220*AE155+AF220*AF155+AG220*AG155+AH220*AH155+AI220*AI155+AJ220*AJ155+AK220*AK155+AL220*AL155+AM220*AM155+AN220*AN155+AO220*AO155+AP220*AP155+AQ220*AQ155+AR220*AR155+AS220*AS155+AT220*AT155+AU220*AU155+AV220*AV155+AW220*AW155+AX220*AX155+AY220*AY155+AZ220*AZ155+BA220*BA155+BB220*BB155+BC220*BC155+BD220*BD155+BE220*BE155+BF220*BF155+BG220*BG155+BH220*BH155+BI220*BI155+BJ220*BJ155+BK220*BK155+BL220*BL155+BM220*BM155+BN220*BN155+BO220*BO155+BP220*BP155+BQ220*BQ155+BR220*BR155+BS220*BS155+BT220*BT155+BU220*BU155+BV220*BV155+BW220*BW155+BX220*BX155+BY220*BY155+BZ220*BZ155+CA220*CA155+CB220*CB155+CC220*CC155</f>
        <v>0</v>
      </c>
      <c r="CG155" s="2385">
        <f>E221*E155+F221*F155+G221*G155+H221*H155+I221*I155+J221*J155+K221*K155+L221*L155+M221*M155+N221*N155+O221*O155+P221*P155+Q221*Q155+R221*R155+S221*S155+T221*T155+U221*U155+V221*V155+W221*W155+X221*X155+Y221*Y155+Z221*Z155+AA221*AA155+AB221*AB155+AC221*AC155+AD221*AD155+AE221*AE155+AF221*AF155+AG221*AG155+AH221*AH155+AI221*AI155+AJ221*AJ155+AK221*AK155+AL221*AL155+AM221*AM155+AN221*AN155+AO221*AO155+AP221*AP155+AQ221*AQ155+AR221*AR155+AS221*AS155+AT221*AT155+AU221*AU155+AV221*AV155+AW221*AW155+AX221*AX155+AY221*AY155+AZ221*AZ155+BA221*BA155+BB221*BB155+BC221*BC155+BD221*BD155+BE221*BE155+BF221*BF155+BG221*BG155+BH221*BH155+BI221*BI155+BJ221*BJ155+BK221*BK155+BL221*BL155+BM221*BM155+BN221*BN155+BO221*BO155+BP221*BP155+BQ221*BQ155+BR221*BR155+BS221*BS155+BT221*BT155+BU221*BU155+BV221*BV155+BW221*BW155+BX221*BX155+BY221*BY155+BZ221*BZ155+CA221*CA155+CB221*CB155+CC221*CC155</f>
        <v>0</v>
      </c>
      <c r="CH155" s="2386">
        <f>E222*E155+F222*F155+G222*G155+H222*H155+I222*I155+J222*J155+K222*K155+L222*L155+M222*M155+N222*N155+O222*O155+P222*P155+Q222*Q155+R222*R155+S222*S155+T222*T155+U222*U155+V222*V155+W222*W155+X222*X155+Y222*Y155+Z222*Z155+AA222*AA155+AB222*AB155+AC222*AC155+AD222*AD155+AE222*AE155+AF222*AF155+AG222*AG155+AH222*AH155+AI222*AI155+AJ222*AJ155+AK222*AK155+AL222*AL155+AM222*AM155+AN222*AN155+AO222*AO155+AP222*AP155+AQ222*AQ155+AR222*AR155+AS222*AS155+AT222*AT155+AU222*AU155+AV222*AV155+AW222*AW155+AX222*AX155+AY222*AY155+AZ222*AZ155+BA222*BA155+BB222*BB155+BC222*BC155+BD222*BD155+BE222*BE155+BF222*BF155+BG222*BG155+BH222*BH155+BI222*BI155+BJ222*BJ155+BK222*BK155+BL222*BL155+BM222*BM155+BN222*BN155+BO222*BO155+BP222*BP155+BQ222*BQ155+BR222*BR155+BS222*BS155+BT222*BT155+BU222*BU155+BV222*BV155+BW222*BW155+BX222*BX155+BY222*BY155+BZ222*BZ155+CA222*CA155+CB222*CB155+CC222*CC155</f>
        <v>0</v>
      </c>
      <c r="CI155" s="2387">
        <f>E223*E155+F223*F155+G223*G155+H223*H155+I223*I155+J223*J155+K223*K155+L223*L155+M223*M155+N223*N155+O223*O155+P223*P155+Q223*Q155+R223*R155+S223*S155+T223*T155+U223*U155+V223*V155+W223*W155+X223*X155+Y223*Y155+Z223*Z155+AA223*AA155+AB223*AB155+AC223*AC155+AD223*AD155+AE223*AE155+AF223*AF155+AG223*AG155+AH223*AH155+AI223*AI155+AJ223*AJ155+AK223*AK155+AL223*AL155+AM223*AM155+AN223*AN155+AO223*AO155+AP223*AP155+AQ223*AQ155+AR223*AR155+AS223*AS155+AT223*AT155+AU223*AU155+AV223*AV155+AW223*AW155+AX223*AX155+AY223*AY155+AZ223*AZ155+BA223*BA155+BB223*BB155+BC223*BC155+BD223*BD155+BE223*BE155+BF223*BF155+BG223*BG155+BH223*BH155+BI223*BI155+BJ223*BJ155+BK223*BK155+BL223*BL155+BM223*BM155+BN223*BN155+BO223*BO155+BP223*BP155+BQ223*BQ155+BR223*BR155+BS223*BS155+BT223*BT155+BU223*BU155+BV223*BV155+BW223*BW155+BX223*BX155+BY223*BY155+BZ223*BZ155+CA223*CA155+CB223*CB155+CC223*CC155</f>
        <v>0</v>
      </c>
      <c r="CJ155" s="2387">
        <f>E224*E155+F224*F155+G224*G155+H224*H155+I224*I155+J224*J155+K224*K155+L224*L155+M224*M155+N224*N155+O224*O155+P224*P155+Q224*Q155+R224*R155+S224*S155+T224*T155+U224*U155+V224*V155+W224*W155+X224*X155+Y224*Y155+Z224*Z155+AA224*AA155+AB224*AB155+AC224*AC155+AD224*AD155+AE224*AE155+AF224*AF155+AG224*AG155+AH224*AH155+AI224*AI155+AJ224*AJ155+AK224*AK155+AL224*AL155+AM224*AM155+AN224*AN155+AO224*AO155+AP224*AP155+AQ224*AQ155+AR224*AR155+AS224*AS155+AT224*AT155+AU224*AU155+AV224*AV155+AW224*AW155+AX224*AX155+AY224*AY155+AZ224*AZ155+BA224*BA155+BB224*BB155+BC224*BC155+BD224*BD155+BE224*BE155+BF224*BF155+BG224*BG155+BH224*BH155+BI224*BI155+BJ224*BJ155+BK224*BK155+BL224*BL155+BM224*BM155+BN224*BN155+BO224*BO155+BP224*BP155+BQ224*BQ155+BR224*BR155+BS224*BS155+BT224*BT155+BU224*BU155+BV224*BV155+BW224*BW155+BX224*BX155+BY224*BY155+BZ224*BZ155+CA224*CA155+CB224*CB155+CC224*CC155</f>
        <v>0</v>
      </c>
      <c r="CK155" s="2387">
        <f>E225*E155+F225*F155+G225*G155+H225*H155+I225*I155+J225*J155+K225*K155+L225*L155+M225*M155+N225*N155+O225*O155+P225*P155+Q225*Q155+R225*R155+S225*S155+T225*T155+U225*U155+V225*V155+W225*W155+X225*X155+Y225*Y155+Z225*Z155+AA225*AA155+AB225*AB155+AC225*AC155+AD225*AD155+AE225*AE155+AF225*AF155+AG225*AG155+AH225*AH155+AI225*AI155+AJ225*AJ155+AK225*AK155+AL225*AL155+AM225*AM155+AN225*AN155+AO225*AO155+AP225*AP155+AQ225*AQ155+AR225*AR155+AS225*AS155+AT225*AT155+AU225*AU155+AV225*AV155+AW225*AW155+AX225*AX155+AY225*AY155+AZ225*AZ155+BA225*BA155+BB225*BB155+BC225*BC155+BD225*BD155+BE225*BE155+BF225*BF155+BG225*BG155+BH225*BH155+BI225*BI155+BJ225*BJ155+BK225*BK155+BL225*BL155+BM225*BM155+BN225*BN155+BO225*BO155+BP225*BP155+BQ225*BQ155+BR225*BR155+BS225*BS155+BT225*BT155+BU225*BU155+BV225*BV155+BW225*BW155+BX225*BX155+BY225*BY155+BZ225*BZ155+CA225*CA155+CB225*CB155+CC225*CC155</f>
        <v>0</v>
      </c>
      <c r="CL155" s="2387">
        <f>E226*E155+F226*F155+G226*G155+H226*H155+I226*I155+J226*J155+K226*K155+L226*L155+M226*M155+N226*N155+O226*O155+P226*P155+Q226*Q155+R226*R155+S226*S155+T226*T155+U226*U155+V226*V155+W226*W155+X226*X155+Y226*Y155+Z226*Z155+AA226*AA155+AB226*AB155+AC226*AC155+AD226*AD155+AE226*AE155+AF226*AF155+AG226*AG155+AH226*AH155+AI226*AI155+AJ226*AJ155+AK226*AK155+AL226*AL155+AM226*AM155+AN226*AN155+AO226*AO155+AP226*AP155+AQ226*AQ155+AR226*AR155+AS226*AS155+AT226*AT155+AU226*AU155+AV226*AV155+AW226*AW155+AX226*AX155+AY226*AY155+AZ226*AZ155+BA226*BA155+BB226*BB155+BC226*BC155+BD226*BD155+BE226*BE155+BF226*BF155+BG226*BG155+BH226*BH155+BI226*BI155+BJ226*BJ155+BK226*BK155+BL226*BL155+BM226*BM155+BN226*BN155+BO226*BO155+BP226*BP155+BQ226*BQ155+BR226*BR155+BS226*BS155+BT226*BT155+BU226*BU155+BV226*BV155+BW226*BW155+BX226*BX155+BY226*BY155+BZ226*BZ155+CA226*CA155+CB226*CB155+CC226*CC155</f>
        <v>0</v>
      </c>
      <c r="CM155" s="2387">
        <f>E227*E155+F227*F155+G227*G155+H227*H155+I227*I155+J227*J155+K227*K155+L227*L155+M227*M155+N227*N155+O227*O155+P227*P155+Q227*Q155+R227*R155+S227*S155+T227*T155+U227*U155+V227*V155+W227*W155+X227*X155+Y227*Y155+Z227*Z155+AA227*AA155+AB227*AB155+AC227*AC155+AD227*AD155+AE227*AE155+AF227*AF155+AG227*AG155+AH227*AH155+AI227*AI155+AJ227*AJ155+AK227*AK155+AL227*AL155+AM227*AM155+AN227*AN155+AO227*AO155+AP227*AP155+AQ227*AQ155+AR227*AR155+AS227*AS155+AT227*AT155+AU227*AU155+AV227*AV155+AW227*AW155+AX227*AX155+AY227*AY155+AZ227*AZ155+BA227*BA155+BB227*BB155+BC227*BC155+BD227*BD155+BE227*BE155+BF227*BF155+BG227*BG155+BH227*BH155+BI227*BI155+BJ227*BJ155+BK227*BK155+BL227*BL155+BM227*BM155+BN227*BN155+BO227*BO155+BP227*BP155+BQ227*BQ155+BR227*BR155+BS227*BS155+BT227*BT155+BU227*BU155+BV227*BV155+BW227*BW155+BX227*BX155+BY227*BY155+BZ227*BZ155+CA227*CA155+CB227*CB155+CC227*CC155</f>
        <v>0</v>
      </c>
      <c r="CN155" s="2387">
        <f>E228*E155+F228*F155+G228*G155+H228*H155+I228*I155+J228*J155+K228*K155+L228*L155+M228*M155+N228*N155+O228*O155+P228*P155+Q228*Q155+R228*R155+S228*S155+T228*T155+U228*U155+V228*V155+W228*W155+X228*X155+Y228*Y155+Z228*Z155+AA228*AA155+AB228*AB155+AC228*AC155+AD228*AD155+AE228*AE155+AF228*AF155+AG228*AG155+AH228*AH155+AI228*AI155+AJ228*AJ155+AK228*AK155+AL228*AL155+AM228*AM155+AN228*AN155+AO228*AO155+AP228*AP155+AQ228*AQ155+AR228*AR155+AS228*AS155+AT228*AT155+AU228*AU155+AV228*AV155+AW228*AW155+AX228*AX155+AY228*AY155+AZ228*AZ155+BA228*BA155+BB228*BB155+BC228*BC155+BD228*BD155+BE228*BE155+BF228*BF155+BG228*BG155+BH228*BH155+BI228*BI155+BJ228*BJ155+BK228*BK155+BL228*BL155+BM228*BM155+BN228*BN155+BO228*BO155+BP228*BP155+BQ228*BQ155+BR228*BR155+BS228*BS155+BT228*BT155+BU228*BU155+BV228*BV155+BW228*BW155+BX228*BX155+BY228*BY155+BZ228*BZ155+CA228*CA155+CB228*CB155+CC228*CC155</f>
        <v>0</v>
      </c>
      <c r="CO155" s="2387">
        <f>E229*E155+F229*F155+G229*G155+H229*H155+I229*I155+J229*J155+K229*K155+L229*L155+M229*M155+N229*N155+O229*O155+P229*P155+Q229*Q155+R229*R155+S229*S155+T229*T155+U229*U155+V229*V155+W229*W155+X229*X155+Y229*Y155+Z229*Z155+AA229*AA155+AB229*AB155+AC229*AC155+AD229*AD155+AE229*AE155+AF229*AF155+AG229*AG155+AH229*AH155+AI229*AI155+AJ229*AJ155+AK229*AK155+AL229*AL155+AM229*AM155+AN229*AN155+AO229*AO155+AP229*AP155+AQ229*AQ155+AR229*AR155+AS229*AS155+AT229*AT155+AU229*AU155+AV229*AV155+AW229*AW155+AX229*AX155+AY229*AY155+AZ229*AZ155+BA229*BA155+BB229*BB155+BC229*BC155+BD229*BD155+BE229*BE155+BF229*BF155+BG229*BG155+BH229*BH155+BI229*BI155+BJ229*BJ155+BK229*BK155+BL229*BL155+BM229*BM155+BN229*BN155+BO229*BO155+BP229*BP155+BQ229*BQ155+BR229*BR155+BS229*BS155+BT229*BT155+BU229*BU155+BV229*BV155+BW229*BW155+BX229*BX155+BY229*BY155+BZ229*BZ155+CA229*CA155+CB229*CB155+CC229*CC155</f>
        <v>0</v>
      </c>
      <c r="CP155" s="2387">
        <f>E230*E155+F230*F155+G230*G155+H230*H155+I230*I155+J230*J155+K230*K155+L230*L155+M230*M155+N230*N155+O230*O155+P230*P155+Q230*Q155+R230*R155+S230*S155+T230*T155+U230*U155+V230*V155+W230*W155+X230*X155+Y230*Y155+Z230*Z155+AA230*AA155+AB230*AB155+AC230*AC155+AD230*AD155+AE230*AE155+AF230*AF155+AG230*AG155+AH230*AH155+AI230*AI155+AJ230*AJ155+AK230*AK155+AL230*AL155+AM230*AM155+AN230*AN155+AO230*AO155+AP230*AP155+AQ230*AQ155+AR230*AR155+AS230*AS155+AT230*AT155+AU230*AU155+AV230*AV155+AW230*AW155+AX230*AX155+AY230*AY155+AZ230*AZ155+BA230*BA155+BB230*BB155+BC230*BC155+BD230*BD155+BE230*BE155+BF230*BF155+BG230*BG155+BH230*BH155+BI230*BI155+BJ230*BJ155+BK230*BK155+BL230*BL155+BM230*BM155+BN230*BN155+BO230*BO155+BP230*BP155+BQ230*BQ155+BR230*BR155+BS230*BS155+BT230*BT155+BU230*BU155+BV230*BV155+BW230*BW155+BX230*BX155+BY230*BY155+BZ230*BZ155+CA230*CA155+CB230*CB155+CC230*CC155</f>
        <v>0</v>
      </c>
    </row>
    <row r="156" spans="2:94" x14ac:dyDescent="0.25">
      <c r="B156" s="2396">
        <v>37</v>
      </c>
      <c r="C156" s="2397" t="s">
        <v>296</v>
      </c>
      <c r="D156" s="2398" t="s">
        <v>2263</v>
      </c>
      <c r="E156" s="2406">
        <f>0</f>
        <v>0</v>
      </c>
      <c r="F156" s="2368">
        <f>0</f>
        <v>0</v>
      </c>
      <c r="G156" s="2368">
        <f>0</f>
        <v>0</v>
      </c>
      <c r="H156" s="2368">
        <f>0</f>
        <v>0</v>
      </c>
      <c r="I156" s="2368">
        <f>0</f>
        <v>0</v>
      </c>
      <c r="J156" s="2368">
        <f>0</f>
        <v>0</v>
      </c>
      <c r="K156" s="2368">
        <f>0</f>
        <v>0</v>
      </c>
      <c r="L156" s="2368">
        <f>0</f>
        <v>0</v>
      </c>
      <c r="M156" s="2406">
        <f>0</f>
        <v>0</v>
      </c>
      <c r="N156" s="2406">
        <f>0</f>
        <v>0</v>
      </c>
      <c r="O156" s="2368">
        <f>0</f>
        <v>0</v>
      </c>
      <c r="P156" s="2368">
        <f>0</f>
        <v>0</v>
      </c>
      <c r="Q156" s="2368">
        <f>0</f>
        <v>0</v>
      </c>
      <c r="R156" s="2368">
        <f>0</f>
        <v>0</v>
      </c>
      <c r="S156" s="2368">
        <f>0</f>
        <v>0</v>
      </c>
      <c r="T156" s="2368">
        <f>1</f>
        <v>1</v>
      </c>
      <c r="U156" s="2368">
        <f>0</f>
        <v>0</v>
      </c>
      <c r="V156" s="2368">
        <f>0</f>
        <v>0</v>
      </c>
      <c r="W156" s="2368">
        <f>0</f>
        <v>0</v>
      </c>
      <c r="X156" s="2368">
        <f>0</f>
        <v>0</v>
      </c>
      <c r="Y156" s="2368">
        <f>-1/Y_AOB-i_N_BIO</f>
        <v>-6.7366666666666672</v>
      </c>
      <c r="Z156" s="2406">
        <f>1/Y_AOB</f>
        <v>6.666666666666667</v>
      </c>
      <c r="AA156" s="2406">
        <f>0</f>
        <v>0</v>
      </c>
      <c r="AB156" s="2368">
        <f>0</f>
        <v>0</v>
      </c>
      <c r="AC156" s="2368">
        <f>0</f>
        <v>0</v>
      </c>
      <c r="AD156" s="2368">
        <f>0</f>
        <v>0</v>
      </c>
      <c r="AE156" s="2368">
        <f>0</f>
        <v>0</v>
      </c>
      <c r="AF156" s="2406">
        <f>-i_P_BIO</f>
        <v>-0.02</v>
      </c>
      <c r="AG156" s="2406">
        <f>0</f>
        <v>0</v>
      </c>
      <c r="AH156" s="2368">
        <f>0</f>
        <v>0</v>
      </c>
      <c r="AI156" s="2368">
        <f>0</f>
        <v>0</v>
      </c>
      <c r="AJ156" s="2368">
        <f>0</f>
        <v>0</v>
      </c>
      <c r="AK156" s="2406">
        <f>-(E_EQNO2-Y_AOB)/Y_AOB</f>
        <v>-21.845352581264677</v>
      </c>
      <c r="AL156" s="2368">
        <f>0</f>
        <v>0</v>
      </c>
      <c r="AM156" s="2368">
        <f>0</f>
        <v>0</v>
      </c>
      <c r="AN156" s="2406">
        <f>-i_CIT_BIO</f>
        <v>-0.35199999999999998</v>
      </c>
      <c r="AO156" s="2406">
        <f>i_INORG</f>
        <v>0.11</v>
      </c>
      <c r="AP156" s="2406">
        <f>-i_INORG*(1-i_Ca_INORG*(A_MCa+2*A_MCl)/A_MCa-i_Mg_INORG*(A_MMg+2*A_MCl)/A_MMg)*f_Na</f>
        <v>-2.8804303582798466E-2</v>
      </c>
      <c r="AQ156" s="2406">
        <f>-i_INORG*(i_Ca_INORG*(2*A_MCl)/A_MCa+i_Mg_INORG*(2*A_MCl)/A_MMg)-i_INORG*(1-i_Ca_INORG*(A_MCa+2*A_MCl)/A_MCa-i_Mg_INORG*(A_MMg+2*A_MCl)/A_MMg)*(1-f_Na)</f>
        <v>-7.0195696417201539E-2</v>
      </c>
      <c r="AR156" s="2406">
        <f>-i_INORG*i_Ca_INORG</f>
        <v>-5.5000000000000005E-3</v>
      </c>
      <c r="AS156" s="2406">
        <f>-i_INORG*i_Mg_INORG</f>
        <v>-5.5000000000000005E-3</v>
      </c>
      <c r="AT156" s="2406">
        <f>0</f>
        <v>0</v>
      </c>
      <c r="AU156" s="2368">
        <f>0</f>
        <v>0</v>
      </c>
      <c r="AV156" s="2368">
        <f>0</f>
        <v>0</v>
      </c>
      <c r="AW156" s="2368">
        <f>0</f>
        <v>0</v>
      </c>
      <c r="AX156" s="2368">
        <f>0</f>
        <v>0</v>
      </c>
      <c r="AY156" s="2368">
        <f>0</f>
        <v>0</v>
      </c>
      <c r="AZ156" s="2368">
        <f>0</f>
        <v>0</v>
      </c>
      <c r="BA156" s="2368">
        <f>0</f>
        <v>0</v>
      </c>
      <c r="BB156" s="2368">
        <f>0</f>
        <v>0</v>
      </c>
      <c r="BC156" s="2368">
        <f>0</f>
        <v>0</v>
      </c>
      <c r="BD156" s="2368">
        <f>0</f>
        <v>0</v>
      </c>
      <c r="BE156" s="2368">
        <f>0</f>
        <v>0</v>
      </c>
      <c r="BF156" s="2368">
        <f>0</f>
        <v>0</v>
      </c>
      <c r="BG156" s="2368">
        <f>0</f>
        <v>0</v>
      </c>
      <c r="BH156" s="2368">
        <f>0</f>
        <v>0</v>
      </c>
      <c r="BI156" s="2368">
        <f>0</f>
        <v>0</v>
      </c>
      <c r="BJ156" s="2368">
        <f>0</f>
        <v>0</v>
      </c>
      <c r="BK156" s="2368">
        <f>0</f>
        <v>0</v>
      </c>
      <c r="BL156" s="2406">
        <f>0</f>
        <v>0</v>
      </c>
      <c r="BM156" s="2368">
        <f>0</f>
        <v>0</v>
      </c>
      <c r="BN156" s="2368">
        <f>0</f>
        <v>0</v>
      </c>
      <c r="BO156" s="2368">
        <f>0</f>
        <v>0</v>
      </c>
      <c r="BP156" s="2368">
        <f>0</f>
        <v>0</v>
      </c>
      <c r="BQ156" s="2368">
        <f>0</f>
        <v>0</v>
      </c>
      <c r="BR156" s="2368">
        <f>0</f>
        <v>0</v>
      </c>
      <c r="BS156" s="2368">
        <f>0</f>
        <v>0</v>
      </c>
      <c r="BT156" s="2368">
        <f>0</f>
        <v>0</v>
      </c>
      <c r="BU156" s="2368">
        <f>0</f>
        <v>0</v>
      </c>
      <c r="BV156" s="2368">
        <f>0</f>
        <v>0</v>
      </c>
      <c r="BW156" s="2368">
        <f>0</f>
        <v>0</v>
      </c>
      <c r="BX156" s="2368">
        <f>0</f>
        <v>0</v>
      </c>
      <c r="BY156" s="2368">
        <f>0</f>
        <v>0</v>
      </c>
      <c r="BZ156" s="2368">
        <f>0</f>
        <v>0</v>
      </c>
      <c r="CA156" s="2368">
        <f>0</f>
        <v>0</v>
      </c>
      <c r="CB156" s="2368">
        <f>0</f>
        <v>0</v>
      </c>
      <c r="CC156" s="2368">
        <f>0</f>
        <v>0</v>
      </c>
      <c r="CD156" s="2410">
        <f>µ_AOB_T*X_AOB*M_satSNHx_KNHx_AOB*L_ogsatpHCO2_AOB*M_satSO2_KO2_AOB*M_satSPO4_KPO4_BIO*M_satSCAT_KCAT*M_satSAN_KAN*M_satSCa_KCa*M_satSMg_KMg*M_inhpHHNO2_AOB*B_ellinhpH</f>
        <v>15.412753413913709</v>
      </c>
      <c r="CF156" s="2385">
        <f>E220*E156+F220*F156+G220*G156+H220*H156+I220*I156+J220*J156+K220*K156+L220*L156+M220*M156+N220*N156+O220*O156+P220*P156+Q220*Q156+R220*R156+S220*S156+T220*T156+U220*U156+V220*V156+W220*W156+X220*X156+Y220*Y156+Z220*Z156+AA220*AA156+AB220*AB156+AC220*AC156+AD220*AD156+AE220*AE156+AF220*AF156+AG220*AG156+AH220*AH156+AI220*AI156+AJ220*AJ156+AK220*AK156+AL220*AL156+AM220*AM156+AN220*AN156+AO220*AO156+AP220*AP156+AQ220*AQ156+AR220*AR156+AS220*AS156+AT220*AT156+AU220*AU156+AV220*AV156+AW220*AW156+AX220*AX156+AY220*AY156+AZ220*AZ156+BA220*BA156+BB220*BB156+BC220*BC156+BD220*BD156+BE220*BE156+BF220*BF156+BG220*BG156+BH220*BH156+BI220*BI156+BJ220*BJ156+BK220*BK156+BL220*BL156+BM220*BM156+BN220*BN156+BO220*BO156+BP220*BP156+BQ220*BQ156+BR220*BR156+BS220*BS156+BT220*BT156+BU220*BU156+BV220*BV156+BW220*BW156+BX220*BX156+BY220*BY156+BZ220*BZ156+CA220*CA156+CB220*CB156+CC220*CC156</f>
        <v>0</v>
      </c>
      <c r="CG156" s="2385">
        <f>E221*E156+F221*F156+G221*G156+H221*H156+I221*I156+J221*J156+K221*K156+L221*L156+M221*M156+N221*N156+O221*O156+P221*P156+Q221*Q156+R221*R156+S221*S156+T221*T156+U221*U156+V221*V156+W221*W156+X221*X156+Y221*Y156+Z221*Z156+AA221*AA156+AB221*AB156+AC221*AC156+AD221*AD156+AE221*AE156+AF221*AF156+AG221*AG156+AH221*AH156+AI221*AI156+AJ221*AJ156+AK221*AK156+AL221*AL156+AM221*AM156+AN221*AN156+AO221*AO156+AP221*AP156+AQ221*AQ156+AR221*AR156+AS221*AS156+AT221*AT156+AU221*AU156+AV221*AV156+AW221*AW156+AX221*AX156+AY221*AY156+AZ221*AZ156+BA221*BA156+BB221*BB156+BC221*BC156+BD221*BD156+BE221*BE156+BF221*BF156+BG221*BG156+BH221*BH156+BI221*BI156+BJ221*BJ156+BK221*BK156+BL221*BL156+BM221*BM156+BN221*BN156+BO221*BO156+BP221*BP156+BQ221*BQ156+BR221*BR156+BS221*BS156+BT221*BT156+BU221*BU156+BV221*BV156+BW221*BW156+BX221*BX156+BY221*BY156+BZ221*BZ156+CA221*CA156+CB221*CB156+CC221*CC156</f>
        <v>0</v>
      </c>
      <c r="CH156" s="2386">
        <f>E222*E156+F222*F156+G222*G156+H222*H156+I222*I156+J222*J156+K222*K156+L222*L156+M222*M156+N222*N156+O222*O156+P222*P156+Q222*Q156+R222*R156+S222*S156+T222*T156+U222*U156+V222*V156+W222*W156+X222*X156+Y222*Y156+Z222*Z156+AA222*AA156+AB222*AB156+AC222*AC156+AD222*AD156+AE222*AE156+AF222*AF156+AG222*AG156+AH222*AH156+AI222*AI156+AJ222*AJ156+AK222*AK156+AL222*AL156+AM222*AM156+AN222*AN156+AO222*AO156+AP222*AP156+AQ222*AQ156+AR222*AR156+AS222*AS156+AT222*AT156+AU222*AU156+AV222*AV156+AW222*AW156+AX222*AX156+AY222*AY156+AZ222*AZ156+BA222*BA156+BB222*BB156+BC222*BC156+BD222*BD156+BE222*BE156+BF222*BF156+BG222*BG156+BH222*BH156+BI222*BI156+BJ222*BJ156+BK222*BK156+BL222*BL156+BM222*BM156+BN222*BN156+BO222*BO156+BP222*BP156+BQ222*BQ156+BR222*BR156+BS222*BS156+BT222*BT156+BU222*BU156+BV222*BV156+BW222*BW156+BX222*BX156+BY222*BY156+BZ222*BZ156+CA222*CA156+CB222*CB156+CC222*CC156</f>
        <v>0</v>
      </c>
      <c r="CI156" s="2387">
        <f>E223*E156+F223*F156+G223*G156+H223*H156+I223*I156+J223*J156+K223*K156+L223*L156+M223*M156+N223*N156+O223*O156+P223*P156+Q223*Q156+R223*R156+S223*S156+T223*T156+U223*U156+V223*V156+W223*W156+X223*X156+Y223*Y156+Z223*Z156+AA223*AA156+AB223*AB156+AC223*AC156+AD223*AD156+AE223*AE156+AF223*AF156+AG223*AG156+AH223*AH156+AI223*AI156+AJ223*AJ156+AK223*AK156+AL223*AL156+AM223*AM156+AN223*AN156+AO223*AO156+AP223*AP156+AQ223*AQ156+AR223*AR156+AS223*AS156+AT223*AT156+AU223*AU156+AV223*AV156+AW223*AW156+AX223*AX156+AY223*AY156+AZ223*AZ156+BA223*BA156+BB223*BB156+BC223*BC156+BD223*BD156+BE223*BE156+BF223*BF156+BG223*BG156+BH223*BH156+BI223*BI156+BJ223*BJ156+BK223*BK156+BL223*BL156+BM223*BM156+BN223*BN156+BO223*BO156+BP223*BP156+BQ223*BQ156+BR223*BR156+BS223*BS156+BT223*BT156+BU223*BU156+BV223*BV156+BW223*BW156+BX223*BX156+BY223*BY156+BZ223*BZ156+CA223*CA156+CB223*CB156+CC223*CC156</f>
        <v>0</v>
      </c>
      <c r="CJ156" s="2387">
        <f>E224*E156+F224*F156+G224*G156+H224*H156+I224*I156+J224*J156+K224*K156+L224*L156+M224*M156+N224*N156+O224*O156+P224*P156+Q224*Q156+R224*R156+S224*S156+T224*T156+U224*U156+V224*V156+W224*W156+X224*X156+Y224*Y156+Z224*Z156+AA224*AA156+AB224*AB156+AC224*AC156+AD224*AD156+AE224*AE156+AF224*AF156+AG224*AG156+AH224*AH156+AI224*AI156+AJ224*AJ156+AK224*AK156+AL224*AL156+AM224*AM156+AN224*AN156+AO224*AO156+AP224*AP156+AQ224*AQ156+AR224*AR156+AS224*AS156+AT224*AT156+AU224*AU156+AV224*AV156+AW224*AW156+AX224*AX156+AY224*AY156+AZ224*AZ156+BA224*BA156+BB224*BB156+BC224*BC156+BD224*BD156+BE224*BE156+BF224*BF156+BG224*BG156+BH224*BH156+BI224*BI156+BJ224*BJ156+BK224*BK156+BL224*BL156+BM224*BM156+BN224*BN156+BO224*BO156+BP224*BP156+BQ224*BQ156+BR224*BR156+BS224*BS156+BT224*BT156+BU224*BU156+BV224*BV156+BW224*BW156+BX224*BX156+BY224*BY156+BZ224*BZ156+CA224*CA156+CB224*CB156+CC224*CC156</f>
        <v>0</v>
      </c>
      <c r="CK156" s="2387">
        <f>E225*E156+F225*F156+G225*G156+H225*H156+I225*I156+J225*J156+K225*K156+L225*L156+M225*M156+N225*N156+O225*O156+P225*P156+Q225*Q156+R225*R156+S225*S156+T225*T156+U225*U156+V225*V156+W225*W156+X225*X156+Y225*Y156+Z225*Z156+AA225*AA156+AB225*AB156+AC225*AC156+AD225*AD156+AE225*AE156+AF225*AF156+AG225*AG156+AH225*AH156+AI225*AI156+AJ225*AJ156+AK225*AK156+AL225*AL156+AM225*AM156+AN225*AN156+AO225*AO156+AP225*AP156+AQ225*AQ156+AR225*AR156+AS225*AS156+AT225*AT156+AU225*AU156+AV225*AV156+AW225*AW156+AX225*AX156+AY225*AY156+AZ225*AZ156+BA225*BA156+BB225*BB156+BC225*BC156+BD225*BD156+BE225*BE156+BF225*BF156+BG225*BG156+BH225*BH156+BI225*BI156+BJ225*BJ156+BK225*BK156+BL225*BL156+BM225*BM156+BN225*BN156+BO225*BO156+BP225*BP156+BQ225*BQ156+BR225*BR156+BS225*BS156+BT225*BT156+BU225*BU156+BV225*BV156+BW225*BW156+BX225*BX156+BY225*BY156+BZ225*BZ156+CA225*CA156+CB225*CB156+CC225*CC156</f>
        <v>0</v>
      </c>
      <c r="CL156" s="2387">
        <f>E226*E156+F226*F156+G226*G156+H226*H156+I226*I156+J226*J156+K226*K156+L226*L156+M226*M156+N226*N156+O226*O156+P226*P156+Q226*Q156+R226*R156+S226*S156+T226*T156+U226*U156+V226*V156+W226*W156+X226*X156+Y226*Y156+Z226*Z156+AA226*AA156+AB226*AB156+AC226*AC156+AD226*AD156+AE226*AE156+AF226*AF156+AG226*AG156+AH226*AH156+AI226*AI156+AJ226*AJ156+AK226*AK156+AL226*AL156+AM226*AM156+AN226*AN156+AO226*AO156+AP226*AP156+AQ226*AQ156+AR226*AR156+AS226*AS156+AT226*AT156+AU226*AU156+AV226*AV156+AW226*AW156+AX226*AX156+AY226*AY156+AZ226*AZ156+BA226*BA156+BB226*BB156+BC226*BC156+BD226*BD156+BE226*BE156+BF226*BF156+BG226*BG156+BH226*BH156+BI226*BI156+BJ226*BJ156+BK226*BK156+BL226*BL156+BM226*BM156+BN226*BN156+BO226*BO156+BP226*BP156+BQ226*BQ156+BR226*BR156+BS226*BS156+BT226*BT156+BU226*BU156+BV226*BV156+BW226*BW156+BX226*BX156+BY226*BY156+BZ226*BZ156+CA226*CA156+CB226*CB156+CC226*CC156</f>
        <v>0</v>
      </c>
      <c r="CM156" s="2387">
        <f>E227*E156+F227*F156+G227*G156+H227*H156+I227*I156+J227*J156+K227*K156+L227*L156+M227*M156+N227*N156+O227*O156+P227*P156+Q227*Q156+R227*R156+S227*S156+T227*T156+U227*U156+V227*V156+W227*W156+X227*X156+Y227*Y156+Z227*Z156+AA227*AA156+AB227*AB156+AC227*AC156+AD227*AD156+AE227*AE156+AF227*AF156+AG227*AG156+AH227*AH156+AI227*AI156+AJ227*AJ156+AK227*AK156+AL227*AL156+AM227*AM156+AN227*AN156+AO227*AO156+AP227*AP156+AQ227*AQ156+AR227*AR156+AS227*AS156+AT227*AT156+AU227*AU156+AV227*AV156+AW227*AW156+AX227*AX156+AY227*AY156+AZ227*AZ156+BA227*BA156+BB227*BB156+BC227*BC156+BD227*BD156+BE227*BE156+BF227*BF156+BG227*BG156+BH227*BH156+BI227*BI156+BJ227*BJ156+BK227*BK156+BL227*BL156+BM227*BM156+BN227*BN156+BO227*BO156+BP227*BP156+BQ227*BQ156+BR227*BR156+BS227*BS156+BT227*BT156+BU227*BU156+BV227*BV156+BW227*BW156+BX227*BX156+BY227*BY156+BZ227*BZ156+CA227*CA156+CB227*CB156+CC227*CC156</f>
        <v>0</v>
      </c>
      <c r="CN156" s="2387">
        <f>E228*E156+F228*F156+G228*G156+H228*H156+I228*I156+J228*J156+K228*K156+L228*L156+M228*M156+N228*N156+O228*O156+P228*P156+Q228*Q156+R228*R156+S228*S156+T228*T156+U228*U156+V228*V156+W228*W156+X228*X156+Y228*Y156+Z228*Z156+AA228*AA156+AB228*AB156+AC228*AC156+AD228*AD156+AE228*AE156+AF228*AF156+AG228*AG156+AH228*AH156+AI228*AI156+AJ228*AJ156+AK228*AK156+AL228*AL156+AM228*AM156+AN228*AN156+AO228*AO156+AP228*AP156+AQ228*AQ156+AR228*AR156+AS228*AS156+AT228*AT156+AU228*AU156+AV228*AV156+AW228*AW156+AX228*AX156+AY228*AY156+AZ228*AZ156+BA228*BA156+BB228*BB156+BC228*BC156+BD228*BD156+BE228*BE156+BF228*BF156+BG228*BG156+BH228*BH156+BI228*BI156+BJ228*BJ156+BK228*BK156+BL228*BL156+BM228*BM156+BN228*BN156+BO228*BO156+BP228*BP156+BQ228*BQ156+BR228*BR156+BS228*BS156+BT228*BT156+BU228*BU156+BV228*BV156+BW228*BW156+BX228*BX156+BY228*BY156+BZ228*BZ156+CA228*CA156+CB228*CB156+CC228*CC156</f>
        <v>0</v>
      </c>
      <c r="CO156" s="2387">
        <f>E229*E156+F229*F156+G229*G156+H229*H156+I229*I156+J229*J156+K229*K156+L229*L156+M229*M156+N229*N156+O229*O156+P229*P156+Q229*Q156+R229*R156+S229*S156+T229*T156+U229*U156+V229*V156+W229*W156+X229*X156+Y229*Y156+Z229*Z156+AA229*AA156+AB229*AB156+AC229*AC156+AD229*AD156+AE229*AE156+AF229*AF156+AG229*AG156+AH229*AH156+AI229*AI156+AJ229*AJ156+AK229*AK156+AL229*AL156+AM229*AM156+AN229*AN156+AO229*AO156+AP229*AP156+AQ229*AQ156+AR229*AR156+AS229*AS156+AT229*AT156+AU229*AU156+AV229*AV156+AW229*AW156+AX229*AX156+AY229*AY156+AZ229*AZ156+BA229*BA156+BB229*BB156+BC229*BC156+BD229*BD156+BE229*BE156+BF229*BF156+BG229*BG156+BH229*BH156+BI229*BI156+BJ229*BJ156+BK229*BK156+BL229*BL156+BM229*BM156+BN229*BN156+BO229*BO156+BP229*BP156+BQ229*BQ156+BR229*BR156+BS229*BS156+BT229*BT156+BU229*BU156+BV229*BV156+BW229*BW156+BX229*BX156+BY229*BY156+BZ229*BZ156+CA229*CA156+CB229*CB156+CC229*CC156</f>
        <v>0</v>
      </c>
      <c r="CP156" s="2387">
        <f>E230*E156+F230*F156+G230*G156+H230*H156+I230*I156+J230*J156+K230*K156+L230*L156+M230*M156+N230*N156+O230*O156+P230*P156+Q230*Q156+R230*R156+S230*S156+T230*T156+U230*U156+V230*V156+W230*W156+X230*X156+Y230*Y156+Z230*Z156+AA230*AA156+AB230*AB156+AC230*AC156+AD230*AD156+AE230*AE156+AF230*AF156+AG230*AG156+AH230*AH156+AI230*AI156+AJ230*AJ156+AK230*AK156+AL230*AL156+AM230*AM156+AN230*AN156+AO230*AO156+AP230*AP156+AQ230*AQ156+AR230*AR156+AS230*AS156+AT230*AT156+AU230*AU156+AV230*AV156+AW230*AW156+AX230*AX156+AY230*AY156+AZ230*AZ156+BA230*BA156+BB230*BB156+BC230*BC156+BD230*BD156+BE230*BE156+BF230*BF156+BG230*BG156+BH230*BH156+BI230*BI156+BJ230*BJ156+BK230*BK156+BL230*BL156+BM230*BM156+BN230*BN156+BO230*BO156+BP230*BP156+BQ230*BQ156+BR230*BR156+BS230*BS156+BT230*BT156+BU230*BU156+BV230*BV156+BW230*BW156+BX230*BX156+BY230*BY156+BZ230*BZ156+CA230*CA156+CB230*CB156+CC230*CC156</f>
        <v>0</v>
      </c>
    </row>
    <row r="157" spans="2:94" x14ac:dyDescent="0.25">
      <c r="B157" s="1586">
        <v>38</v>
      </c>
      <c r="C157" s="1525" t="s">
        <v>4511</v>
      </c>
      <c r="D157" s="636" t="s">
        <v>2264</v>
      </c>
      <c r="E157" s="976">
        <f>0</f>
        <v>0</v>
      </c>
      <c r="F157" s="992">
        <f>0</f>
        <v>0</v>
      </c>
      <c r="G157" s="992">
        <f>0</f>
        <v>0</v>
      </c>
      <c r="H157" s="992">
        <f>0</f>
        <v>0</v>
      </c>
      <c r="I157" s="992">
        <f>1-f_E</f>
        <v>0.92</v>
      </c>
      <c r="J157" s="992">
        <f>0</f>
        <v>0</v>
      </c>
      <c r="K157" s="992">
        <f>0</f>
        <v>0</v>
      </c>
      <c r="L157" s="992">
        <f>0</f>
        <v>0</v>
      </c>
      <c r="M157" s="976">
        <f>0</f>
        <v>0</v>
      </c>
      <c r="N157" s="976">
        <f>0</f>
        <v>0</v>
      </c>
      <c r="O157" s="992">
        <f>f_E</f>
        <v>0.08</v>
      </c>
      <c r="P157" s="992">
        <f>0</f>
        <v>0</v>
      </c>
      <c r="Q157" s="992">
        <f>0</f>
        <v>0</v>
      </c>
      <c r="R157" s="992">
        <f>0</f>
        <v>0</v>
      </c>
      <c r="S157" s="992">
        <f>0</f>
        <v>0</v>
      </c>
      <c r="T157" s="992">
        <f>-1</f>
        <v>-1</v>
      </c>
      <c r="U157" s="992">
        <f>0</f>
        <v>0</v>
      </c>
      <c r="V157" s="992">
        <f>0</f>
        <v>0</v>
      </c>
      <c r="W157" s="992">
        <f>0</f>
        <v>0</v>
      </c>
      <c r="X157" s="992">
        <f>0</f>
        <v>0</v>
      </c>
      <c r="Y157" s="992">
        <f>-f_E*(i_N_XE-i_N_BIO)</f>
        <v>8.0000000000000069E-4</v>
      </c>
      <c r="Z157" s="992">
        <f>0</f>
        <v>0</v>
      </c>
      <c r="AA157" s="992">
        <f>0</f>
        <v>0</v>
      </c>
      <c r="AB157" s="992">
        <f>0</f>
        <v>0</v>
      </c>
      <c r="AC157" s="992">
        <f>0</f>
        <v>0</v>
      </c>
      <c r="AD157" s="992">
        <f>(1-f_E)*i_N_BIO</f>
        <v>6.4400000000000013E-2</v>
      </c>
      <c r="AE157" s="992">
        <f>0</f>
        <v>0</v>
      </c>
      <c r="AF157" s="992">
        <f>0</f>
        <v>0</v>
      </c>
      <c r="AG157" s="976">
        <f>0</f>
        <v>0</v>
      </c>
      <c r="AH157" s="992">
        <f>0</f>
        <v>0</v>
      </c>
      <c r="AI157" s="992">
        <f>(1-f_E)*i_P_BIO</f>
        <v>1.84E-2</v>
      </c>
      <c r="AJ157" s="992">
        <f>0</f>
        <v>0</v>
      </c>
      <c r="AK157" s="992">
        <f>0</f>
        <v>0</v>
      </c>
      <c r="AL157" s="992">
        <f>0</f>
        <v>0</v>
      </c>
      <c r="AM157" s="992">
        <f>0</f>
        <v>0</v>
      </c>
      <c r="AN157" s="992">
        <f>(1-f_E)*(i_CIT_BIO-i_CIT_SB)</f>
        <v>6.0720000000000003E-2</v>
      </c>
      <c r="AO157" s="976">
        <f>-i_INORG</f>
        <v>-0.11</v>
      </c>
      <c r="AP157" s="976">
        <f>i_INORG*(1-i_Ca_INORG*(A_MCa+2*A_MCl)/A_MCa-i_Mg_INORG*(A_MMg+2*A_MCl)/A_MMg)*f_Na</f>
        <v>2.8804303582798466E-2</v>
      </c>
      <c r="AQ157" s="976">
        <f>i_INORG*(i_Ca_INORG*(2*A_MCl)/A_MCa+i_Mg_INORG*(2*A_MCl)/A_MMg)+i_INORG*(1-i_Ca_INORG*(A_MCa+2*A_MCl)/A_MCa-i_Mg_INORG*(A_MMg+2*A_MCl)/A_MMg)*(1-f_Na)</f>
        <v>7.0195696417201539E-2</v>
      </c>
      <c r="AR157" s="976">
        <f>i_INORG*i_Ca_INORG</f>
        <v>5.5000000000000005E-3</v>
      </c>
      <c r="AS157" s="976">
        <f>i_INORG*i_Mg_INORG</f>
        <v>5.5000000000000005E-3</v>
      </c>
      <c r="AT157" s="976">
        <f>0</f>
        <v>0</v>
      </c>
      <c r="AU157" s="992">
        <f>0</f>
        <v>0</v>
      </c>
      <c r="AV157" s="992">
        <f>0</f>
        <v>0</v>
      </c>
      <c r="AW157" s="992">
        <f>0</f>
        <v>0</v>
      </c>
      <c r="AX157" s="992">
        <f>0</f>
        <v>0</v>
      </c>
      <c r="AY157" s="992">
        <f>0</f>
        <v>0</v>
      </c>
      <c r="AZ157" s="992">
        <f>0</f>
        <v>0</v>
      </c>
      <c r="BA157" s="992">
        <f>0</f>
        <v>0</v>
      </c>
      <c r="BB157" s="992">
        <f>0</f>
        <v>0</v>
      </c>
      <c r="BC157" s="992">
        <f>0</f>
        <v>0</v>
      </c>
      <c r="BD157" s="992">
        <f>0</f>
        <v>0</v>
      </c>
      <c r="BE157" s="992">
        <f>0</f>
        <v>0</v>
      </c>
      <c r="BF157" s="992">
        <f>0</f>
        <v>0</v>
      </c>
      <c r="BG157" s="992">
        <f>0</f>
        <v>0</v>
      </c>
      <c r="BH157" s="992">
        <f>0</f>
        <v>0</v>
      </c>
      <c r="BI157" s="992">
        <f>0</f>
        <v>0</v>
      </c>
      <c r="BJ157" s="992">
        <f>0</f>
        <v>0</v>
      </c>
      <c r="BK157" s="992">
        <f>0</f>
        <v>0</v>
      </c>
      <c r="BL157" s="1636">
        <f>0</f>
        <v>0</v>
      </c>
      <c r="BM157" s="992">
        <f>0</f>
        <v>0</v>
      </c>
      <c r="BN157" s="992">
        <f>0</f>
        <v>0</v>
      </c>
      <c r="BO157" s="992">
        <f>0</f>
        <v>0</v>
      </c>
      <c r="BP157" s="1419">
        <f>0</f>
        <v>0</v>
      </c>
      <c r="BQ157" s="2368">
        <f>0</f>
        <v>0</v>
      </c>
      <c r="BR157" s="992">
        <f>0</f>
        <v>0</v>
      </c>
      <c r="BS157" s="992">
        <f>0</f>
        <v>0</v>
      </c>
      <c r="BT157" s="992">
        <f>0</f>
        <v>0</v>
      </c>
      <c r="BU157" s="992">
        <f>0</f>
        <v>0</v>
      </c>
      <c r="BV157" s="992">
        <f>0</f>
        <v>0</v>
      </c>
      <c r="BW157" s="992">
        <f>0</f>
        <v>0</v>
      </c>
      <c r="BX157" s="992">
        <f>0</f>
        <v>0</v>
      </c>
      <c r="BY157" s="992">
        <f>0</f>
        <v>0</v>
      </c>
      <c r="BZ157" s="992">
        <f>0</f>
        <v>0</v>
      </c>
      <c r="CA157" s="992">
        <f>0</f>
        <v>0</v>
      </c>
      <c r="CB157" s="992">
        <f>0</f>
        <v>0</v>
      </c>
      <c r="CC157" s="992">
        <f>0</f>
        <v>0</v>
      </c>
      <c r="CD157" s="1646">
        <f>b_AOB_T*X_AOB*(M_satSO2_KO2_AOB+η_b_anox*M_satSNOx_KNOx_AOB*M_inhSO2_KO2_AOB)</f>
        <v>5.2965107212475626</v>
      </c>
      <c r="CF157" s="2385">
        <f>E220*E157+F220*F157+G220*G157+H220*H157+I220*I157+J220*J157+K220*K157+L220*L157+M220*M157+N220*N157+O220*O157+P220*P157+Q220*Q157+R220*R157+S220*S157+T220*T157+U220*U157+V220*V157+W220*W157+X220*X157+Y220*Y157+Z220*Z157+AA220*AA157+AB220*AB157+AC220*AC157+AD220*AD157+AE220*AE157+AF220*AF157+AG220*AG157+AH220*AH157+AI220*AI157+AJ220*AJ157+AK220*AK157+AL220*AL157+AM220*AM157+AN220*AN157+AO220*AO157+AP220*AP157+AQ220*AQ157+AR220*AR157+AS220*AS157+AT220*AT157+AU220*AU157+AV220*AV157+AW220*AW157+AX220*AX157+AY220*AY157+AZ220*AZ157+BA220*BA157+BB220*BB157+BC220*BC157+BD220*BD157+BE220*BE157+BF220*BF157+BG220*BG157+BH220*BH157+BI220*BI157+BJ220*BJ157+BK220*BK157+BL220*BL157+BM220*BM157+BN220*BN157+BO220*BO157+BP220*BP157+BQ220*BQ157+BR220*BR157+BS220*BS157+BT220*BT157+BU220*BU157+BV220*BV157+BW220*BW157+BX220*BX157+BY220*BY157+BZ220*BZ157+CA220*CA157+CB220*CB157+CC220*CC157</f>
        <v>0</v>
      </c>
      <c r="CG157" s="2385">
        <f>E221*E157+F221*F157+G221*G157+H221*H157+I221*I157+J221*J157+K221*K157+L221*L157+M221*M157+N221*N157+O221*O157+P221*P157+Q221*Q157+R221*R157+S221*S157+T221*T157+U221*U157+V221*V157+W221*W157+X221*X157+Y221*Y157+Z221*Z157+AA221*AA157+AB221*AB157+AC221*AC157+AD221*AD157+AE221*AE157+AF221*AF157+AG221*AG157+AH221*AH157+AI221*AI157+AJ221*AJ157+AK221*AK157+AL221*AL157+AM221*AM157+AN221*AN157+AO221*AO157+AP221*AP157+AQ221*AQ157+AR221*AR157+AS221*AS157+AT221*AT157+AU221*AU157+AV221*AV157+AW221*AW157+AX221*AX157+AY221*AY157+AZ221*AZ157+BA221*BA157+BB221*BB157+BC221*BC157+BD221*BD157+BE221*BE157+BF221*BF157+BG221*BG157+BH221*BH157+BI221*BI157+BJ221*BJ157+BK221*BK157+BL221*BL157+BM221*BM157+BN221*BN157+BO221*BO157+BP221*BP157+BQ221*BQ157+BR221*BR157+BS221*BS157+BT221*BT157+BU221*BU157+BV221*BV157+BW221*BW157+BX221*BX157+BY221*BY157+BZ221*BZ157+CA221*CA157+CB221*CB157+CC221*CC157</f>
        <v>6.9388939039072284E-18</v>
      </c>
      <c r="CH157" s="2386">
        <f>E222*E157+F222*F157+G222*G157+H222*H157+I222*I157+J222*J157+K222*K157+L222*L157+M222*M157+N222*N157+O222*O157+P222*P157+Q222*Q157+R222*R157+S222*S157+T222*T157+U222*U157+V222*V157+W222*W157+X222*X157+Y222*Y157+Z222*Z157+AA222*AA157+AB222*AB157+AC222*AC157+AD222*AD157+AE222*AE157+AF222*AF157+AG222*AG157+AH222*AH157+AI222*AI157+AJ222*AJ157+AK222*AK157+AL222*AL157+AM222*AM157+AN222*AN157+AO222*AO157+AP222*AP157+AQ222*AQ157+AR222*AR157+AS222*AS157+AT222*AT157+AU222*AU157+AV222*AV157+AW222*AW157+AX222*AX157+AY222*AY157+AZ222*AZ157+BA222*BA157+BB222*BB157+BC222*BC157+BD222*BD157+BE222*BE157+BF222*BF157+BG222*BG157+BH222*BH157+BI222*BI157+BJ222*BJ157+BK222*BK157+BL222*BL157+BM222*BM157+BN222*BN157+BO222*BO157+BP222*BP157+BQ222*BQ157+BR222*BR157+BS222*BS157+BT222*BT157+BU222*BU157+BV222*BV157+BW222*BW157+BX222*BX157+BY222*BY157+BZ222*BZ157+CA222*CA157+CB222*CB157+CC222*CC157</f>
        <v>0</v>
      </c>
      <c r="CI157" s="2387">
        <f>E223*E157+F223*F157+G223*G157+H223*H157+I223*I157+J223*J157+K223*K157+L223*L157+M223*M157+N223*N157+O223*O157+P223*P157+Q223*Q157+R223*R157+S223*S157+T223*T157+U223*U157+V223*V157+W223*W157+X223*X157+Y223*Y157+Z223*Z157+AA223*AA157+AB223*AB157+AC223*AC157+AD223*AD157+AE223*AE157+AF223*AF157+AG223*AG157+AH223*AH157+AI223*AI157+AJ223*AJ157+AK223*AK157+AL223*AL157+AM223*AM157+AN223*AN157+AO223*AO157+AP223*AP157+AQ223*AQ157+AR223*AR157+AS223*AS157+AT223*AT157+AU223*AU157+AV223*AV157+AW223*AW157+AX223*AX157+AY223*AY157+AZ223*AZ157+BA223*BA157+BB223*BB157+BC223*BC157+BD223*BD157+BE223*BE157+BF223*BF157+BG223*BG157+BH223*BH157+BI223*BI157+BJ223*BJ157+BK223*BK157+BL223*BL157+BM223*BM157+BN223*BN157+BO223*BO157+BP223*BP157+BQ223*BQ157+BR223*BR157+BS223*BS157+BT223*BT157+BU223*BU157+BV223*BV157+BW223*BW157+BX223*BX157+BY223*BY157+BZ223*BZ157+CA223*CA157+CB223*CB157+CC223*CC157</f>
        <v>0</v>
      </c>
      <c r="CJ157" s="2387">
        <f>E224*E157+F224*F157+G224*G157+H224*H157+I224*I157+J224*J157+K224*K157+L224*L157+M224*M157+N224*N157+O224*O157+P224*P157+Q224*Q157+R224*R157+S224*S157+T224*T157+U224*U157+V224*V157+W224*W157+X224*X157+Y224*Y157+Z224*Z157+AA224*AA157+AB224*AB157+AC224*AC157+AD224*AD157+AE224*AE157+AF224*AF157+AG224*AG157+AH224*AH157+AI224*AI157+AJ224*AJ157+AK224*AK157+AL224*AL157+AM224*AM157+AN224*AN157+AO224*AO157+AP224*AP157+AQ224*AQ157+AR224*AR157+AS224*AS157+AT224*AT157+AU224*AU157+AV224*AV157+AW224*AW157+AX224*AX157+AY224*AY157+AZ224*AZ157+BA224*BA157+BB224*BB157+BC224*BC157+BD224*BD157+BE224*BE157+BF224*BF157+BG224*BG157+BH224*BH157+BI224*BI157+BJ224*BJ157+BK224*BK157+BL224*BL157+BM224*BM157+BN224*BN157+BO224*BO157+BP224*BP157+BQ224*BQ157+BR224*BR157+BS224*BS157+BT224*BT157+BU224*BU157+BV224*BV157+BW224*BW157+BX224*BX157+BY224*BY157+BZ224*BZ157+CA224*CA157+CB224*CB157+CC224*CC157</f>
        <v>0</v>
      </c>
      <c r="CK157" s="2387">
        <f>E225*E157+F225*F157+G225*G157+H225*H157+I225*I157+J225*J157+K225*K157+L225*L157+M225*M157+N225*N157+O225*O157+P225*P157+Q225*Q157+R225*R157+S225*S157+T225*T157+U225*U157+V225*V157+W225*W157+X225*X157+Y225*Y157+Z225*Z157+AA225*AA157+AB225*AB157+AC225*AC157+AD225*AD157+AE225*AE157+AF225*AF157+AG225*AG157+AH225*AH157+AI225*AI157+AJ225*AJ157+AK225*AK157+AL225*AL157+AM225*AM157+AN225*AN157+AO225*AO157+AP225*AP157+AQ225*AQ157+AR225*AR157+AS225*AS157+AT225*AT157+AU225*AU157+AV225*AV157+AW225*AW157+AX225*AX157+AY225*AY157+AZ225*AZ157+BA225*BA157+BB225*BB157+BC225*BC157+BD225*BD157+BE225*BE157+BF225*BF157+BG225*BG157+BH225*BH157+BI225*BI157+BJ225*BJ157+BK225*BK157+BL225*BL157+BM225*BM157+BN225*BN157+BO225*BO157+BP225*BP157+BQ225*BQ157+BR225*BR157+BS225*BS157+BT225*BT157+BU225*BU157+BV225*BV157+BW225*BW157+BX225*BX157+BY225*BY157+BZ225*BZ157+CA225*CA157+CB225*CB157+CC225*CC157</f>
        <v>0</v>
      </c>
      <c r="CL157" s="2387">
        <f>E226*E157+F226*F157+G226*G157+H226*H157+I226*I157+J226*J157+K226*K157+L226*L157+M226*M157+N226*N157+O226*O157+P226*P157+Q226*Q157+R226*R157+S226*S157+T226*T157+U226*U157+V226*V157+W226*W157+X226*X157+Y226*Y157+Z226*Z157+AA226*AA157+AB226*AB157+AC226*AC157+AD226*AD157+AE226*AE157+AF226*AF157+AG226*AG157+AH226*AH157+AI226*AI157+AJ226*AJ157+AK226*AK157+AL226*AL157+AM226*AM157+AN226*AN157+AO226*AO157+AP226*AP157+AQ226*AQ157+AR226*AR157+AS226*AS157+AT226*AT157+AU226*AU157+AV226*AV157+AW226*AW157+AX226*AX157+AY226*AY157+AZ226*AZ157+BA226*BA157+BB226*BB157+BC226*BC157+BD226*BD157+BE226*BE157+BF226*BF157+BG226*BG157+BH226*BH157+BI226*BI157+BJ226*BJ157+BK226*BK157+BL226*BL157+BM226*BM157+BN226*BN157+BO226*BO157+BP226*BP157+BQ226*BQ157+BR226*BR157+BS226*BS157+BT226*BT157+BU226*BU157+BV226*BV157+BW226*BW157+BX226*BX157+BY226*BY157+BZ226*BZ157+CA226*CA157+CB226*CB157+CC226*CC157</f>
        <v>0</v>
      </c>
      <c r="CM157" s="2387">
        <f>E227*E157+F227*F157+G227*G157+H227*H157+I227*I157+J227*J157+K227*K157+L227*L157+M227*M157+N227*N157+O227*O157+P227*P157+Q227*Q157+R227*R157+S227*S157+T227*T157+U227*U157+V227*V157+W227*W157+X227*X157+Y227*Y157+Z227*Z157+AA227*AA157+AB227*AB157+AC227*AC157+AD227*AD157+AE227*AE157+AF227*AF157+AG227*AG157+AH227*AH157+AI227*AI157+AJ227*AJ157+AK227*AK157+AL227*AL157+AM227*AM157+AN227*AN157+AO227*AO157+AP227*AP157+AQ227*AQ157+AR227*AR157+AS227*AS157+AT227*AT157+AU227*AU157+AV227*AV157+AW227*AW157+AX227*AX157+AY227*AY157+AZ227*AZ157+BA227*BA157+BB227*BB157+BC227*BC157+BD227*BD157+BE227*BE157+BF227*BF157+BG227*BG157+BH227*BH157+BI227*BI157+BJ227*BJ157+BK227*BK157+BL227*BL157+BM227*BM157+BN227*BN157+BO227*BO157+BP227*BP157+BQ227*BQ157+BR227*BR157+BS227*BS157+BT227*BT157+BU227*BU157+BV227*BV157+BW227*BW157+BX227*BX157+BY227*BY157+BZ227*BZ157+CA227*CA157+CB227*CB157+CC227*CC157</f>
        <v>0</v>
      </c>
      <c r="CN157" s="2387">
        <f>E228*E157+F228*F157+G228*G157+H228*H157+I228*I157+J228*J157+K228*K157+L228*L157+M228*M157+N228*N157+O228*O157+P228*P157+Q228*Q157+R228*R157+S228*S157+T228*T157+U228*U157+V228*V157+W228*W157+X228*X157+Y228*Y157+Z228*Z157+AA228*AA157+AB228*AB157+AC228*AC157+AD228*AD157+AE228*AE157+AF228*AF157+AG228*AG157+AH228*AH157+AI228*AI157+AJ228*AJ157+AK228*AK157+AL228*AL157+AM228*AM157+AN228*AN157+AO228*AO157+AP228*AP157+AQ228*AQ157+AR228*AR157+AS228*AS157+AT228*AT157+AU228*AU157+AV228*AV157+AW228*AW157+AX228*AX157+AY228*AY157+AZ228*AZ157+BA228*BA157+BB228*BB157+BC228*BC157+BD228*BD157+BE228*BE157+BF228*BF157+BG228*BG157+BH228*BH157+BI228*BI157+BJ228*BJ157+BK228*BK157+BL228*BL157+BM228*BM157+BN228*BN157+BO228*BO157+BP228*BP157+BQ228*BQ157+BR228*BR157+BS228*BS157+BT228*BT157+BU228*BU157+BV228*BV157+BW228*BW157+BX228*BX157+BY228*BY157+BZ228*BZ157+CA228*CA157+CB228*CB157+CC228*CC157</f>
        <v>0</v>
      </c>
      <c r="CO157" s="2387">
        <f>E229*E157+F229*F157+G229*G157+H229*H157+I229*I157+J229*J157+K229*K157+L229*L157+M229*M157+N229*N157+O229*O157+P229*P157+Q229*Q157+R229*R157+S229*S157+T229*T157+U229*U157+V229*V157+W229*W157+X229*X157+Y229*Y157+Z229*Z157+AA229*AA157+AB229*AB157+AC229*AC157+AD229*AD157+AE229*AE157+AF229*AF157+AG229*AG157+AH229*AH157+AI229*AI157+AJ229*AJ157+AK229*AK157+AL229*AL157+AM229*AM157+AN229*AN157+AO229*AO157+AP229*AP157+AQ229*AQ157+AR229*AR157+AS229*AS157+AT229*AT157+AU229*AU157+AV229*AV157+AW229*AW157+AX229*AX157+AY229*AY157+AZ229*AZ157+BA229*BA157+BB229*BB157+BC229*BC157+BD229*BD157+BE229*BE157+BF229*BF157+BG229*BG157+BH229*BH157+BI229*BI157+BJ229*BJ157+BK229*BK157+BL229*BL157+BM229*BM157+BN229*BN157+BO229*BO157+BP229*BP157+BQ229*BQ157+BR229*BR157+BS229*BS157+BT229*BT157+BU229*BU157+BV229*BV157+BW229*BW157+BX229*BX157+BY229*BY157+BZ229*BZ157+CA229*CA157+CB229*CB157+CC229*CC157</f>
        <v>0</v>
      </c>
      <c r="CP157" s="2387">
        <f>E230*E157+F230*F157+G230*G157+H230*H157+I230*I157+J230*J157+K230*K157+L230*L157+M230*M157+N230*N157+O230*O157+P230*P157+Q230*Q157+R230*R157+S230*S157+T230*T157+U230*U157+V230*V157+W230*W157+X230*X157+Y230*Y157+Z230*Z157+AA230*AA157+AB230*AB157+AC230*AC157+AD230*AD157+AE230*AE157+AF230*AF157+AG230*AG157+AH230*AH157+AI230*AI157+AJ230*AJ157+AK230*AK157+AL230*AL157+AM230*AM157+AN230*AN157+AO230*AO157+AP230*AP157+AQ230*AQ157+AR230*AR157+AS230*AS157+AT230*AT157+AU230*AU157+AV230*AV157+AW230*AW157+AX230*AX157+AY230*AY157+AZ230*AZ157+BA230*BA157+BB230*BB157+BC230*BC157+BD230*BD157+BE230*BE157+BF230*BF157+BG230*BG157+BH230*BH157+BI230*BI157+BJ230*BJ157+BK230*BK157+BL230*BL157+BM230*BM157+BN230*BN157+BO230*BO157+BP230*BP157+BQ230*BQ157+BR230*BR157+BS230*BS157+BT230*BT157+BU230*BU157+BV230*BV157+BW230*BW157+BX230*BX157+BY230*BY157+BZ230*BZ157+CA230*CA157+CB230*CB157+CC230*CC157</f>
        <v>0</v>
      </c>
    </row>
    <row r="158" spans="2:94" x14ac:dyDescent="0.25">
      <c r="B158" s="1586">
        <v>39</v>
      </c>
      <c r="C158" s="1525" t="s">
        <v>4512</v>
      </c>
      <c r="D158" s="636" t="s">
        <v>3081</v>
      </c>
      <c r="E158" s="976">
        <f>0</f>
        <v>0</v>
      </c>
      <c r="F158" s="992">
        <f>0</f>
        <v>0</v>
      </c>
      <c r="G158" s="992">
        <f>0</f>
        <v>0</v>
      </c>
      <c r="H158" s="992">
        <f>0</f>
        <v>0</v>
      </c>
      <c r="I158" s="992">
        <f>1-f_E</f>
        <v>0.92</v>
      </c>
      <c r="J158" s="992">
        <f>0</f>
        <v>0</v>
      </c>
      <c r="K158" s="992">
        <f>0</f>
        <v>0</v>
      </c>
      <c r="L158" s="992">
        <f>0</f>
        <v>0</v>
      </c>
      <c r="M158" s="976">
        <f>0</f>
        <v>0</v>
      </c>
      <c r="N158" s="976">
        <f>0</f>
        <v>0</v>
      </c>
      <c r="O158" s="992">
        <f>0</f>
        <v>0</v>
      </c>
      <c r="P158" s="992">
        <f>f_E</f>
        <v>0.08</v>
      </c>
      <c r="Q158" s="992">
        <f>0</f>
        <v>0</v>
      </c>
      <c r="R158" s="992">
        <f>0</f>
        <v>0</v>
      </c>
      <c r="S158" s="992">
        <f>0</f>
        <v>0</v>
      </c>
      <c r="T158" s="992">
        <f>-1</f>
        <v>-1</v>
      </c>
      <c r="U158" s="992">
        <f>0</f>
        <v>0</v>
      </c>
      <c r="V158" s="992">
        <f>0</f>
        <v>0</v>
      </c>
      <c r="W158" s="992">
        <f>0</f>
        <v>0</v>
      </c>
      <c r="X158" s="992">
        <f>0</f>
        <v>0</v>
      </c>
      <c r="Y158" s="992">
        <f>-f_E*(i_N_XE-i_N_BIO)</f>
        <v>8.0000000000000069E-4</v>
      </c>
      <c r="Z158" s="992">
        <f>0</f>
        <v>0</v>
      </c>
      <c r="AA158" s="992">
        <f>0</f>
        <v>0</v>
      </c>
      <c r="AB158" s="992">
        <f>0</f>
        <v>0</v>
      </c>
      <c r="AC158" s="992">
        <f>0</f>
        <v>0</v>
      </c>
      <c r="AD158" s="992">
        <f>(1-f_E)*i_N_BIO</f>
        <v>6.4400000000000013E-2</v>
      </c>
      <c r="AE158" s="992">
        <f>0</f>
        <v>0</v>
      </c>
      <c r="AF158" s="992">
        <f>0</f>
        <v>0</v>
      </c>
      <c r="AG158" s="976">
        <f>0</f>
        <v>0</v>
      </c>
      <c r="AH158" s="992">
        <f>0</f>
        <v>0</v>
      </c>
      <c r="AI158" s="992">
        <f>(1-f_E)*i_P_BIO</f>
        <v>1.84E-2</v>
      </c>
      <c r="AJ158" s="992">
        <f>0</f>
        <v>0</v>
      </c>
      <c r="AK158" s="992">
        <f>0</f>
        <v>0</v>
      </c>
      <c r="AL158" s="992">
        <f>0</f>
        <v>0</v>
      </c>
      <c r="AM158" s="992">
        <f>0</f>
        <v>0</v>
      </c>
      <c r="AN158" s="992">
        <f>(1-f_E)*(i_CIT_BIO-i_CIT_SB)</f>
        <v>6.0720000000000003E-2</v>
      </c>
      <c r="AO158" s="976">
        <f>-i_INORG</f>
        <v>-0.11</v>
      </c>
      <c r="AP158" s="976">
        <f>i_INORG*(1-i_Ca_INORG*(A_MCa+2*A_MCl)/A_MCa-i_Mg_INORG*(A_MMg+2*A_MCl)/A_MMg)*f_Na</f>
        <v>2.8804303582798466E-2</v>
      </c>
      <c r="AQ158" s="976">
        <f>i_INORG*(i_Ca_INORG*(2*A_MCl)/A_MCa+i_Mg_INORG*(2*A_MCl)/A_MMg)+i_INORG*(1-i_Ca_INORG*(A_MCa+2*A_MCl)/A_MCa-i_Mg_INORG*(A_MMg+2*A_MCl)/A_MMg)*(1-f_Na)</f>
        <v>7.0195696417201539E-2</v>
      </c>
      <c r="AR158" s="976">
        <f>i_INORG*i_Ca_INORG</f>
        <v>5.5000000000000005E-3</v>
      </c>
      <c r="AS158" s="976">
        <f>i_INORG*i_Mg_INORG</f>
        <v>5.5000000000000005E-3</v>
      </c>
      <c r="AT158" s="976">
        <f>0</f>
        <v>0</v>
      </c>
      <c r="AU158" s="992">
        <f>0</f>
        <v>0</v>
      </c>
      <c r="AV158" s="992">
        <f>0</f>
        <v>0</v>
      </c>
      <c r="AW158" s="992">
        <f>0</f>
        <v>0</v>
      </c>
      <c r="AX158" s="992">
        <f>0</f>
        <v>0</v>
      </c>
      <c r="AY158" s="992">
        <f>0</f>
        <v>0</v>
      </c>
      <c r="AZ158" s="992">
        <f>0</f>
        <v>0</v>
      </c>
      <c r="BA158" s="992">
        <f>0</f>
        <v>0</v>
      </c>
      <c r="BB158" s="992">
        <f>0</f>
        <v>0</v>
      </c>
      <c r="BC158" s="992">
        <f>0</f>
        <v>0</v>
      </c>
      <c r="BD158" s="992">
        <f>0</f>
        <v>0</v>
      </c>
      <c r="BE158" s="992">
        <f>0</f>
        <v>0</v>
      </c>
      <c r="BF158" s="992">
        <f>0</f>
        <v>0</v>
      </c>
      <c r="BG158" s="992">
        <f>0</f>
        <v>0</v>
      </c>
      <c r="BH158" s="992">
        <f>0</f>
        <v>0</v>
      </c>
      <c r="BI158" s="992">
        <f>0</f>
        <v>0</v>
      </c>
      <c r="BJ158" s="992">
        <f>0</f>
        <v>0</v>
      </c>
      <c r="BK158" s="992">
        <f>0</f>
        <v>0</v>
      </c>
      <c r="BL158" s="1636">
        <f>0</f>
        <v>0</v>
      </c>
      <c r="BM158" s="992">
        <f>0</f>
        <v>0</v>
      </c>
      <c r="BN158" s="992">
        <f>0</f>
        <v>0</v>
      </c>
      <c r="BO158" s="992">
        <f>0</f>
        <v>0</v>
      </c>
      <c r="BP158" s="1419">
        <f>0</f>
        <v>0</v>
      </c>
      <c r="BQ158" s="2368">
        <f>0</f>
        <v>0</v>
      </c>
      <c r="BR158" s="992">
        <f>0</f>
        <v>0</v>
      </c>
      <c r="BS158" s="992">
        <f>0</f>
        <v>0</v>
      </c>
      <c r="BT158" s="992">
        <f>0</f>
        <v>0</v>
      </c>
      <c r="BU158" s="992">
        <f>0</f>
        <v>0</v>
      </c>
      <c r="BV158" s="992">
        <f>0</f>
        <v>0</v>
      </c>
      <c r="BW158" s="992">
        <f>0</f>
        <v>0</v>
      </c>
      <c r="BX158" s="992">
        <f>0</f>
        <v>0</v>
      </c>
      <c r="BY158" s="992">
        <f>0</f>
        <v>0</v>
      </c>
      <c r="BZ158" s="992">
        <f>0</f>
        <v>0</v>
      </c>
      <c r="CA158" s="992">
        <f>0</f>
        <v>0</v>
      </c>
      <c r="CB158" s="992">
        <f>0</f>
        <v>0</v>
      </c>
      <c r="CC158" s="992">
        <f>0</f>
        <v>0</v>
      </c>
      <c r="CD158" s="1646">
        <f>b_AOB_T*X_AOB*(η_b_ana*M_inhSNOx_KNOx_AOB*M_inhSO2_KO2_AOB+m_tox_ana)</f>
        <v>9.1130604288499023E-4</v>
      </c>
      <c r="CF158" s="2385">
        <f>E220*E158+F220*F158+G220*G158+H220*H158+I220*I158+J220*J158+K220*K158+L220*L158+M220*M158+N220*N158+O220*O158+P220*P158+Q220*Q158+R220*R158+S220*S158+T220*T158+U220*U158+V220*V158+W220*W158+X220*X158+Y220*Y158+Z220*Z158+AA220*AA158+AB220*AB158+AC220*AC158+AD220*AD158+AE220*AE158+AF220*AF158+AG220*AG158+AH220*AH158+AI220*AI158+AJ220*AJ158+AK220*AK158+AL220*AL158+AM220*AM158+AN220*AN158+AO220*AO158+AP220*AP158+AQ220*AQ158+AR220*AR158+AS220*AS158+AT220*AT158+AU220*AU158+AV220*AV158+AW220*AW158+AX220*AX158+AY220*AY158+AZ220*AZ158+BA220*BA158+BB220*BB158+BC220*BC158+BD220*BD158+BE220*BE158+BF220*BF158+BG220*BG158+BH220*BH158+BI220*BI158+BJ220*BJ158+BK220*BK158+BL220*BL158+BM220*BM158+BN220*BN158+BO220*BO158+BP220*BP158+BQ220*BQ158+BR220*BR158+BS220*BS158+BT220*BT158+BU220*BU158+BV220*BV158+BW220*BW158+BX220*BX158+BY220*BY158+BZ220*BZ158+CA220*CA158+CB220*CB158+CC220*CC158</f>
        <v>0</v>
      </c>
      <c r="CG158" s="2385">
        <f>E221*E158+F221*F158+G221*G158+H221*H158+I221*I158+J221*J158+K221*K158+L221*L158+M221*M158+N221*N158+O221*O158+P221*P158+Q221*Q158+R221*R158+S221*S158+T221*T158+U221*U158+V221*V158+W221*W158+X221*X158+Y221*Y158+Z221*Z158+AA221*AA158+AB221*AB158+AC221*AC158+AD221*AD158+AE221*AE158+AF221*AF158+AG221*AG158+AH221*AH158+AI221*AI158+AJ221*AJ158+AK221*AK158+AL221*AL158+AM221*AM158+AN221*AN158+AO221*AO158+AP221*AP158+AQ221*AQ158+AR221*AR158+AS221*AS158+AT221*AT158+AU221*AU158+AV221*AV158+AW221*AW158+AX221*AX158+AY221*AY158+AZ221*AZ158+BA221*BA158+BB221*BB158+BC221*BC158+BD221*BD158+BE221*BE158+BF221*BF158+BG221*BG158+BH221*BH158+BI221*BI158+BJ221*BJ158+BK221*BK158+BL221*BL158+BM221*BM158+BN221*BN158+BO221*BO158+BP221*BP158+BQ221*BQ158+BR221*BR158+BS221*BS158+BT221*BT158+BU221*BU158+BV221*BV158+BW221*BW158+BX221*BX158+BY221*BY158+BZ221*BZ158+CA221*CA158+CB221*CB158+CC221*CC158</f>
        <v>6.9388939039072284E-18</v>
      </c>
      <c r="CH158" s="2386">
        <f>E222*E158+F222*F158+G222*G158+H222*H158+I222*I158+J222*J158+K222*K158+L222*L158+M222*M158+N222*N158+O222*O158+P222*P158+Q222*Q158+R222*R158+S222*S158+T222*T158+U222*U158+V222*V158+W222*W158+X222*X158+Y222*Y158+Z222*Z158+AA222*AA158+AB222*AB158+AC222*AC158+AD222*AD158+AE222*AE158+AF222*AF158+AG222*AG158+AH222*AH158+AI222*AI158+AJ222*AJ158+AK222*AK158+AL222*AL158+AM222*AM158+AN222*AN158+AO222*AO158+AP222*AP158+AQ222*AQ158+AR222*AR158+AS222*AS158+AT222*AT158+AU222*AU158+AV222*AV158+AW222*AW158+AX222*AX158+AY222*AY158+AZ222*AZ158+BA222*BA158+BB222*BB158+BC222*BC158+BD222*BD158+BE222*BE158+BF222*BF158+BG222*BG158+BH222*BH158+BI222*BI158+BJ222*BJ158+BK222*BK158+BL222*BL158+BM222*BM158+BN222*BN158+BO222*BO158+BP222*BP158+BQ222*BQ158+BR222*BR158+BS222*BS158+BT222*BT158+BU222*BU158+BV222*BV158+BW222*BW158+BX222*BX158+BY222*BY158+BZ222*BZ158+CA222*CA158+CB222*CB158+CC222*CC158</f>
        <v>0</v>
      </c>
      <c r="CI158" s="2387">
        <f>E223*E158+F223*F158+G223*G158+H223*H158+I223*I158+J223*J158+K223*K158+L223*L158+M223*M158+N223*N158+O223*O158+P223*P158+Q223*Q158+R223*R158+S223*S158+T223*T158+U223*U158+V223*V158+W223*W158+X223*X158+Y223*Y158+Z223*Z158+AA223*AA158+AB223*AB158+AC223*AC158+AD223*AD158+AE223*AE158+AF223*AF158+AG223*AG158+AH223*AH158+AI223*AI158+AJ223*AJ158+AK223*AK158+AL223*AL158+AM223*AM158+AN223*AN158+AO223*AO158+AP223*AP158+AQ223*AQ158+AR223*AR158+AS223*AS158+AT223*AT158+AU223*AU158+AV223*AV158+AW223*AW158+AX223*AX158+AY223*AY158+AZ223*AZ158+BA223*BA158+BB223*BB158+BC223*BC158+BD223*BD158+BE223*BE158+BF223*BF158+BG223*BG158+BH223*BH158+BI223*BI158+BJ223*BJ158+BK223*BK158+BL223*BL158+BM223*BM158+BN223*BN158+BO223*BO158+BP223*BP158+BQ223*BQ158+BR223*BR158+BS223*BS158+BT223*BT158+BU223*BU158+BV223*BV158+BW223*BW158+BX223*BX158+BY223*BY158+BZ223*BZ158+CA223*CA158+CB223*CB158+CC223*CC158</f>
        <v>0</v>
      </c>
      <c r="CJ158" s="2387">
        <f>E224*E158+F224*F158+G224*G158+H224*H158+I224*I158+J224*J158+K224*K158+L224*L158+M224*M158+N224*N158+O224*O158+P224*P158+Q224*Q158+R224*R158+S224*S158+T224*T158+U224*U158+V224*V158+W224*W158+X224*X158+Y224*Y158+Z224*Z158+AA224*AA158+AB224*AB158+AC224*AC158+AD224*AD158+AE224*AE158+AF224*AF158+AG224*AG158+AH224*AH158+AI224*AI158+AJ224*AJ158+AK224*AK158+AL224*AL158+AM224*AM158+AN224*AN158+AO224*AO158+AP224*AP158+AQ224*AQ158+AR224*AR158+AS224*AS158+AT224*AT158+AU224*AU158+AV224*AV158+AW224*AW158+AX224*AX158+AY224*AY158+AZ224*AZ158+BA224*BA158+BB224*BB158+BC224*BC158+BD224*BD158+BE224*BE158+BF224*BF158+BG224*BG158+BH224*BH158+BI224*BI158+BJ224*BJ158+BK224*BK158+BL224*BL158+BM224*BM158+BN224*BN158+BO224*BO158+BP224*BP158+BQ224*BQ158+BR224*BR158+BS224*BS158+BT224*BT158+BU224*BU158+BV224*BV158+BW224*BW158+BX224*BX158+BY224*BY158+BZ224*BZ158+CA224*CA158+CB224*CB158+CC224*CC158</f>
        <v>0</v>
      </c>
      <c r="CK158" s="2387">
        <f>E225*E158+F225*F158+G225*G158+H225*H158+I225*I158+J225*J158+K225*K158+L225*L158+M225*M158+N225*N158+O225*O158+P225*P158+Q225*Q158+R225*R158+S225*S158+T225*T158+U225*U158+V225*V158+W225*W158+X225*X158+Y225*Y158+Z225*Z158+AA225*AA158+AB225*AB158+AC225*AC158+AD225*AD158+AE225*AE158+AF225*AF158+AG225*AG158+AH225*AH158+AI225*AI158+AJ225*AJ158+AK225*AK158+AL225*AL158+AM225*AM158+AN225*AN158+AO225*AO158+AP225*AP158+AQ225*AQ158+AR225*AR158+AS225*AS158+AT225*AT158+AU225*AU158+AV225*AV158+AW225*AW158+AX225*AX158+AY225*AY158+AZ225*AZ158+BA225*BA158+BB225*BB158+BC225*BC158+BD225*BD158+BE225*BE158+BF225*BF158+BG225*BG158+BH225*BH158+BI225*BI158+BJ225*BJ158+BK225*BK158+BL225*BL158+BM225*BM158+BN225*BN158+BO225*BO158+BP225*BP158+BQ225*BQ158+BR225*BR158+BS225*BS158+BT225*BT158+BU225*BU158+BV225*BV158+BW225*BW158+BX225*BX158+BY225*BY158+BZ225*BZ158+CA225*CA158+CB225*CB158+CC225*CC158</f>
        <v>0</v>
      </c>
      <c r="CL158" s="2387">
        <f>E226*E158+F226*F158+G226*G158+H226*H158+I226*I158+J226*J158+K226*K158+L226*L158+M226*M158+N226*N158+O226*O158+P226*P158+Q226*Q158+R226*R158+S226*S158+T226*T158+U226*U158+V226*V158+W226*W158+X226*X158+Y226*Y158+Z226*Z158+AA226*AA158+AB226*AB158+AC226*AC158+AD226*AD158+AE226*AE158+AF226*AF158+AG226*AG158+AH226*AH158+AI226*AI158+AJ226*AJ158+AK226*AK158+AL226*AL158+AM226*AM158+AN226*AN158+AO226*AO158+AP226*AP158+AQ226*AQ158+AR226*AR158+AS226*AS158+AT226*AT158+AU226*AU158+AV226*AV158+AW226*AW158+AX226*AX158+AY226*AY158+AZ226*AZ158+BA226*BA158+BB226*BB158+BC226*BC158+BD226*BD158+BE226*BE158+BF226*BF158+BG226*BG158+BH226*BH158+BI226*BI158+BJ226*BJ158+BK226*BK158+BL226*BL158+BM226*BM158+BN226*BN158+BO226*BO158+BP226*BP158+BQ226*BQ158+BR226*BR158+BS226*BS158+BT226*BT158+BU226*BU158+BV226*BV158+BW226*BW158+BX226*BX158+BY226*BY158+BZ226*BZ158+CA226*CA158+CB226*CB158+CC226*CC158</f>
        <v>0</v>
      </c>
      <c r="CM158" s="2387">
        <f>E227*E158+F227*F158+G227*G158+H227*H158+I227*I158+J227*J158+K227*K158+L227*L158+M227*M158+N227*N158+O227*O158+P227*P158+Q227*Q158+R227*R158+S227*S158+T227*T158+U227*U158+V227*V158+W227*W158+X227*X158+Y227*Y158+Z227*Z158+AA227*AA158+AB227*AB158+AC227*AC158+AD227*AD158+AE227*AE158+AF227*AF158+AG227*AG158+AH227*AH158+AI227*AI158+AJ227*AJ158+AK227*AK158+AL227*AL158+AM227*AM158+AN227*AN158+AO227*AO158+AP227*AP158+AQ227*AQ158+AR227*AR158+AS227*AS158+AT227*AT158+AU227*AU158+AV227*AV158+AW227*AW158+AX227*AX158+AY227*AY158+AZ227*AZ158+BA227*BA158+BB227*BB158+BC227*BC158+BD227*BD158+BE227*BE158+BF227*BF158+BG227*BG158+BH227*BH158+BI227*BI158+BJ227*BJ158+BK227*BK158+BL227*BL158+BM227*BM158+BN227*BN158+BO227*BO158+BP227*BP158+BQ227*BQ158+BR227*BR158+BS227*BS158+BT227*BT158+BU227*BU158+BV227*BV158+BW227*BW158+BX227*BX158+BY227*BY158+BZ227*BZ158+CA227*CA158+CB227*CB158+CC227*CC158</f>
        <v>0</v>
      </c>
      <c r="CN158" s="2387">
        <f>E228*E158+F228*F158+G228*G158+H228*H158+I228*I158+J228*J158+K228*K158+L228*L158+M228*M158+N228*N158+O228*O158+P228*P158+Q228*Q158+R228*R158+S228*S158+T228*T158+U228*U158+V228*V158+W228*W158+X228*X158+Y228*Y158+Z228*Z158+AA228*AA158+AB228*AB158+AC228*AC158+AD228*AD158+AE228*AE158+AF228*AF158+AG228*AG158+AH228*AH158+AI228*AI158+AJ228*AJ158+AK228*AK158+AL228*AL158+AM228*AM158+AN228*AN158+AO228*AO158+AP228*AP158+AQ228*AQ158+AR228*AR158+AS228*AS158+AT228*AT158+AU228*AU158+AV228*AV158+AW228*AW158+AX228*AX158+AY228*AY158+AZ228*AZ158+BA228*BA158+BB228*BB158+BC228*BC158+BD228*BD158+BE228*BE158+BF228*BF158+BG228*BG158+BH228*BH158+BI228*BI158+BJ228*BJ158+BK228*BK158+BL228*BL158+BM228*BM158+BN228*BN158+BO228*BO158+BP228*BP158+BQ228*BQ158+BR228*BR158+BS228*BS158+BT228*BT158+BU228*BU158+BV228*BV158+BW228*BW158+BX228*BX158+BY228*BY158+BZ228*BZ158+CA228*CA158+CB228*CB158+CC228*CC158</f>
        <v>0</v>
      </c>
      <c r="CO158" s="2387">
        <f>E229*E158+F229*F158+G229*G158+H229*H158+I229*I158+J229*J158+K229*K158+L229*L158+M229*M158+N229*N158+O229*O158+P229*P158+Q229*Q158+R229*R158+S229*S158+T229*T158+U229*U158+V229*V158+W229*W158+X229*X158+Y229*Y158+Z229*Z158+AA229*AA158+AB229*AB158+AC229*AC158+AD229*AD158+AE229*AE158+AF229*AF158+AG229*AG158+AH229*AH158+AI229*AI158+AJ229*AJ158+AK229*AK158+AL229*AL158+AM229*AM158+AN229*AN158+AO229*AO158+AP229*AP158+AQ229*AQ158+AR229*AR158+AS229*AS158+AT229*AT158+AU229*AU158+AV229*AV158+AW229*AW158+AX229*AX158+AY229*AY158+AZ229*AZ158+BA229*BA158+BB229*BB158+BC229*BC158+BD229*BD158+BE229*BE158+BF229*BF158+BG229*BG158+BH229*BH158+BI229*BI158+BJ229*BJ158+BK229*BK158+BL229*BL158+BM229*BM158+BN229*BN158+BO229*BO158+BP229*BP158+BQ229*BQ158+BR229*BR158+BS229*BS158+BT229*BT158+BU229*BU158+BV229*BV158+BW229*BW158+BX229*BX158+BY229*BY158+BZ229*BZ158+CA229*CA158+CB229*CB158+CC229*CC158</f>
        <v>0</v>
      </c>
      <c r="CP158" s="2387">
        <f>E230*E158+F230*F158+G230*G158+H230*H158+I230*I158+J230*J158+K230*K158+L230*L158+M230*M158+N230*N158+O230*O158+P230*P158+Q230*Q158+R230*R158+S230*S158+T230*T158+U230*U158+V230*V158+W230*W158+X230*X158+Y230*Y158+Z230*Z158+AA230*AA158+AB230*AB158+AC230*AC158+AD230*AD158+AE230*AE158+AF230*AF158+AG230*AG158+AH230*AH158+AI230*AI158+AJ230*AJ158+AK230*AK158+AL230*AL158+AM230*AM158+AN230*AN158+AO230*AO158+AP230*AP158+AQ230*AQ158+AR230*AR158+AS230*AS158+AT230*AT158+AU230*AU158+AV230*AV158+AW230*AW158+AX230*AX158+AY230*AY158+AZ230*AZ158+BA230*BA158+BB230*BB158+BC230*BC158+BD230*BD158+BE230*BE158+BF230*BF158+BG230*BG158+BH230*BH158+BI230*BI158+BJ230*BJ158+BK230*BK158+BL230*BL158+BM230*BM158+BN230*BN158+BO230*BO158+BP230*BP158+BQ230*BQ158+BR230*BR158+BS230*BS158+BT230*BT158+BU230*BU158+BV230*BV158+BW230*BW158+BX230*BX158+BY230*BY158+BZ230*BZ158+CA230*CA158+CB230*CB158+CC230*CC158</f>
        <v>0</v>
      </c>
    </row>
    <row r="159" spans="2:94" x14ac:dyDescent="0.25">
      <c r="B159" s="1587">
        <v>40</v>
      </c>
      <c r="C159" s="1526" t="s">
        <v>4513</v>
      </c>
      <c r="D159" s="639" t="s">
        <v>2265</v>
      </c>
      <c r="E159" s="977">
        <f>0</f>
        <v>0</v>
      </c>
      <c r="F159" s="977">
        <f>0</f>
        <v>0</v>
      </c>
      <c r="G159" s="977">
        <f>0</f>
        <v>0</v>
      </c>
      <c r="H159" s="977">
        <f>0</f>
        <v>0</v>
      </c>
      <c r="I159" s="977">
        <f>0</f>
        <v>0</v>
      </c>
      <c r="J159" s="977">
        <f>0</f>
        <v>0</v>
      </c>
      <c r="K159" s="977">
        <f>0</f>
        <v>0</v>
      </c>
      <c r="L159" s="977">
        <f>0</f>
        <v>0</v>
      </c>
      <c r="M159" s="977">
        <f>0</f>
        <v>0</v>
      </c>
      <c r="N159" s="977">
        <f>0</f>
        <v>0</v>
      </c>
      <c r="O159" s="977">
        <f>0</f>
        <v>0</v>
      </c>
      <c r="P159" s="977">
        <f>0</f>
        <v>0</v>
      </c>
      <c r="Q159" s="977">
        <f>0</f>
        <v>0</v>
      </c>
      <c r="R159" s="977">
        <f>0</f>
        <v>0</v>
      </c>
      <c r="S159" s="977">
        <f>0</f>
        <v>0</v>
      </c>
      <c r="T159" s="977">
        <f>0</f>
        <v>0</v>
      </c>
      <c r="U159" s="977">
        <f>1</f>
        <v>1</v>
      </c>
      <c r="V159" s="977">
        <f>0</f>
        <v>0</v>
      </c>
      <c r="W159" s="977">
        <f>0</f>
        <v>0</v>
      </c>
      <c r="X159" s="977">
        <f>0</f>
        <v>0</v>
      </c>
      <c r="Y159" s="977">
        <f>-i_N_BIO</f>
        <v>-7.0000000000000007E-2</v>
      </c>
      <c r="Z159" s="977">
        <f>-1/Y_NOB</f>
        <v>-11.111111111111111</v>
      </c>
      <c r="AA159" s="977">
        <f>1/Y_NOB</f>
        <v>11.111111111111111</v>
      </c>
      <c r="AB159" s="977">
        <f>0</f>
        <v>0</v>
      </c>
      <c r="AC159" s="977">
        <f>0</f>
        <v>0</v>
      </c>
      <c r="AD159" s="977">
        <f>0</f>
        <v>0</v>
      </c>
      <c r="AE159" s="977">
        <f>0</f>
        <v>0</v>
      </c>
      <c r="AF159" s="977">
        <f>-i_P_BIO</f>
        <v>-0.02</v>
      </c>
      <c r="AG159" s="977">
        <f>0</f>
        <v>0</v>
      </c>
      <c r="AH159" s="977">
        <f>0</f>
        <v>0</v>
      </c>
      <c r="AI159" s="977">
        <f>0</f>
        <v>0</v>
      </c>
      <c r="AJ159" s="977">
        <f>0</f>
        <v>0</v>
      </c>
      <c r="AK159" s="977">
        <f>-(E_EQNO2_NO3-Y_NOB)/Y_NOB</f>
        <v>-11.691862545147043</v>
      </c>
      <c r="AL159" s="977">
        <f>0</f>
        <v>0</v>
      </c>
      <c r="AM159" s="977">
        <f>0</f>
        <v>0</v>
      </c>
      <c r="AN159" s="977">
        <f>-i_CIT_BIO</f>
        <v>-0.35199999999999998</v>
      </c>
      <c r="AO159" s="977">
        <f>i_INORG</f>
        <v>0.11</v>
      </c>
      <c r="AP159" s="977">
        <f>-i_INORG*(1-i_Ca_INORG*(A_MCa+2*A_MCl)/A_MCa-i_Mg_INORG*(A_MMg+2*A_MCl)/A_MMg)*f_Na</f>
        <v>-2.8804303582798466E-2</v>
      </c>
      <c r="AQ159" s="977">
        <f>-i_INORG*(i_Ca_INORG*(2*A_MCl)/A_MCa+i_Mg_INORG*(2*A_MCl)/A_MMg)-i_INORG*(1-i_Ca_INORG*(A_MCa+2*A_MCl)/A_MCa-i_Mg_INORG*(A_MMg+2*A_MCl)/A_MMg)*(1-f_Na)</f>
        <v>-7.0195696417201539E-2</v>
      </c>
      <c r="AR159" s="977">
        <f>-i_INORG*i_Ca_INORG</f>
        <v>-5.5000000000000005E-3</v>
      </c>
      <c r="AS159" s="977">
        <f>-i_INORG*i_Mg_INORG</f>
        <v>-5.5000000000000005E-3</v>
      </c>
      <c r="AT159" s="977">
        <f>0</f>
        <v>0</v>
      </c>
      <c r="AU159" s="977">
        <f>0</f>
        <v>0</v>
      </c>
      <c r="AV159" s="977">
        <f>0</f>
        <v>0</v>
      </c>
      <c r="AW159" s="977">
        <f>0</f>
        <v>0</v>
      </c>
      <c r="AX159" s="977">
        <f>0</f>
        <v>0</v>
      </c>
      <c r="AY159" s="977">
        <f>0</f>
        <v>0</v>
      </c>
      <c r="AZ159" s="977">
        <f>0</f>
        <v>0</v>
      </c>
      <c r="BA159" s="977">
        <f>0</f>
        <v>0</v>
      </c>
      <c r="BB159" s="977">
        <f>0</f>
        <v>0</v>
      </c>
      <c r="BC159" s="977">
        <f>0</f>
        <v>0</v>
      </c>
      <c r="BD159" s="977">
        <f>0</f>
        <v>0</v>
      </c>
      <c r="BE159" s="977">
        <f>0</f>
        <v>0</v>
      </c>
      <c r="BF159" s="977">
        <f>0</f>
        <v>0</v>
      </c>
      <c r="BG159" s="977">
        <f>0</f>
        <v>0</v>
      </c>
      <c r="BH159" s="977">
        <f>0</f>
        <v>0</v>
      </c>
      <c r="BI159" s="977">
        <f>0</f>
        <v>0</v>
      </c>
      <c r="BJ159" s="977">
        <f>0</f>
        <v>0</v>
      </c>
      <c r="BK159" s="977">
        <f>0</f>
        <v>0</v>
      </c>
      <c r="BL159" s="977">
        <f>0</f>
        <v>0</v>
      </c>
      <c r="BM159" s="977">
        <f>0</f>
        <v>0</v>
      </c>
      <c r="BN159" s="977">
        <f>0</f>
        <v>0</v>
      </c>
      <c r="BO159" s="977">
        <f>0</f>
        <v>0</v>
      </c>
      <c r="BP159" s="1420">
        <f>0</f>
        <v>0</v>
      </c>
      <c r="BQ159" s="2369">
        <f>0</f>
        <v>0</v>
      </c>
      <c r="BR159" s="977">
        <f>0</f>
        <v>0</v>
      </c>
      <c r="BS159" s="977">
        <f>0</f>
        <v>0</v>
      </c>
      <c r="BT159" s="977">
        <f>0</f>
        <v>0</v>
      </c>
      <c r="BU159" s="977">
        <f>0</f>
        <v>0</v>
      </c>
      <c r="BV159" s="977">
        <f>0</f>
        <v>0</v>
      </c>
      <c r="BW159" s="977">
        <f>0</f>
        <v>0</v>
      </c>
      <c r="BX159" s="977">
        <f>0</f>
        <v>0</v>
      </c>
      <c r="BY159" s="977">
        <f>0</f>
        <v>0</v>
      </c>
      <c r="BZ159" s="977">
        <f>0</f>
        <v>0</v>
      </c>
      <c r="CA159" s="977">
        <f>0</f>
        <v>0</v>
      </c>
      <c r="CB159" s="977">
        <f>0</f>
        <v>0</v>
      </c>
      <c r="CC159" s="977">
        <f>0</f>
        <v>0</v>
      </c>
      <c r="CD159" s="1647">
        <f>µ_NOB_T*X_NOB*M_satSNO2_KNO2_NOB*L_ogsatpHCO2_NOB*M_satSO2_KO2_NOB*M_satSNHx_KNHx_BIO*M_satSPO4_KPO4_BIO*M_satSCAT_KCAT*M_satSAN_KAN*M_satSCa_KCa*M_satSMg_KMg*M_inhpHNH3_NOB*B_ellinhpH</f>
        <v>5.7058453597246128</v>
      </c>
      <c r="CF159" s="2385">
        <f>E220*E159+F220*F159+G220*G159+H220*H159+I220*I159+J220*J159+K220*K159+L220*L159+M220*M159+N220*N159+O220*O159+P220*P159+Q220*Q159+R220*R159+S220*S159+T220*T159+U220*U159+V220*V159+W220*W159+X220*X159+Y220*Y159+Z220*Z159+AA220*AA159+AB220*AB159+AC220*AC159+AD220*AD159+AE220*AE159+AF220*AF159+AG220*AG159+AH220*AH159+AI220*AI159+AJ220*AJ159+AK220*AK159+AL220*AL159+AM220*AM159+AN220*AN159+AO220*AO159+AP220*AP159+AQ220*AQ159+AR220*AR159+AS220*AS159+AT220*AT159+AU220*AU159+AV220*AV159+AW220*AW159+AX220*AX159+AY220*AY159+AZ220*AZ159+BA220*BA159+BB220*BB159+BC220*BC159+BD220*BD159+BE220*BE159+BF220*BF159+BG220*BG159+BH220*BH159+BI220*BI159+BJ220*BJ159+BK220*BK159+BL220*BL159+BM220*BM159+BN220*BN159+BO220*BO159+BP220*BP159+BQ220*BQ159+BR220*BR159+BS220*BS159+BT220*BT159+BU220*BU159+BV220*BV159+BW220*BW159+BX220*BX159+BY220*BY159+BZ220*BZ159+CA220*CA159+CB220*CB159+CC220*CC159</f>
        <v>-3.5527136788005009E-15</v>
      </c>
      <c r="CG159" s="2385">
        <f>E221*E159+F221*F159+G221*G159+H221*H159+I221*I159+J221*J159+K221*K159+L221*L159+M221*M159+N221*N159+O221*O159+P221*P159+Q221*Q159+R221*R159+S221*S159+T221*T159+U221*U159+V221*V159+W221*W159+X221*X159+Y221*Y159+Z221*Z159+AA221*AA159+AB221*AB159+AC221*AC159+AD221*AD159+AE221*AE159+AF221*AF159+AG221*AG159+AH221*AH159+AI221*AI159+AJ221*AJ159+AK221*AK159+AL221*AL159+AM221*AM159+AN221*AN159+AO221*AO159+AP221*AP159+AQ221*AQ159+AR221*AR159+AS221*AS159+AT221*AT159+AU221*AU159+AV221*AV159+AW221*AW159+AX221*AX159+AY221*AY159+AZ221*AZ159+BA221*BA159+BB221*BB159+BC221*BC159+BD221*BD159+BE221*BE159+BF221*BF159+BG221*BG159+BH221*BH159+BI221*BI159+BJ221*BJ159+BK221*BK159+BL221*BL159+BM221*BM159+BN221*BN159+BO221*BO159+BP221*BP159+BQ221*BQ159+BR221*BR159+BS221*BS159+BT221*BT159+BU221*BU159+BV221*BV159+BW221*BW159+BX221*BX159+BY221*BY159+BZ221*BZ159+CA221*CA159+CB221*CB159+CC221*CC159</f>
        <v>0</v>
      </c>
      <c r="CH159" s="2386">
        <f>E222*E159+F222*F159+G222*G159+H222*H159+I222*I159+J222*J159+K222*K159+L222*L159+M222*M159+N222*N159+O222*O159+P222*P159+Q222*Q159+R222*R159+S222*S159+T222*T159+U222*U159+V222*V159+W222*W159+X222*X159+Y222*Y159+Z222*Z159+AA222*AA159+AB222*AB159+AC222*AC159+AD222*AD159+AE222*AE159+AF222*AF159+AG222*AG159+AH222*AH159+AI222*AI159+AJ222*AJ159+AK222*AK159+AL222*AL159+AM222*AM159+AN222*AN159+AO222*AO159+AP222*AP159+AQ222*AQ159+AR222*AR159+AS222*AS159+AT222*AT159+AU222*AU159+AV222*AV159+AW222*AW159+AX222*AX159+AY222*AY159+AZ222*AZ159+BA222*BA159+BB222*BB159+BC222*BC159+BD222*BD159+BE222*BE159+BF222*BF159+BG222*BG159+BH222*BH159+BI222*BI159+BJ222*BJ159+BK222*BK159+BL222*BL159+BM222*BM159+BN222*BN159+BO222*BO159+BP222*BP159+BQ222*BQ159+BR222*BR159+BS222*BS159+BT222*BT159+BU222*BU159+BV222*BV159+BW222*BW159+BX222*BX159+BY222*BY159+BZ222*BZ159+CA222*CA159+CB222*CB159+CC222*CC159</f>
        <v>0</v>
      </c>
      <c r="CI159" s="2387">
        <f>E223*E159+F223*F159+G223*G159+H223*H159+I223*I159+J223*J159+K223*K159+L223*L159+M223*M159+N223*N159+O223*O159+P223*P159+Q223*Q159+R223*R159+S223*S159+T223*T159+U223*U159+V223*V159+W223*W159+X223*X159+Y223*Y159+Z223*Z159+AA223*AA159+AB223*AB159+AC223*AC159+AD223*AD159+AE223*AE159+AF223*AF159+AG223*AG159+AH223*AH159+AI223*AI159+AJ223*AJ159+AK223*AK159+AL223*AL159+AM223*AM159+AN223*AN159+AO223*AO159+AP223*AP159+AQ223*AQ159+AR223*AR159+AS223*AS159+AT223*AT159+AU223*AU159+AV223*AV159+AW223*AW159+AX223*AX159+AY223*AY159+AZ223*AZ159+BA223*BA159+BB223*BB159+BC223*BC159+BD223*BD159+BE223*BE159+BF223*BF159+BG223*BG159+BH223*BH159+BI223*BI159+BJ223*BJ159+BK223*BK159+BL223*BL159+BM223*BM159+BN223*BN159+BO223*BO159+BP223*BP159+BQ223*BQ159+BR223*BR159+BS223*BS159+BT223*BT159+BU223*BU159+BV223*BV159+BW223*BW159+BX223*BX159+BY223*BY159+BZ223*BZ159+CA223*CA159+CB223*CB159+CC223*CC159</f>
        <v>0</v>
      </c>
      <c r="CJ159" s="2387">
        <f>E224*E159+F224*F159+G224*G159+H224*H159+I224*I159+J224*J159+K224*K159+L224*L159+M224*M159+N224*N159+O224*O159+P224*P159+Q224*Q159+R224*R159+S224*S159+T224*T159+U224*U159+V224*V159+W224*W159+X224*X159+Y224*Y159+Z224*Z159+AA224*AA159+AB224*AB159+AC224*AC159+AD224*AD159+AE224*AE159+AF224*AF159+AG224*AG159+AH224*AH159+AI224*AI159+AJ224*AJ159+AK224*AK159+AL224*AL159+AM224*AM159+AN224*AN159+AO224*AO159+AP224*AP159+AQ224*AQ159+AR224*AR159+AS224*AS159+AT224*AT159+AU224*AU159+AV224*AV159+AW224*AW159+AX224*AX159+AY224*AY159+AZ224*AZ159+BA224*BA159+BB224*BB159+BC224*BC159+BD224*BD159+BE224*BE159+BF224*BF159+BG224*BG159+BH224*BH159+BI224*BI159+BJ224*BJ159+BK224*BK159+BL224*BL159+BM224*BM159+BN224*BN159+BO224*BO159+BP224*BP159+BQ224*BQ159+BR224*BR159+BS224*BS159+BT224*BT159+BU224*BU159+BV224*BV159+BW224*BW159+BX224*BX159+BY224*BY159+BZ224*BZ159+CA224*CA159+CB224*CB159+CC224*CC159</f>
        <v>0</v>
      </c>
      <c r="CK159" s="2387">
        <f>E225*E159+F225*F159+G225*G159+H225*H159+I225*I159+J225*J159+K225*K159+L225*L159+M225*M159+N225*N159+O225*O159+P225*P159+Q225*Q159+R225*R159+S225*S159+T225*T159+U225*U159+V225*V159+W225*W159+X225*X159+Y225*Y159+Z225*Z159+AA225*AA159+AB225*AB159+AC225*AC159+AD225*AD159+AE225*AE159+AF225*AF159+AG225*AG159+AH225*AH159+AI225*AI159+AJ225*AJ159+AK225*AK159+AL225*AL159+AM225*AM159+AN225*AN159+AO225*AO159+AP225*AP159+AQ225*AQ159+AR225*AR159+AS225*AS159+AT225*AT159+AU225*AU159+AV225*AV159+AW225*AW159+AX225*AX159+AY225*AY159+AZ225*AZ159+BA225*BA159+BB225*BB159+BC225*BC159+BD225*BD159+BE225*BE159+BF225*BF159+BG225*BG159+BH225*BH159+BI225*BI159+BJ225*BJ159+BK225*BK159+BL225*BL159+BM225*BM159+BN225*BN159+BO225*BO159+BP225*BP159+BQ225*BQ159+BR225*BR159+BS225*BS159+BT225*BT159+BU225*BU159+BV225*BV159+BW225*BW159+BX225*BX159+BY225*BY159+BZ225*BZ159+CA225*CA159+CB225*CB159+CC225*CC159</f>
        <v>0</v>
      </c>
      <c r="CL159" s="2387">
        <f>E226*E159+F226*F159+G226*G159+H226*H159+I226*I159+J226*J159+K226*K159+L226*L159+M226*M159+N226*N159+O226*O159+P226*P159+Q226*Q159+R226*R159+S226*S159+T226*T159+U226*U159+V226*V159+W226*W159+X226*X159+Y226*Y159+Z226*Z159+AA226*AA159+AB226*AB159+AC226*AC159+AD226*AD159+AE226*AE159+AF226*AF159+AG226*AG159+AH226*AH159+AI226*AI159+AJ226*AJ159+AK226*AK159+AL226*AL159+AM226*AM159+AN226*AN159+AO226*AO159+AP226*AP159+AQ226*AQ159+AR226*AR159+AS226*AS159+AT226*AT159+AU226*AU159+AV226*AV159+AW226*AW159+AX226*AX159+AY226*AY159+AZ226*AZ159+BA226*BA159+BB226*BB159+BC226*BC159+BD226*BD159+BE226*BE159+BF226*BF159+BG226*BG159+BH226*BH159+BI226*BI159+BJ226*BJ159+BK226*BK159+BL226*BL159+BM226*BM159+BN226*BN159+BO226*BO159+BP226*BP159+BQ226*BQ159+BR226*BR159+BS226*BS159+BT226*BT159+BU226*BU159+BV226*BV159+BW226*BW159+BX226*BX159+BY226*BY159+BZ226*BZ159+CA226*CA159+CB226*CB159+CC226*CC159</f>
        <v>0</v>
      </c>
      <c r="CM159" s="2387">
        <f>E227*E159+F227*F159+G227*G159+H227*H159+I227*I159+J227*J159+K227*K159+L227*L159+M227*M159+N227*N159+O227*O159+P227*P159+Q227*Q159+R227*R159+S227*S159+T227*T159+U227*U159+V227*V159+W227*W159+X227*X159+Y227*Y159+Z227*Z159+AA227*AA159+AB227*AB159+AC227*AC159+AD227*AD159+AE227*AE159+AF227*AF159+AG227*AG159+AH227*AH159+AI227*AI159+AJ227*AJ159+AK227*AK159+AL227*AL159+AM227*AM159+AN227*AN159+AO227*AO159+AP227*AP159+AQ227*AQ159+AR227*AR159+AS227*AS159+AT227*AT159+AU227*AU159+AV227*AV159+AW227*AW159+AX227*AX159+AY227*AY159+AZ227*AZ159+BA227*BA159+BB227*BB159+BC227*BC159+BD227*BD159+BE227*BE159+BF227*BF159+BG227*BG159+BH227*BH159+BI227*BI159+BJ227*BJ159+BK227*BK159+BL227*BL159+BM227*BM159+BN227*BN159+BO227*BO159+BP227*BP159+BQ227*BQ159+BR227*BR159+BS227*BS159+BT227*BT159+BU227*BU159+BV227*BV159+BW227*BW159+BX227*BX159+BY227*BY159+BZ227*BZ159+CA227*CA159+CB227*CB159+CC227*CC159</f>
        <v>0</v>
      </c>
      <c r="CN159" s="2387">
        <f>E228*E159+F228*F159+G228*G159+H228*H159+I228*I159+J228*J159+K228*K159+L228*L159+M228*M159+N228*N159+O228*O159+P228*P159+Q228*Q159+R228*R159+S228*S159+T228*T159+U228*U159+V228*V159+W228*W159+X228*X159+Y228*Y159+Z228*Z159+AA228*AA159+AB228*AB159+AC228*AC159+AD228*AD159+AE228*AE159+AF228*AF159+AG228*AG159+AH228*AH159+AI228*AI159+AJ228*AJ159+AK228*AK159+AL228*AL159+AM228*AM159+AN228*AN159+AO228*AO159+AP228*AP159+AQ228*AQ159+AR228*AR159+AS228*AS159+AT228*AT159+AU228*AU159+AV228*AV159+AW228*AW159+AX228*AX159+AY228*AY159+AZ228*AZ159+BA228*BA159+BB228*BB159+BC228*BC159+BD228*BD159+BE228*BE159+BF228*BF159+BG228*BG159+BH228*BH159+BI228*BI159+BJ228*BJ159+BK228*BK159+BL228*BL159+BM228*BM159+BN228*BN159+BO228*BO159+BP228*BP159+BQ228*BQ159+BR228*BR159+BS228*BS159+BT228*BT159+BU228*BU159+BV228*BV159+BW228*BW159+BX228*BX159+BY228*BY159+BZ228*BZ159+CA228*CA159+CB228*CB159+CC228*CC159</f>
        <v>0</v>
      </c>
      <c r="CO159" s="2387">
        <f>E229*E159+F229*F159+G229*G159+H229*H159+I229*I159+J229*J159+K229*K159+L229*L159+M229*M159+N229*N159+O229*O159+P229*P159+Q229*Q159+R229*R159+S229*S159+T229*T159+U229*U159+V229*V159+W229*W159+X229*X159+Y229*Y159+Z229*Z159+AA229*AA159+AB229*AB159+AC229*AC159+AD229*AD159+AE229*AE159+AF229*AF159+AG229*AG159+AH229*AH159+AI229*AI159+AJ229*AJ159+AK229*AK159+AL229*AL159+AM229*AM159+AN229*AN159+AO229*AO159+AP229*AP159+AQ229*AQ159+AR229*AR159+AS229*AS159+AT229*AT159+AU229*AU159+AV229*AV159+AW229*AW159+AX229*AX159+AY229*AY159+AZ229*AZ159+BA229*BA159+BB229*BB159+BC229*BC159+BD229*BD159+BE229*BE159+BF229*BF159+BG229*BG159+BH229*BH159+BI229*BI159+BJ229*BJ159+BK229*BK159+BL229*BL159+BM229*BM159+BN229*BN159+BO229*BO159+BP229*BP159+BQ229*BQ159+BR229*BR159+BS229*BS159+BT229*BT159+BU229*BU159+BV229*BV159+BW229*BW159+BX229*BX159+BY229*BY159+BZ229*BZ159+CA229*CA159+CB229*CB159+CC229*CC159</f>
        <v>0</v>
      </c>
      <c r="CP159" s="2387">
        <f>E230*E159+F230*F159+G230*G159+H230*H159+I230*I159+J230*J159+K230*K159+L230*L159+M230*M159+N230*N159+O230*O159+P230*P159+Q230*Q159+R230*R159+S230*S159+T230*T159+U230*U159+V230*V159+W230*W159+X230*X159+Y230*Y159+Z230*Z159+AA230*AA159+AB230*AB159+AC230*AC159+AD230*AD159+AE230*AE159+AF230*AF159+AG230*AG159+AH230*AH159+AI230*AI159+AJ230*AJ159+AK230*AK159+AL230*AL159+AM230*AM159+AN230*AN159+AO230*AO159+AP230*AP159+AQ230*AQ159+AR230*AR159+AS230*AS159+AT230*AT159+AU230*AU159+AV230*AV159+AW230*AW159+AX230*AX159+AY230*AY159+AZ230*AZ159+BA230*BA159+BB230*BB159+BC230*BC159+BD230*BD159+BE230*BE159+BF230*BF159+BG230*BG159+BH230*BH159+BI230*BI159+BJ230*BJ159+BK230*BK159+BL230*BL159+BM230*BM159+BN230*BN159+BO230*BO159+BP230*BP159+BQ230*BQ159+BR230*BR159+BS230*BS159+BT230*BT159+BU230*BU159+BV230*BV159+BW230*BW159+BX230*BX159+BY230*BY159+BZ230*BZ159+CA230*CA159+CB230*CB159+CC230*CC159</f>
        <v>0</v>
      </c>
    </row>
    <row r="160" spans="2:94" x14ac:dyDescent="0.25">
      <c r="B160" s="1587">
        <v>41</v>
      </c>
      <c r="C160" s="1526" t="s">
        <v>352</v>
      </c>
      <c r="D160" s="639" t="s">
        <v>2266</v>
      </c>
      <c r="E160" s="977">
        <f>0</f>
        <v>0</v>
      </c>
      <c r="F160" s="977">
        <f>0</f>
        <v>0</v>
      </c>
      <c r="G160" s="977">
        <f>0</f>
        <v>0</v>
      </c>
      <c r="H160" s="977">
        <f>0</f>
        <v>0</v>
      </c>
      <c r="I160" s="977">
        <f>1-f_E</f>
        <v>0.92</v>
      </c>
      <c r="J160" s="977">
        <f>0</f>
        <v>0</v>
      </c>
      <c r="K160" s="977">
        <f>0</f>
        <v>0</v>
      </c>
      <c r="L160" s="977">
        <f>0</f>
        <v>0</v>
      </c>
      <c r="M160" s="977">
        <f>0</f>
        <v>0</v>
      </c>
      <c r="N160" s="977">
        <f>0</f>
        <v>0</v>
      </c>
      <c r="O160" s="977">
        <f>f_E</f>
        <v>0.08</v>
      </c>
      <c r="P160" s="977">
        <f>0</f>
        <v>0</v>
      </c>
      <c r="Q160" s="977">
        <f>0</f>
        <v>0</v>
      </c>
      <c r="R160" s="977">
        <f>0</f>
        <v>0</v>
      </c>
      <c r="S160" s="977">
        <f>0</f>
        <v>0</v>
      </c>
      <c r="T160" s="977">
        <f>0</f>
        <v>0</v>
      </c>
      <c r="U160" s="977">
        <f>-1</f>
        <v>-1</v>
      </c>
      <c r="V160" s="977">
        <f>0</f>
        <v>0</v>
      </c>
      <c r="W160" s="977">
        <f>0</f>
        <v>0</v>
      </c>
      <c r="X160" s="977">
        <f>0</f>
        <v>0</v>
      </c>
      <c r="Y160" s="977">
        <f>-f_E*(i_N_XE-i_N_BIO)</f>
        <v>8.0000000000000069E-4</v>
      </c>
      <c r="Z160" s="977">
        <f>0</f>
        <v>0</v>
      </c>
      <c r="AA160" s="977">
        <f>0</f>
        <v>0</v>
      </c>
      <c r="AB160" s="977">
        <f>0</f>
        <v>0</v>
      </c>
      <c r="AC160" s="977">
        <f>0</f>
        <v>0</v>
      </c>
      <c r="AD160" s="977">
        <f>(1-f_E)*i_N_BIO</f>
        <v>6.4400000000000013E-2</v>
      </c>
      <c r="AE160" s="977">
        <f>0</f>
        <v>0</v>
      </c>
      <c r="AF160" s="977">
        <f>0</f>
        <v>0</v>
      </c>
      <c r="AG160" s="977">
        <f>0</f>
        <v>0</v>
      </c>
      <c r="AH160" s="977">
        <f>0</f>
        <v>0</v>
      </c>
      <c r="AI160" s="977">
        <f>(1-f_E)*i_P_BIO</f>
        <v>1.84E-2</v>
      </c>
      <c r="AJ160" s="977">
        <f>0</f>
        <v>0</v>
      </c>
      <c r="AK160" s="977">
        <f>0</f>
        <v>0</v>
      </c>
      <c r="AL160" s="977">
        <f>0</f>
        <v>0</v>
      </c>
      <c r="AM160" s="977">
        <f>0</f>
        <v>0</v>
      </c>
      <c r="AN160" s="977">
        <f>(1-f_E)*(i_CIT_BIO-i_CIT_SB)</f>
        <v>6.0720000000000003E-2</v>
      </c>
      <c r="AO160" s="977">
        <f>-i_INORG</f>
        <v>-0.11</v>
      </c>
      <c r="AP160" s="977">
        <f>i_INORG*(1-i_Ca_INORG*(A_MCa+2*A_MCl)/A_MCa-i_Mg_INORG*(A_MMg+2*A_MCl)/A_MMg)*f_Na</f>
        <v>2.8804303582798466E-2</v>
      </c>
      <c r="AQ160" s="977">
        <f>i_INORG*(i_Ca_INORG*(2*A_MCl)/A_MCa+i_Mg_INORG*(2*A_MCl)/A_MMg)+i_INORG*(1-i_Ca_INORG*(A_MCa+2*A_MCl)/A_MCa-i_Mg_INORG*(A_MMg+2*A_MCl)/A_MMg)*(1-f_Na)</f>
        <v>7.0195696417201539E-2</v>
      </c>
      <c r="AR160" s="977">
        <f>i_INORG*i_Ca_INORG</f>
        <v>5.5000000000000005E-3</v>
      </c>
      <c r="AS160" s="977">
        <f>i_INORG*i_Mg_INORG</f>
        <v>5.5000000000000005E-3</v>
      </c>
      <c r="AT160" s="977">
        <f>0</f>
        <v>0</v>
      </c>
      <c r="AU160" s="977">
        <f>0</f>
        <v>0</v>
      </c>
      <c r="AV160" s="977">
        <f>0</f>
        <v>0</v>
      </c>
      <c r="AW160" s="977">
        <f>0</f>
        <v>0</v>
      </c>
      <c r="AX160" s="977">
        <f>0</f>
        <v>0</v>
      </c>
      <c r="AY160" s="977">
        <f>0</f>
        <v>0</v>
      </c>
      <c r="AZ160" s="977">
        <f>0</f>
        <v>0</v>
      </c>
      <c r="BA160" s="977">
        <f>0</f>
        <v>0</v>
      </c>
      <c r="BB160" s="977">
        <f>0</f>
        <v>0</v>
      </c>
      <c r="BC160" s="977">
        <f>0</f>
        <v>0</v>
      </c>
      <c r="BD160" s="977">
        <f>0</f>
        <v>0</v>
      </c>
      <c r="BE160" s="977">
        <f>0</f>
        <v>0</v>
      </c>
      <c r="BF160" s="977">
        <f>0</f>
        <v>0</v>
      </c>
      <c r="BG160" s="977">
        <f>0</f>
        <v>0</v>
      </c>
      <c r="BH160" s="977">
        <f>0</f>
        <v>0</v>
      </c>
      <c r="BI160" s="977">
        <f>0</f>
        <v>0</v>
      </c>
      <c r="BJ160" s="977">
        <f>0</f>
        <v>0</v>
      </c>
      <c r="BK160" s="977">
        <f>0</f>
        <v>0</v>
      </c>
      <c r="BL160" s="977">
        <f>0</f>
        <v>0</v>
      </c>
      <c r="BM160" s="977">
        <f>0</f>
        <v>0</v>
      </c>
      <c r="BN160" s="977">
        <f>0</f>
        <v>0</v>
      </c>
      <c r="BO160" s="977">
        <f>0</f>
        <v>0</v>
      </c>
      <c r="BP160" s="1420">
        <f>0</f>
        <v>0</v>
      </c>
      <c r="BQ160" s="2369">
        <f>0</f>
        <v>0</v>
      </c>
      <c r="BR160" s="977">
        <f>0</f>
        <v>0</v>
      </c>
      <c r="BS160" s="977">
        <f>0</f>
        <v>0</v>
      </c>
      <c r="BT160" s="977">
        <f>0</f>
        <v>0</v>
      </c>
      <c r="BU160" s="977">
        <f>0</f>
        <v>0</v>
      </c>
      <c r="BV160" s="977">
        <f>0</f>
        <v>0</v>
      </c>
      <c r="BW160" s="977">
        <f>0</f>
        <v>0</v>
      </c>
      <c r="BX160" s="977">
        <f>0</f>
        <v>0</v>
      </c>
      <c r="BY160" s="977">
        <f>0</f>
        <v>0</v>
      </c>
      <c r="BZ160" s="977">
        <f>0</f>
        <v>0</v>
      </c>
      <c r="CA160" s="977">
        <f>0</f>
        <v>0</v>
      </c>
      <c r="CB160" s="977">
        <f>0</f>
        <v>0</v>
      </c>
      <c r="CC160" s="977">
        <f>0</f>
        <v>0</v>
      </c>
      <c r="CD160" s="1647">
        <f>b_NOB_T*X_NOB*(M_satSO2_KO2_NOB+η_b_anox*M_satSNOx_KNOx_NOB*M_inhSO2_KO2_NOB)</f>
        <v>2.8323586744639373</v>
      </c>
      <c r="CF160" s="2385">
        <f>E220*E160+F220*F160+G220*G160+H220*H160+I220*I160+J220*J160+K220*K160+L220*L160+M220*M160+N220*N160+O220*O160+P220*P160+Q220*Q160+R220*R160+S220*S160+T220*T160+U220*U160+V220*V160+W220*W160+X220*X160+Y220*Y160+Z220*Z160+AA220*AA160+AB220*AB160+AC220*AC160+AD220*AD160+AE220*AE160+AF220*AF160+AG220*AG160+AH220*AH160+AI220*AI160+AJ220*AJ160+AK220*AK160+AL220*AL160+AM220*AM160+AN220*AN160+AO220*AO160+AP220*AP160+AQ220*AQ160+AR220*AR160+AS220*AS160+AT220*AT160+AU220*AU160+AV220*AV160+AW220*AW160+AX220*AX160+AY220*AY160+AZ220*AZ160+BA220*BA160+BB220*BB160+BC220*BC160+BD220*BD160+BE220*BE160+BF220*BF160+BG220*BG160+BH220*BH160+BI220*BI160+BJ220*BJ160+BK220*BK160+BL220*BL160+BM220*BM160+BN220*BN160+BO220*BO160+BP220*BP160+BQ220*BQ160+BR220*BR160+BS220*BS160+BT220*BT160+BU220*BU160+BV220*BV160+BW220*BW160+BX220*BX160+BY220*BY160+BZ220*BZ160+CA220*CA160+CB220*CB160+CC220*CC160</f>
        <v>0</v>
      </c>
      <c r="CG160" s="2385">
        <f>E221*E160+F221*F160+G221*G160+H221*H160+I221*I160+J221*J160+K221*K160+L221*L160+M221*M160+N221*N160+O221*O160+P221*P160+Q221*Q160+R221*R160+S221*S160+T221*T160+U221*U160+V221*V160+W221*W160+X221*X160+Y221*Y160+Z221*Z160+AA221*AA160+AB221*AB160+AC221*AC160+AD221*AD160+AE221*AE160+AF221*AF160+AG221*AG160+AH221*AH160+AI221*AI160+AJ221*AJ160+AK221*AK160+AL221*AL160+AM221*AM160+AN221*AN160+AO221*AO160+AP221*AP160+AQ221*AQ160+AR221*AR160+AS221*AS160+AT221*AT160+AU221*AU160+AV221*AV160+AW221*AW160+AX221*AX160+AY221*AY160+AZ221*AZ160+BA221*BA160+BB221*BB160+BC221*BC160+BD221*BD160+BE221*BE160+BF221*BF160+BG221*BG160+BH221*BH160+BI221*BI160+BJ221*BJ160+BK221*BK160+BL221*BL160+BM221*BM160+BN221*BN160+BO221*BO160+BP221*BP160+BQ221*BQ160+BR221*BR160+BS221*BS160+BT221*BT160+BU221*BU160+BV221*BV160+BW221*BW160+BX221*BX160+BY221*BY160+BZ221*BZ160+CA221*CA160+CB221*CB160+CC221*CC160</f>
        <v>6.9388939039072284E-18</v>
      </c>
      <c r="CH160" s="2386">
        <f>E222*E160+F222*F160+G222*G160+H222*H160+I222*I160+J222*J160+K222*K160+L222*L160+M222*M160+N222*N160+O222*O160+P222*P160+Q222*Q160+R222*R160+S222*S160+T222*T160+U222*U160+V222*V160+W222*W160+X222*X160+Y222*Y160+Z222*Z160+AA222*AA160+AB222*AB160+AC222*AC160+AD222*AD160+AE222*AE160+AF222*AF160+AG222*AG160+AH222*AH160+AI222*AI160+AJ222*AJ160+AK222*AK160+AL222*AL160+AM222*AM160+AN222*AN160+AO222*AO160+AP222*AP160+AQ222*AQ160+AR222*AR160+AS222*AS160+AT222*AT160+AU222*AU160+AV222*AV160+AW222*AW160+AX222*AX160+AY222*AY160+AZ222*AZ160+BA222*BA160+BB222*BB160+BC222*BC160+BD222*BD160+BE222*BE160+BF222*BF160+BG222*BG160+BH222*BH160+BI222*BI160+BJ222*BJ160+BK222*BK160+BL222*BL160+BM222*BM160+BN222*BN160+BO222*BO160+BP222*BP160+BQ222*BQ160+BR222*BR160+BS222*BS160+BT222*BT160+BU222*BU160+BV222*BV160+BW222*BW160+BX222*BX160+BY222*BY160+BZ222*BZ160+CA222*CA160+CB222*CB160+CC222*CC160</f>
        <v>0</v>
      </c>
      <c r="CI160" s="2387">
        <f>E223*E160+F223*F160+G223*G160+H223*H160+I223*I160+J223*J160+K223*K160+L223*L160+M223*M160+N223*N160+O223*O160+P223*P160+Q223*Q160+R223*R160+S223*S160+T223*T160+U223*U160+V223*V160+W223*W160+X223*X160+Y223*Y160+Z223*Z160+AA223*AA160+AB223*AB160+AC223*AC160+AD223*AD160+AE223*AE160+AF223*AF160+AG223*AG160+AH223*AH160+AI223*AI160+AJ223*AJ160+AK223*AK160+AL223*AL160+AM223*AM160+AN223*AN160+AO223*AO160+AP223*AP160+AQ223*AQ160+AR223*AR160+AS223*AS160+AT223*AT160+AU223*AU160+AV223*AV160+AW223*AW160+AX223*AX160+AY223*AY160+AZ223*AZ160+BA223*BA160+BB223*BB160+BC223*BC160+BD223*BD160+BE223*BE160+BF223*BF160+BG223*BG160+BH223*BH160+BI223*BI160+BJ223*BJ160+BK223*BK160+BL223*BL160+BM223*BM160+BN223*BN160+BO223*BO160+BP223*BP160+BQ223*BQ160+BR223*BR160+BS223*BS160+BT223*BT160+BU223*BU160+BV223*BV160+BW223*BW160+BX223*BX160+BY223*BY160+BZ223*BZ160+CA223*CA160+CB223*CB160+CC223*CC160</f>
        <v>0</v>
      </c>
      <c r="CJ160" s="2387">
        <f>E224*E160+F224*F160+G224*G160+H224*H160+I224*I160+J224*J160+K224*K160+L224*L160+M224*M160+N224*N160+O224*O160+P224*P160+Q224*Q160+R224*R160+S224*S160+T224*T160+U224*U160+V224*V160+W224*W160+X224*X160+Y224*Y160+Z224*Z160+AA224*AA160+AB224*AB160+AC224*AC160+AD224*AD160+AE224*AE160+AF224*AF160+AG224*AG160+AH224*AH160+AI224*AI160+AJ224*AJ160+AK224*AK160+AL224*AL160+AM224*AM160+AN224*AN160+AO224*AO160+AP224*AP160+AQ224*AQ160+AR224*AR160+AS224*AS160+AT224*AT160+AU224*AU160+AV224*AV160+AW224*AW160+AX224*AX160+AY224*AY160+AZ224*AZ160+BA224*BA160+BB224*BB160+BC224*BC160+BD224*BD160+BE224*BE160+BF224*BF160+BG224*BG160+BH224*BH160+BI224*BI160+BJ224*BJ160+BK224*BK160+BL224*BL160+BM224*BM160+BN224*BN160+BO224*BO160+BP224*BP160+BQ224*BQ160+BR224*BR160+BS224*BS160+BT224*BT160+BU224*BU160+BV224*BV160+BW224*BW160+BX224*BX160+BY224*BY160+BZ224*BZ160+CA224*CA160+CB224*CB160+CC224*CC160</f>
        <v>0</v>
      </c>
      <c r="CK160" s="2387">
        <f>E225*E160+F225*F160+G225*G160+H225*H160+I225*I160+J225*J160+K225*K160+L225*L160+M225*M160+N225*N160+O225*O160+P225*P160+Q225*Q160+R225*R160+S225*S160+T225*T160+U225*U160+V225*V160+W225*W160+X225*X160+Y225*Y160+Z225*Z160+AA225*AA160+AB225*AB160+AC225*AC160+AD225*AD160+AE225*AE160+AF225*AF160+AG225*AG160+AH225*AH160+AI225*AI160+AJ225*AJ160+AK225*AK160+AL225*AL160+AM225*AM160+AN225*AN160+AO225*AO160+AP225*AP160+AQ225*AQ160+AR225*AR160+AS225*AS160+AT225*AT160+AU225*AU160+AV225*AV160+AW225*AW160+AX225*AX160+AY225*AY160+AZ225*AZ160+BA225*BA160+BB225*BB160+BC225*BC160+BD225*BD160+BE225*BE160+BF225*BF160+BG225*BG160+BH225*BH160+BI225*BI160+BJ225*BJ160+BK225*BK160+BL225*BL160+BM225*BM160+BN225*BN160+BO225*BO160+BP225*BP160+BQ225*BQ160+BR225*BR160+BS225*BS160+BT225*BT160+BU225*BU160+BV225*BV160+BW225*BW160+BX225*BX160+BY225*BY160+BZ225*BZ160+CA225*CA160+CB225*CB160+CC225*CC160</f>
        <v>0</v>
      </c>
      <c r="CL160" s="2387">
        <f>E226*E160+F226*F160+G226*G160+H226*H160+I226*I160+J226*J160+K226*K160+L226*L160+M226*M160+N226*N160+O226*O160+P226*P160+Q226*Q160+R226*R160+S226*S160+T226*T160+U226*U160+V226*V160+W226*W160+X226*X160+Y226*Y160+Z226*Z160+AA226*AA160+AB226*AB160+AC226*AC160+AD226*AD160+AE226*AE160+AF226*AF160+AG226*AG160+AH226*AH160+AI226*AI160+AJ226*AJ160+AK226*AK160+AL226*AL160+AM226*AM160+AN226*AN160+AO226*AO160+AP226*AP160+AQ226*AQ160+AR226*AR160+AS226*AS160+AT226*AT160+AU226*AU160+AV226*AV160+AW226*AW160+AX226*AX160+AY226*AY160+AZ226*AZ160+BA226*BA160+BB226*BB160+BC226*BC160+BD226*BD160+BE226*BE160+BF226*BF160+BG226*BG160+BH226*BH160+BI226*BI160+BJ226*BJ160+BK226*BK160+BL226*BL160+BM226*BM160+BN226*BN160+BO226*BO160+BP226*BP160+BQ226*BQ160+BR226*BR160+BS226*BS160+BT226*BT160+BU226*BU160+BV226*BV160+BW226*BW160+BX226*BX160+BY226*BY160+BZ226*BZ160+CA226*CA160+CB226*CB160+CC226*CC160</f>
        <v>0</v>
      </c>
      <c r="CM160" s="2387">
        <f>E227*E160+F227*F160+G227*G160+H227*H160+I227*I160+J227*J160+K227*K160+L227*L160+M227*M160+N227*N160+O227*O160+P227*P160+Q227*Q160+R227*R160+S227*S160+T227*T160+U227*U160+V227*V160+W227*W160+X227*X160+Y227*Y160+Z227*Z160+AA227*AA160+AB227*AB160+AC227*AC160+AD227*AD160+AE227*AE160+AF227*AF160+AG227*AG160+AH227*AH160+AI227*AI160+AJ227*AJ160+AK227*AK160+AL227*AL160+AM227*AM160+AN227*AN160+AO227*AO160+AP227*AP160+AQ227*AQ160+AR227*AR160+AS227*AS160+AT227*AT160+AU227*AU160+AV227*AV160+AW227*AW160+AX227*AX160+AY227*AY160+AZ227*AZ160+BA227*BA160+BB227*BB160+BC227*BC160+BD227*BD160+BE227*BE160+BF227*BF160+BG227*BG160+BH227*BH160+BI227*BI160+BJ227*BJ160+BK227*BK160+BL227*BL160+BM227*BM160+BN227*BN160+BO227*BO160+BP227*BP160+BQ227*BQ160+BR227*BR160+BS227*BS160+BT227*BT160+BU227*BU160+BV227*BV160+BW227*BW160+BX227*BX160+BY227*BY160+BZ227*BZ160+CA227*CA160+CB227*CB160+CC227*CC160</f>
        <v>0</v>
      </c>
      <c r="CN160" s="2387">
        <f>E228*E160+F228*F160+G228*G160+H228*H160+I228*I160+J228*J160+K228*K160+L228*L160+M228*M160+N228*N160+O228*O160+P228*P160+Q228*Q160+R228*R160+S228*S160+T228*T160+U228*U160+V228*V160+W228*W160+X228*X160+Y228*Y160+Z228*Z160+AA228*AA160+AB228*AB160+AC228*AC160+AD228*AD160+AE228*AE160+AF228*AF160+AG228*AG160+AH228*AH160+AI228*AI160+AJ228*AJ160+AK228*AK160+AL228*AL160+AM228*AM160+AN228*AN160+AO228*AO160+AP228*AP160+AQ228*AQ160+AR228*AR160+AS228*AS160+AT228*AT160+AU228*AU160+AV228*AV160+AW228*AW160+AX228*AX160+AY228*AY160+AZ228*AZ160+BA228*BA160+BB228*BB160+BC228*BC160+BD228*BD160+BE228*BE160+BF228*BF160+BG228*BG160+BH228*BH160+BI228*BI160+BJ228*BJ160+BK228*BK160+BL228*BL160+BM228*BM160+BN228*BN160+BO228*BO160+BP228*BP160+BQ228*BQ160+BR228*BR160+BS228*BS160+BT228*BT160+BU228*BU160+BV228*BV160+BW228*BW160+BX228*BX160+BY228*BY160+BZ228*BZ160+CA228*CA160+CB228*CB160+CC228*CC160</f>
        <v>0</v>
      </c>
      <c r="CO160" s="2387">
        <f>E229*E160+F229*F160+G229*G160+H229*H160+I229*I160+J229*J160+K229*K160+L229*L160+M229*M160+N229*N160+O229*O160+P229*P160+Q229*Q160+R229*R160+S229*S160+T229*T160+U229*U160+V229*V160+W229*W160+X229*X160+Y229*Y160+Z229*Z160+AA229*AA160+AB229*AB160+AC229*AC160+AD229*AD160+AE229*AE160+AF229*AF160+AG229*AG160+AH229*AH160+AI229*AI160+AJ229*AJ160+AK229*AK160+AL229*AL160+AM229*AM160+AN229*AN160+AO229*AO160+AP229*AP160+AQ229*AQ160+AR229*AR160+AS229*AS160+AT229*AT160+AU229*AU160+AV229*AV160+AW229*AW160+AX229*AX160+AY229*AY160+AZ229*AZ160+BA229*BA160+BB229*BB160+BC229*BC160+BD229*BD160+BE229*BE160+BF229*BF160+BG229*BG160+BH229*BH160+BI229*BI160+BJ229*BJ160+BK229*BK160+BL229*BL160+BM229*BM160+BN229*BN160+BO229*BO160+BP229*BP160+BQ229*BQ160+BR229*BR160+BS229*BS160+BT229*BT160+BU229*BU160+BV229*BV160+BW229*BW160+BX229*BX160+BY229*BY160+BZ229*BZ160+CA229*CA160+CB229*CB160+CC229*CC160</f>
        <v>0</v>
      </c>
      <c r="CP160" s="2387">
        <f>E230*E160+F230*F160+G230*G160+H230*H160+I230*I160+J230*J160+K230*K160+L230*L160+M230*M160+N230*N160+O230*O160+P230*P160+Q230*Q160+R230*R160+S230*S160+T230*T160+U230*U160+V230*V160+W230*W160+X230*X160+Y230*Y160+Z230*Z160+AA230*AA160+AB230*AB160+AC230*AC160+AD230*AD160+AE230*AE160+AF230*AF160+AG230*AG160+AH230*AH160+AI230*AI160+AJ230*AJ160+AK230*AK160+AL230*AL160+AM230*AM160+AN230*AN160+AO230*AO160+AP230*AP160+AQ230*AQ160+AR230*AR160+AS230*AS160+AT230*AT160+AU230*AU160+AV230*AV160+AW230*AW160+AX230*AX160+AY230*AY160+AZ230*AZ160+BA230*BA160+BB230*BB160+BC230*BC160+BD230*BD160+BE230*BE160+BF230*BF160+BG230*BG160+BH230*BH160+BI230*BI160+BJ230*BJ160+BK230*BK160+BL230*BL160+BM230*BM160+BN230*BN160+BO230*BO160+BP230*BP160+BQ230*BQ160+BR230*BR160+BS230*BS160+BT230*BT160+BU230*BU160+BV230*BV160+BW230*BW160+BX230*BX160+BY230*BY160+BZ230*BZ160+CA230*CA160+CB230*CB160+CC230*CC160</f>
        <v>0</v>
      </c>
    </row>
    <row r="161" spans="2:94" x14ac:dyDescent="0.25">
      <c r="B161" s="1587">
        <v>42</v>
      </c>
      <c r="C161" s="1526" t="s">
        <v>4514</v>
      </c>
      <c r="D161" s="639" t="s">
        <v>3082</v>
      </c>
      <c r="E161" s="977">
        <f>0</f>
        <v>0</v>
      </c>
      <c r="F161" s="977">
        <f>0</f>
        <v>0</v>
      </c>
      <c r="G161" s="977">
        <f>0</f>
        <v>0</v>
      </c>
      <c r="H161" s="977">
        <f>0</f>
        <v>0</v>
      </c>
      <c r="I161" s="977">
        <f>1-f_E</f>
        <v>0.92</v>
      </c>
      <c r="J161" s="977">
        <f>0</f>
        <v>0</v>
      </c>
      <c r="K161" s="977">
        <f>0</f>
        <v>0</v>
      </c>
      <c r="L161" s="977">
        <f>0</f>
        <v>0</v>
      </c>
      <c r="M161" s="977">
        <f>0</f>
        <v>0</v>
      </c>
      <c r="N161" s="977">
        <f>0</f>
        <v>0</v>
      </c>
      <c r="O161" s="977">
        <f>0</f>
        <v>0</v>
      </c>
      <c r="P161" s="977">
        <f>f_E</f>
        <v>0.08</v>
      </c>
      <c r="Q161" s="977">
        <f>0</f>
        <v>0</v>
      </c>
      <c r="R161" s="977">
        <f>0</f>
        <v>0</v>
      </c>
      <c r="S161" s="977">
        <f>0</f>
        <v>0</v>
      </c>
      <c r="T161" s="977">
        <f>0</f>
        <v>0</v>
      </c>
      <c r="U161" s="977">
        <f>-1</f>
        <v>-1</v>
      </c>
      <c r="V161" s="977">
        <f>0</f>
        <v>0</v>
      </c>
      <c r="W161" s="977">
        <f>0</f>
        <v>0</v>
      </c>
      <c r="X161" s="977">
        <f>0</f>
        <v>0</v>
      </c>
      <c r="Y161" s="977">
        <f>-f_E*(i_N_XE-i_N_BIO)</f>
        <v>8.0000000000000069E-4</v>
      </c>
      <c r="Z161" s="977">
        <f>0</f>
        <v>0</v>
      </c>
      <c r="AA161" s="977">
        <f>0</f>
        <v>0</v>
      </c>
      <c r="AB161" s="977">
        <f>0</f>
        <v>0</v>
      </c>
      <c r="AC161" s="977">
        <f>0</f>
        <v>0</v>
      </c>
      <c r="AD161" s="977">
        <f>(1-f_E)*i_N_BIO</f>
        <v>6.4400000000000013E-2</v>
      </c>
      <c r="AE161" s="977">
        <f>0</f>
        <v>0</v>
      </c>
      <c r="AF161" s="977">
        <f>0</f>
        <v>0</v>
      </c>
      <c r="AG161" s="977">
        <f>0</f>
        <v>0</v>
      </c>
      <c r="AH161" s="977">
        <f>0</f>
        <v>0</v>
      </c>
      <c r="AI161" s="977">
        <f>(1-f_E)*i_P_BIO</f>
        <v>1.84E-2</v>
      </c>
      <c r="AJ161" s="977">
        <f>0</f>
        <v>0</v>
      </c>
      <c r="AK161" s="977">
        <f>0</f>
        <v>0</v>
      </c>
      <c r="AL161" s="977">
        <f>0</f>
        <v>0</v>
      </c>
      <c r="AM161" s="977">
        <f>0</f>
        <v>0</v>
      </c>
      <c r="AN161" s="977">
        <f>(1-f_E)*(i_CIT_BIO-i_CIT_SB)</f>
        <v>6.0720000000000003E-2</v>
      </c>
      <c r="AO161" s="977">
        <f>-i_INORG</f>
        <v>-0.11</v>
      </c>
      <c r="AP161" s="977">
        <f>i_INORG*(1-i_Ca_INORG*(A_MCa+2*A_MCl)/A_MCa-i_Mg_INORG*(A_MMg+2*A_MCl)/A_MMg)*f_Na</f>
        <v>2.8804303582798466E-2</v>
      </c>
      <c r="AQ161" s="977">
        <f>i_INORG*(i_Ca_INORG*(2*A_MCl)/A_MCa+i_Mg_INORG*(2*A_MCl)/A_MMg)+i_INORG*(1-i_Ca_INORG*(A_MCa+2*A_MCl)/A_MCa-i_Mg_INORG*(A_MMg+2*A_MCl)/A_MMg)*(1-f_Na)</f>
        <v>7.0195696417201539E-2</v>
      </c>
      <c r="AR161" s="977">
        <f>i_INORG*i_Ca_INORG</f>
        <v>5.5000000000000005E-3</v>
      </c>
      <c r="AS161" s="977">
        <f>i_INORG*i_Mg_INORG</f>
        <v>5.5000000000000005E-3</v>
      </c>
      <c r="AT161" s="977">
        <f>0</f>
        <v>0</v>
      </c>
      <c r="AU161" s="977">
        <f>0</f>
        <v>0</v>
      </c>
      <c r="AV161" s="977">
        <f>0</f>
        <v>0</v>
      </c>
      <c r="AW161" s="977">
        <f>0</f>
        <v>0</v>
      </c>
      <c r="AX161" s="977">
        <f>0</f>
        <v>0</v>
      </c>
      <c r="AY161" s="977">
        <f>0</f>
        <v>0</v>
      </c>
      <c r="AZ161" s="977">
        <f>0</f>
        <v>0</v>
      </c>
      <c r="BA161" s="977">
        <f>0</f>
        <v>0</v>
      </c>
      <c r="BB161" s="977">
        <f>0</f>
        <v>0</v>
      </c>
      <c r="BC161" s="977">
        <f>0</f>
        <v>0</v>
      </c>
      <c r="BD161" s="977">
        <f>0</f>
        <v>0</v>
      </c>
      <c r="BE161" s="977">
        <f>0</f>
        <v>0</v>
      </c>
      <c r="BF161" s="977">
        <f>0</f>
        <v>0</v>
      </c>
      <c r="BG161" s="977">
        <f>0</f>
        <v>0</v>
      </c>
      <c r="BH161" s="977">
        <f>0</f>
        <v>0</v>
      </c>
      <c r="BI161" s="977">
        <f>0</f>
        <v>0</v>
      </c>
      <c r="BJ161" s="977">
        <f>0</f>
        <v>0</v>
      </c>
      <c r="BK161" s="977">
        <f>0</f>
        <v>0</v>
      </c>
      <c r="BL161" s="977">
        <f>0</f>
        <v>0</v>
      </c>
      <c r="BM161" s="977">
        <f>0</f>
        <v>0</v>
      </c>
      <c r="BN161" s="977">
        <f>0</f>
        <v>0</v>
      </c>
      <c r="BO161" s="977">
        <f>0</f>
        <v>0</v>
      </c>
      <c r="BP161" s="1420">
        <f>0</f>
        <v>0</v>
      </c>
      <c r="BQ161" s="2369">
        <f>0</f>
        <v>0</v>
      </c>
      <c r="BR161" s="977">
        <f>0</f>
        <v>0</v>
      </c>
      <c r="BS161" s="977">
        <f>0</f>
        <v>0</v>
      </c>
      <c r="BT161" s="977">
        <f>0</f>
        <v>0</v>
      </c>
      <c r="BU161" s="977">
        <f>0</f>
        <v>0</v>
      </c>
      <c r="BV161" s="977">
        <f>0</f>
        <v>0</v>
      </c>
      <c r="BW161" s="977">
        <f>0</f>
        <v>0</v>
      </c>
      <c r="BX161" s="977">
        <f>0</f>
        <v>0</v>
      </c>
      <c r="BY161" s="977">
        <f>0</f>
        <v>0</v>
      </c>
      <c r="BZ161" s="977">
        <f>0</f>
        <v>0</v>
      </c>
      <c r="CA161" s="977">
        <f>0</f>
        <v>0</v>
      </c>
      <c r="CB161" s="977">
        <f>0</f>
        <v>0</v>
      </c>
      <c r="CC161" s="977">
        <f>0</f>
        <v>0</v>
      </c>
      <c r="CD161" s="1647">
        <f>b_NOB_T*X_NOB*(η_b_ana*M_inhSNOx_KNOx_NOB*M_inhSO2_KO2_NOB+m_tox_ana)</f>
        <v>4.8732943469785572E-4</v>
      </c>
      <c r="CF161" s="2385">
        <f>E220*E161+F220*F161+G220*G161+H220*H161+I220*I161+J220*J161+K220*K161+L220*L161+M220*M161+N220*N161+O220*O161+P220*P161+Q220*Q161+R220*R161+S220*S161+T220*T161+U220*U161+V220*V161+W220*W161+X220*X161+Y220*Y161+Z220*Z161+AA220*AA161+AB220*AB161+AC220*AC161+AD220*AD161+AE220*AE161+AF220*AF161+AG220*AG161+AH220*AH161+AI220*AI161+AJ220*AJ161+AK220*AK161+AL220*AL161+AM220*AM161+AN220*AN161+AO220*AO161+AP220*AP161+AQ220*AQ161+AR220*AR161+AS220*AS161+AT220*AT161+AU220*AU161+AV220*AV161+AW220*AW161+AX220*AX161+AY220*AY161+AZ220*AZ161+BA220*BA161+BB220*BB161+BC220*BC161+BD220*BD161+BE220*BE161+BF220*BF161+BG220*BG161+BH220*BH161+BI220*BI161+BJ220*BJ161+BK220*BK161+BL220*BL161+BM220*BM161+BN220*BN161+BO220*BO161+BP220*BP161+BQ220*BQ161+BR220*BR161+BS220*BS161+BT220*BT161+BU220*BU161+BV220*BV161+BW220*BW161+BX220*BX161+BY220*BY161+BZ220*BZ161+CA220*CA161+CB220*CB161+CC220*CC161</f>
        <v>0</v>
      </c>
      <c r="CG161" s="2385">
        <f>E221*E161+F221*F161+G221*G161+H221*H161+I221*I161+J221*J161+K221*K161+L221*L161+M221*M161+N221*N161+O221*O161+P221*P161+Q221*Q161+R221*R161+S221*S161+T221*T161+U221*U161+V221*V161+W221*W161+X221*X161+Y221*Y161+Z221*Z161+AA221*AA161+AB221*AB161+AC221*AC161+AD221*AD161+AE221*AE161+AF221*AF161+AG221*AG161+AH221*AH161+AI221*AI161+AJ221*AJ161+AK221*AK161+AL221*AL161+AM221*AM161+AN221*AN161+AO221*AO161+AP221*AP161+AQ221*AQ161+AR221*AR161+AS221*AS161+AT221*AT161+AU221*AU161+AV221*AV161+AW221*AW161+AX221*AX161+AY221*AY161+AZ221*AZ161+BA221*BA161+BB221*BB161+BC221*BC161+BD221*BD161+BE221*BE161+BF221*BF161+BG221*BG161+BH221*BH161+BI221*BI161+BJ221*BJ161+BK221*BK161+BL221*BL161+BM221*BM161+BN221*BN161+BO221*BO161+BP221*BP161+BQ221*BQ161+BR221*BR161+BS221*BS161+BT221*BT161+BU221*BU161+BV221*BV161+BW221*BW161+BX221*BX161+BY221*BY161+BZ221*BZ161+CA221*CA161+CB221*CB161+CC221*CC161</f>
        <v>6.9388939039072284E-18</v>
      </c>
      <c r="CH161" s="2386">
        <f>E222*E161+F222*F161+G222*G161+H222*H161+I222*I161+J222*J161+K222*K161+L222*L161+M222*M161+N222*N161+O222*O161+P222*P161+Q222*Q161+R222*R161+S222*S161+T222*T161+U222*U161+V222*V161+W222*W161+X222*X161+Y222*Y161+Z222*Z161+AA222*AA161+AB222*AB161+AC222*AC161+AD222*AD161+AE222*AE161+AF222*AF161+AG222*AG161+AH222*AH161+AI222*AI161+AJ222*AJ161+AK222*AK161+AL222*AL161+AM222*AM161+AN222*AN161+AO222*AO161+AP222*AP161+AQ222*AQ161+AR222*AR161+AS222*AS161+AT222*AT161+AU222*AU161+AV222*AV161+AW222*AW161+AX222*AX161+AY222*AY161+AZ222*AZ161+BA222*BA161+BB222*BB161+BC222*BC161+BD222*BD161+BE222*BE161+BF222*BF161+BG222*BG161+BH222*BH161+BI222*BI161+BJ222*BJ161+BK222*BK161+BL222*BL161+BM222*BM161+BN222*BN161+BO222*BO161+BP222*BP161+BQ222*BQ161+BR222*BR161+BS222*BS161+BT222*BT161+BU222*BU161+BV222*BV161+BW222*BW161+BX222*BX161+BY222*BY161+BZ222*BZ161+CA222*CA161+CB222*CB161+CC222*CC161</f>
        <v>0</v>
      </c>
      <c r="CI161" s="2387">
        <f>E223*E161+F223*F161+G223*G161+H223*H161+I223*I161+J223*J161+K223*K161+L223*L161+M223*M161+N223*N161+O223*O161+P223*P161+Q223*Q161+R223*R161+S223*S161+T223*T161+U223*U161+V223*V161+W223*W161+X223*X161+Y223*Y161+Z223*Z161+AA223*AA161+AB223*AB161+AC223*AC161+AD223*AD161+AE223*AE161+AF223*AF161+AG223*AG161+AH223*AH161+AI223*AI161+AJ223*AJ161+AK223*AK161+AL223*AL161+AM223*AM161+AN223*AN161+AO223*AO161+AP223*AP161+AQ223*AQ161+AR223*AR161+AS223*AS161+AT223*AT161+AU223*AU161+AV223*AV161+AW223*AW161+AX223*AX161+AY223*AY161+AZ223*AZ161+BA223*BA161+BB223*BB161+BC223*BC161+BD223*BD161+BE223*BE161+BF223*BF161+BG223*BG161+BH223*BH161+BI223*BI161+BJ223*BJ161+BK223*BK161+BL223*BL161+BM223*BM161+BN223*BN161+BO223*BO161+BP223*BP161+BQ223*BQ161+BR223*BR161+BS223*BS161+BT223*BT161+BU223*BU161+BV223*BV161+BW223*BW161+BX223*BX161+BY223*BY161+BZ223*BZ161+CA223*CA161+CB223*CB161+CC223*CC161</f>
        <v>0</v>
      </c>
      <c r="CJ161" s="2387">
        <f>E224*E161+F224*F161+G224*G161+H224*H161+I224*I161+J224*J161+K224*K161+L224*L161+M224*M161+N224*N161+O224*O161+P224*P161+Q224*Q161+R224*R161+S224*S161+T224*T161+U224*U161+V224*V161+W224*W161+X224*X161+Y224*Y161+Z224*Z161+AA224*AA161+AB224*AB161+AC224*AC161+AD224*AD161+AE224*AE161+AF224*AF161+AG224*AG161+AH224*AH161+AI224*AI161+AJ224*AJ161+AK224*AK161+AL224*AL161+AM224*AM161+AN224*AN161+AO224*AO161+AP224*AP161+AQ224*AQ161+AR224*AR161+AS224*AS161+AT224*AT161+AU224*AU161+AV224*AV161+AW224*AW161+AX224*AX161+AY224*AY161+AZ224*AZ161+BA224*BA161+BB224*BB161+BC224*BC161+BD224*BD161+BE224*BE161+BF224*BF161+BG224*BG161+BH224*BH161+BI224*BI161+BJ224*BJ161+BK224*BK161+BL224*BL161+BM224*BM161+BN224*BN161+BO224*BO161+BP224*BP161+BQ224*BQ161+BR224*BR161+BS224*BS161+BT224*BT161+BU224*BU161+BV224*BV161+BW224*BW161+BX224*BX161+BY224*BY161+BZ224*BZ161+CA224*CA161+CB224*CB161+CC224*CC161</f>
        <v>0</v>
      </c>
      <c r="CK161" s="2387">
        <f>E225*E161+F225*F161+G225*G161+H225*H161+I225*I161+J225*J161+K225*K161+L225*L161+M225*M161+N225*N161+O225*O161+P225*P161+Q225*Q161+R225*R161+S225*S161+T225*T161+U225*U161+V225*V161+W225*W161+X225*X161+Y225*Y161+Z225*Z161+AA225*AA161+AB225*AB161+AC225*AC161+AD225*AD161+AE225*AE161+AF225*AF161+AG225*AG161+AH225*AH161+AI225*AI161+AJ225*AJ161+AK225*AK161+AL225*AL161+AM225*AM161+AN225*AN161+AO225*AO161+AP225*AP161+AQ225*AQ161+AR225*AR161+AS225*AS161+AT225*AT161+AU225*AU161+AV225*AV161+AW225*AW161+AX225*AX161+AY225*AY161+AZ225*AZ161+BA225*BA161+BB225*BB161+BC225*BC161+BD225*BD161+BE225*BE161+BF225*BF161+BG225*BG161+BH225*BH161+BI225*BI161+BJ225*BJ161+BK225*BK161+BL225*BL161+BM225*BM161+BN225*BN161+BO225*BO161+BP225*BP161+BQ225*BQ161+BR225*BR161+BS225*BS161+BT225*BT161+BU225*BU161+BV225*BV161+BW225*BW161+BX225*BX161+BY225*BY161+BZ225*BZ161+CA225*CA161+CB225*CB161+CC225*CC161</f>
        <v>0</v>
      </c>
      <c r="CL161" s="2387">
        <f>E226*E161+F226*F161+G226*G161+H226*H161+I226*I161+J226*J161+K226*K161+L226*L161+M226*M161+N226*N161+O226*O161+P226*P161+Q226*Q161+R226*R161+S226*S161+T226*T161+U226*U161+V226*V161+W226*W161+X226*X161+Y226*Y161+Z226*Z161+AA226*AA161+AB226*AB161+AC226*AC161+AD226*AD161+AE226*AE161+AF226*AF161+AG226*AG161+AH226*AH161+AI226*AI161+AJ226*AJ161+AK226*AK161+AL226*AL161+AM226*AM161+AN226*AN161+AO226*AO161+AP226*AP161+AQ226*AQ161+AR226*AR161+AS226*AS161+AT226*AT161+AU226*AU161+AV226*AV161+AW226*AW161+AX226*AX161+AY226*AY161+AZ226*AZ161+BA226*BA161+BB226*BB161+BC226*BC161+BD226*BD161+BE226*BE161+BF226*BF161+BG226*BG161+BH226*BH161+BI226*BI161+BJ226*BJ161+BK226*BK161+BL226*BL161+BM226*BM161+BN226*BN161+BO226*BO161+BP226*BP161+BQ226*BQ161+BR226*BR161+BS226*BS161+BT226*BT161+BU226*BU161+BV226*BV161+BW226*BW161+BX226*BX161+BY226*BY161+BZ226*BZ161+CA226*CA161+CB226*CB161+CC226*CC161</f>
        <v>0</v>
      </c>
      <c r="CM161" s="2387">
        <f>E227*E161+F227*F161+G227*G161+H227*H161+I227*I161+J227*J161+K227*K161+L227*L161+M227*M161+N227*N161+O227*O161+P227*P161+Q227*Q161+R227*R161+S227*S161+T227*T161+U227*U161+V227*V161+W227*W161+X227*X161+Y227*Y161+Z227*Z161+AA227*AA161+AB227*AB161+AC227*AC161+AD227*AD161+AE227*AE161+AF227*AF161+AG227*AG161+AH227*AH161+AI227*AI161+AJ227*AJ161+AK227*AK161+AL227*AL161+AM227*AM161+AN227*AN161+AO227*AO161+AP227*AP161+AQ227*AQ161+AR227*AR161+AS227*AS161+AT227*AT161+AU227*AU161+AV227*AV161+AW227*AW161+AX227*AX161+AY227*AY161+AZ227*AZ161+BA227*BA161+BB227*BB161+BC227*BC161+BD227*BD161+BE227*BE161+BF227*BF161+BG227*BG161+BH227*BH161+BI227*BI161+BJ227*BJ161+BK227*BK161+BL227*BL161+BM227*BM161+BN227*BN161+BO227*BO161+BP227*BP161+BQ227*BQ161+BR227*BR161+BS227*BS161+BT227*BT161+BU227*BU161+BV227*BV161+BW227*BW161+BX227*BX161+BY227*BY161+BZ227*BZ161+CA227*CA161+CB227*CB161+CC227*CC161</f>
        <v>0</v>
      </c>
      <c r="CN161" s="2387">
        <f>E228*E161+F228*F161+G228*G161+H228*H161+I228*I161+J228*J161+K228*K161+L228*L161+M228*M161+N228*N161+O228*O161+P228*P161+Q228*Q161+R228*R161+S228*S161+T228*T161+U228*U161+V228*V161+W228*W161+X228*X161+Y228*Y161+Z228*Z161+AA228*AA161+AB228*AB161+AC228*AC161+AD228*AD161+AE228*AE161+AF228*AF161+AG228*AG161+AH228*AH161+AI228*AI161+AJ228*AJ161+AK228*AK161+AL228*AL161+AM228*AM161+AN228*AN161+AO228*AO161+AP228*AP161+AQ228*AQ161+AR228*AR161+AS228*AS161+AT228*AT161+AU228*AU161+AV228*AV161+AW228*AW161+AX228*AX161+AY228*AY161+AZ228*AZ161+BA228*BA161+BB228*BB161+BC228*BC161+BD228*BD161+BE228*BE161+BF228*BF161+BG228*BG161+BH228*BH161+BI228*BI161+BJ228*BJ161+BK228*BK161+BL228*BL161+BM228*BM161+BN228*BN161+BO228*BO161+BP228*BP161+BQ228*BQ161+BR228*BR161+BS228*BS161+BT228*BT161+BU228*BU161+BV228*BV161+BW228*BW161+BX228*BX161+BY228*BY161+BZ228*BZ161+CA228*CA161+CB228*CB161+CC228*CC161</f>
        <v>0</v>
      </c>
      <c r="CO161" s="2387">
        <f>E229*E161+F229*F161+G229*G161+H229*H161+I229*I161+J229*J161+K229*K161+L229*L161+M229*M161+N229*N161+O229*O161+P229*P161+Q229*Q161+R229*R161+S229*S161+T229*T161+U229*U161+V229*V161+W229*W161+X229*X161+Y229*Y161+Z229*Z161+AA229*AA161+AB229*AB161+AC229*AC161+AD229*AD161+AE229*AE161+AF229*AF161+AG229*AG161+AH229*AH161+AI229*AI161+AJ229*AJ161+AK229*AK161+AL229*AL161+AM229*AM161+AN229*AN161+AO229*AO161+AP229*AP161+AQ229*AQ161+AR229*AR161+AS229*AS161+AT229*AT161+AU229*AU161+AV229*AV161+AW229*AW161+AX229*AX161+AY229*AY161+AZ229*AZ161+BA229*BA161+BB229*BB161+BC229*BC161+BD229*BD161+BE229*BE161+BF229*BF161+BG229*BG161+BH229*BH161+BI229*BI161+BJ229*BJ161+BK229*BK161+BL229*BL161+BM229*BM161+BN229*BN161+BO229*BO161+BP229*BP161+BQ229*BQ161+BR229*BR161+BS229*BS161+BT229*BT161+BU229*BU161+BV229*BV161+BW229*BW161+BX229*BX161+BY229*BY161+BZ229*BZ161+CA229*CA161+CB229*CB161+CC229*CC161</f>
        <v>0</v>
      </c>
      <c r="CP161" s="2387">
        <f>E230*E161+F230*F161+G230*G161+H230*H161+I230*I161+J230*J161+K230*K161+L230*L161+M230*M161+N230*N161+O230*O161+P230*P161+Q230*Q161+R230*R161+S230*S161+T230*T161+U230*U161+V230*V161+W230*W161+X230*X161+Y230*Y161+Z230*Z161+AA230*AA161+AB230*AB161+AC230*AC161+AD230*AD161+AE230*AE161+AF230*AF161+AG230*AG161+AH230*AH161+AI230*AI161+AJ230*AJ161+AK230*AK161+AL230*AL161+AM230*AM161+AN230*AN161+AO230*AO161+AP230*AP161+AQ230*AQ161+AR230*AR161+AS230*AS161+AT230*AT161+AU230*AU161+AV230*AV161+AW230*AW161+AX230*AX161+AY230*AY161+AZ230*AZ161+BA230*BA161+BB230*BB161+BC230*BC161+BD230*BD161+BE230*BE161+BF230*BF161+BG230*BG161+BH230*BH161+BI230*BI161+BJ230*BJ161+BK230*BK161+BL230*BL161+BM230*BM161+BN230*BN161+BO230*BO161+BP230*BP161+BQ230*BQ161+BR230*BR161+BS230*BS161+BT230*BT161+BU230*BU161+BV230*BV161+BW230*BW161+BX230*BX161+BY230*BY161+BZ230*BZ161+CA230*CA161+CB230*CB161+CC230*CC161</f>
        <v>0</v>
      </c>
    </row>
    <row r="162" spans="2:94" x14ac:dyDescent="0.25">
      <c r="B162" s="1588">
        <v>43</v>
      </c>
      <c r="C162" s="1527" t="s">
        <v>4515</v>
      </c>
      <c r="D162" s="645" t="s">
        <v>2267</v>
      </c>
      <c r="E162" s="978">
        <f>0</f>
        <v>0</v>
      </c>
      <c r="F162" s="978">
        <f>0</f>
        <v>0</v>
      </c>
      <c r="G162" s="978">
        <f>0</f>
        <v>0</v>
      </c>
      <c r="H162" s="978">
        <f>0</f>
        <v>0</v>
      </c>
      <c r="I162" s="978">
        <f>0</f>
        <v>0</v>
      </c>
      <c r="J162" s="978">
        <f>0</f>
        <v>0</v>
      </c>
      <c r="K162" s="978">
        <f>0</f>
        <v>0</v>
      </c>
      <c r="L162" s="978">
        <f>0</f>
        <v>0</v>
      </c>
      <c r="M162" s="978">
        <f>0</f>
        <v>0</v>
      </c>
      <c r="N162" s="978">
        <f>0</f>
        <v>0</v>
      </c>
      <c r="O162" s="978">
        <f>0</f>
        <v>0</v>
      </c>
      <c r="P162" s="978">
        <f>0</f>
        <v>0</v>
      </c>
      <c r="Q162" s="978">
        <f>0</f>
        <v>0</v>
      </c>
      <c r="R162" s="978">
        <f>0</f>
        <v>0</v>
      </c>
      <c r="S162" s="978">
        <f>0</f>
        <v>0</v>
      </c>
      <c r="T162" s="978">
        <f>0</f>
        <v>0</v>
      </c>
      <c r="U162" s="978">
        <f>0</f>
        <v>0</v>
      </c>
      <c r="V162" s="978">
        <f>1</f>
        <v>1</v>
      </c>
      <c r="W162" s="978">
        <f>0</f>
        <v>0</v>
      </c>
      <c r="X162" s="978">
        <f>0</f>
        <v>0</v>
      </c>
      <c r="Y162" s="2370">
        <f>-(3*i_N_BIO*A_MO+2*A_MN)/(5*Y_AMX_NO3+3-3*Y_AMX_NO2)/A_MO</f>
        <v>-5.7673622319660547</v>
      </c>
      <c r="Z162" s="2370">
        <f>-Y_AMX_NO2/(5*Y_AMX_NO3+3-3*Y_AMX_NO2)*(3*i_N_BIO*A_MO+2*A_MN)/A_MO</f>
        <v>-7.6129181461951925</v>
      </c>
      <c r="AA162" s="2370">
        <f>Y_AMX_NO3/(5*Y_AMX_NO3+3-3*Y_AMX_NO2)*(3*i_N_BIO*A_MO+2*A_MN)/A_MO</f>
        <v>1.4995141803111742</v>
      </c>
      <c r="AB162" s="2370">
        <f>2*(Y_AMX_NO3*A_MN-1*A_MN-1*Y_AMX_NO2*A_MN+4*Y_AMX_NO3*i_N_BIO*A_MO-3*Y_AMX_NO2*i_N_BIO*A_MO)/A_MO/(3*Y_AMX_NO2-5*Y_AMX_NO3-3)</f>
        <v>11.810766197850072</v>
      </c>
      <c r="AC162" s="2370">
        <f>0</f>
        <v>0</v>
      </c>
      <c r="AD162" s="2370">
        <f>0</f>
        <v>0</v>
      </c>
      <c r="AE162" s="978">
        <f>0</f>
        <v>0</v>
      </c>
      <c r="AF162" s="978">
        <f>-i_P_BIO</f>
        <v>-0.02</v>
      </c>
      <c r="AG162" s="978">
        <f>0</f>
        <v>0</v>
      </c>
      <c r="AH162" s="978">
        <f>0</f>
        <v>0</v>
      </c>
      <c r="AI162" s="978">
        <f>0</f>
        <v>0</v>
      </c>
      <c r="AJ162" s="978">
        <f>0</f>
        <v>0</v>
      </c>
      <c r="AK162" s="978">
        <f>0</f>
        <v>0</v>
      </c>
      <c r="AL162" s="978">
        <f>0</f>
        <v>0</v>
      </c>
      <c r="AM162" s="978">
        <f>0</f>
        <v>0</v>
      </c>
      <c r="AN162" s="978">
        <f>-i_CIT_BIO</f>
        <v>-0.35199999999999998</v>
      </c>
      <c r="AO162" s="978">
        <f>i_INORG</f>
        <v>0.11</v>
      </c>
      <c r="AP162" s="978">
        <f>-i_INORG*(1-i_Ca_INORG*(A_MCa+2*A_MCl)/A_MCa-i_Mg_INORG*(A_MMg+2*A_MCl)/A_MMg)*f_Na</f>
        <v>-2.8804303582798466E-2</v>
      </c>
      <c r="AQ162" s="978">
        <f>-i_INORG*(i_Ca_INORG*(2*A_MCl)/A_MCa+i_Mg_INORG*(2*A_MCl)/A_MMg)-i_INORG*(1-i_Ca_INORG*(A_MCa+2*A_MCl)/A_MCa-i_Mg_INORG*(A_MMg+2*A_MCl)/A_MMg)*(1-f_Na)</f>
        <v>-7.0195696417201539E-2</v>
      </c>
      <c r="AR162" s="978">
        <f>-i_INORG*i_Ca_INORG</f>
        <v>-5.5000000000000005E-3</v>
      </c>
      <c r="AS162" s="978">
        <f>-i_INORG*i_Mg_INORG</f>
        <v>-5.5000000000000005E-3</v>
      </c>
      <c r="AT162" s="978">
        <f>0</f>
        <v>0</v>
      </c>
      <c r="AU162" s="978">
        <f>0</f>
        <v>0</v>
      </c>
      <c r="AV162" s="978">
        <f>0</f>
        <v>0</v>
      </c>
      <c r="AW162" s="978">
        <f>0</f>
        <v>0</v>
      </c>
      <c r="AX162" s="978">
        <f>0</f>
        <v>0</v>
      </c>
      <c r="AY162" s="978">
        <f>0</f>
        <v>0</v>
      </c>
      <c r="AZ162" s="978">
        <f>0</f>
        <v>0</v>
      </c>
      <c r="BA162" s="978">
        <f>0</f>
        <v>0</v>
      </c>
      <c r="BB162" s="978">
        <f>0</f>
        <v>0</v>
      </c>
      <c r="BC162" s="978">
        <f>0</f>
        <v>0</v>
      </c>
      <c r="BD162" s="978">
        <f>0</f>
        <v>0</v>
      </c>
      <c r="BE162" s="978">
        <f>0</f>
        <v>0</v>
      </c>
      <c r="BF162" s="978">
        <f>0</f>
        <v>0</v>
      </c>
      <c r="BG162" s="978">
        <f>0</f>
        <v>0</v>
      </c>
      <c r="BH162" s="978">
        <f>0</f>
        <v>0</v>
      </c>
      <c r="BI162" s="978">
        <f>0</f>
        <v>0</v>
      </c>
      <c r="BJ162" s="978">
        <f>0</f>
        <v>0</v>
      </c>
      <c r="BK162" s="978">
        <f>0</f>
        <v>0</v>
      </c>
      <c r="BL162" s="978">
        <f>0</f>
        <v>0</v>
      </c>
      <c r="BM162" s="978">
        <f>0</f>
        <v>0</v>
      </c>
      <c r="BN162" s="978">
        <f>0</f>
        <v>0</v>
      </c>
      <c r="BO162" s="978">
        <f>0</f>
        <v>0</v>
      </c>
      <c r="BP162" s="1421">
        <f>0</f>
        <v>0</v>
      </c>
      <c r="BQ162" s="2370">
        <f>0</f>
        <v>0</v>
      </c>
      <c r="BR162" s="978">
        <f>0</f>
        <v>0</v>
      </c>
      <c r="BS162" s="978">
        <f>0</f>
        <v>0</v>
      </c>
      <c r="BT162" s="978">
        <f>0</f>
        <v>0</v>
      </c>
      <c r="BU162" s="978">
        <f>0</f>
        <v>0</v>
      </c>
      <c r="BV162" s="978">
        <f>0</f>
        <v>0</v>
      </c>
      <c r="BW162" s="978">
        <f>0</f>
        <v>0</v>
      </c>
      <c r="BX162" s="978">
        <f>0</f>
        <v>0</v>
      </c>
      <c r="BY162" s="978">
        <f>0</f>
        <v>0</v>
      </c>
      <c r="BZ162" s="978">
        <f>0</f>
        <v>0</v>
      </c>
      <c r="CA162" s="978">
        <f>0</f>
        <v>0</v>
      </c>
      <c r="CB162" s="978">
        <f>0</f>
        <v>0</v>
      </c>
      <c r="CC162" s="978">
        <f>0</f>
        <v>0</v>
      </c>
      <c r="CD162" s="1653">
        <f>µ_AMX_T*X_AMX*M_satSNHx_KNHx_AMX*M_satSNO2_KNO2_AMX*M_inhSO2_KiO2_AMX*L_ogsatpHCO2_AMX*M_satSPO4_KPO4_BIO*M_satSCAT_KCAT*M_satSAN_KAN*M_satSCa_KCa*M_satSMg_KMg*B_ellinhpH*M_inhpHHNO2_AMX</f>
        <v>5.0125651939223804E-4</v>
      </c>
      <c r="CF162" s="2385">
        <f>E220*E162+F220*F162+G220*G162+H220*H162+I220*I162+J220*J162+K220*K162+L220*L162+M220*M162+N220*N162+O220*O162+P220*P162+Q220*Q162+R220*R162+S220*S162+T220*T162+U220*U162+V220*V162+W220*W162+X220*X162+Y220*Y162+Z220*Z162+AA220*AA162+AB220*AB162+AC220*AC162+AD220*AD162+AE220*AE162+AF220*AF162+AG220*AG162+AH220*AH162+AI220*AI162+AJ220*AJ162+AK220*AK162+AL220*AL162+AM220*AM162+AN220*AN162+AO220*AO162+AP220*AP162+AQ220*AQ162+AR220*AR162+AS220*AS162+AT220*AT162+AU220*AU162+AV220*AV162+AW220*AW162+AX220*AX162+AY220*AY162+AZ220*AZ162+BA220*BA162+BB220*BB162+BC220*BC162+BD220*BD162+BE220*BE162+BF220*BF162+BG220*BG162+BH220*BH162+BI220*BI162+BJ220*BJ162+BK220*BK162+BL220*BL162+BM220*BM162+BN220*BN162+BO220*BO162+BP220*BP162+BQ220*BQ162+BR220*BR162+BS220*BS162+BT220*BT162+BU220*BU162+BV220*BV162+BW220*BW162+BX220*BX162+BY220*BY162+BZ220*BZ162+CA220*CA162+CB220*CB162+CC220*CC162</f>
        <v>3.5527136788005009E-15</v>
      </c>
      <c r="CG162" s="2385">
        <f>E221*E162+F221*F162+G221*G162+H221*H162+I221*I162+J221*J162+K221*K162+L221*L162+M221*M162+N221*N162+O221*O162+P221*P162+Q221*Q162+R221*R162+S221*S162+T221*T162+U221*U162+V221*V162+W221*W162+X221*X162+Y221*Y162+Z221*Z162+AA221*AA162+AB221*AB162+AC221*AC162+AD221*AD162+AE221*AE162+AF221*AF162+AG221*AG162+AH221*AH162+AI221*AI162+AJ221*AJ162+AK221*AK162+AL221*AL162+AM221*AM162+AN221*AN162+AO221*AO162+AP221*AP162+AQ221*AQ162+AR221*AR162+AS221*AS162+AT221*AT162+AU221*AU162+AV221*AV162+AW221*AW162+AX221*AX162+AY221*AY162+AZ221*AZ162+BA221*BA162+BB221*BB162+BC221*BC162+BD221*BD162+BE221*BE162+BF221*BF162+BG221*BG162+BH221*BH162+BI221*BI162+BJ221*BJ162+BK221*BK162+BL221*BL162+BM221*BM162+BN221*BN162+BO221*BO162+BP221*BP162+BQ221*BQ162+BR221*BR162+BS221*BS162+BT221*BT162+BU221*BU162+BV221*BV162+BW221*BW162+BX221*BX162+BY221*BY162+BZ221*BZ162+CA221*CA162+CB221*CB162+CC221*CC162</f>
        <v>0</v>
      </c>
      <c r="CH162" s="2386">
        <f>E222*E162+F222*F162+G222*G162+H222*H162+I222*I162+J222*J162+K222*K162+L222*L162+M222*M162+N222*N162+O222*O162+P222*P162+Q222*Q162+R222*R162+S222*S162+T222*T162+U222*U162+V222*V162+W222*W162+X222*X162+Y222*Y162+Z222*Z162+AA222*AA162+AB222*AB162+AC222*AC162+AD222*AD162+AE222*AE162+AF222*AF162+AG222*AG162+AH222*AH162+AI222*AI162+AJ222*AJ162+AK222*AK162+AL222*AL162+AM222*AM162+AN222*AN162+AO222*AO162+AP222*AP162+AQ222*AQ162+AR222*AR162+AS222*AS162+AT222*AT162+AU222*AU162+AV222*AV162+AW222*AW162+AX222*AX162+AY222*AY162+AZ222*AZ162+BA222*BA162+BB222*BB162+BC222*BC162+BD222*BD162+BE222*BE162+BF222*BF162+BG222*BG162+BH222*BH162+BI222*BI162+BJ222*BJ162+BK222*BK162+BL222*BL162+BM222*BM162+BN222*BN162+BO222*BO162+BP222*BP162+BQ222*BQ162+BR222*BR162+BS222*BS162+BT222*BT162+BU222*BU162+BV222*BV162+BW222*BW162+BX222*BX162+BY222*BY162+BZ222*BZ162+CA222*CA162+CB222*CB162+CC222*CC162</f>
        <v>-1.7763568394002505E-15</v>
      </c>
      <c r="CI162" s="2387">
        <f>E223*E162+F223*F162+G223*G162+H223*H162+I223*I162+J223*J162+K223*K162+L223*L162+M223*M162+N223*N162+O223*O162+P223*P162+Q223*Q162+R223*R162+S223*S162+T223*T162+U223*U162+V223*V162+W223*W162+X223*X162+Y223*Y162+Z223*Z162+AA223*AA162+AB223*AB162+AC223*AC162+AD223*AD162+AE223*AE162+AF223*AF162+AG223*AG162+AH223*AH162+AI223*AI162+AJ223*AJ162+AK223*AK162+AL223*AL162+AM223*AM162+AN223*AN162+AO223*AO162+AP223*AP162+AQ223*AQ162+AR223*AR162+AS223*AS162+AT223*AT162+AU223*AU162+AV223*AV162+AW223*AW162+AX223*AX162+AY223*AY162+AZ223*AZ162+BA223*BA162+BB223*BB162+BC223*BC162+BD223*BD162+BE223*BE162+BF223*BF162+BG223*BG162+BH223*BH162+BI223*BI162+BJ223*BJ162+BK223*BK162+BL223*BL162+BM223*BM162+BN223*BN162+BO223*BO162+BP223*BP162+BQ223*BQ162+BR223*BR162+BS223*BS162+BT223*BT162+BU223*BU162+BV223*BV162+BW223*BW162+BX223*BX162+BY223*BY162+BZ223*BZ162+CA223*CA162+CB223*CB162+CC223*CC162</f>
        <v>0</v>
      </c>
      <c r="CJ162" s="2387">
        <f>E224*E162+F224*F162+G224*G162+H224*H162+I224*I162+J224*J162+K224*K162+L224*L162+M224*M162+N224*N162+O224*O162+P224*P162+Q224*Q162+R224*R162+S224*S162+T224*T162+U224*U162+V224*V162+W224*W162+X224*X162+Y224*Y162+Z224*Z162+AA224*AA162+AB224*AB162+AC224*AC162+AD224*AD162+AE224*AE162+AF224*AF162+AG224*AG162+AH224*AH162+AI224*AI162+AJ224*AJ162+AK224*AK162+AL224*AL162+AM224*AM162+AN224*AN162+AO224*AO162+AP224*AP162+AQ224*AQ162+AR224*AR162+AS224*AS162+AT224*AT162+AU224*AU162+AV224*AV162+AW224*AW162+AX224*AX162+AY224*AY162+AZ224*AZ162+BA224*BA162+BB224*BB162+BC224*BC162+BD224*BD162+BE224*BE162+BF224*BF162+BG224*BG162+BH224*BH162+BI224*BI162+BJ224*BJ162+BK224*BK162+BL224*BL162+BM224*BM162+BN224*BN162+BO224*BO162+BP224*BP162+BQ224*BQ162+BR224*BR162+BS224*BS162+BT224*BT162+BU224*BU162+BV224*BV162+BW224*BW162+BX224*BX162+BY224*BY162+BZ224*BZ162+CA224*CA162+CB224*CB162+CC224*CC162</f>
        <v>0</v>
      </c>
      <c r="CK162" s="2387">
        <f>E225*E162+F225*F162+G225*G162+H225*H162+I225*I162+J225*J162+K225*K162+L225*L162+M225*M162+N225*N162+O225*O162+P225*P162+Q225*Q162+R225*R162+S225*S162+T225*T162+U225*U162+V225*V162+W225*W162+X225*X162+Y225*Y162+Z225*Z162+AA225*AA162+AB225*AB162+AC225*AC162+AD225*AD162+AE225*AE162+AF225*AF162+AG225*AG162+AH225*AH162+AI225*AI162+AJ225*AJ162+AK225*AK162+AL225*AL162+AM225*AM162+AN225*AN162+AO225*AO162+AP225*AP162+AQ225*AQ162+AR225*AR162+AS225*AS162+AT225*AT162+AU225*AU162+AV225*AV162+AW225*AW162+AX225*AX162+AY225*AY162+AZ225*AZ162+BA225*BA162+BB225*BB162+BC225*BC162+BD225*BD162+BE225*BE162+BF225*BF162+BG225*BG162+BH225*BH162+BI225*BI162+BJ225*BJ162+BK225*BK162+BL225*BL162+BM225*BM162+BN225*BN162+BO225*BO162+BP225*BP162+BQ225*BQ162+BR225*BR162+BS225*BS162+BT225*BT162+BU225*BU162+BV225*BV162+BW225*BW162+BX225*BX162+BY225*BY162+BZ225*BZ162+CA225*CA162+CB225*CB162+CC225*CC162</f>
        <v>0</v>
      </c>
      <c r="CL162" s="2387">
        <f>E226*E162+F226*F162+G226*G162+H226*H162+I226*I162+J226*J162+K226*K162+L226*L162+M226*M162+N226*N162+O226*O162+P226*P162+Q226*Q162+R226*R162+S226*S162+T226*T162+U226*U162+V226*V162+W226*W162+X226*X162+Y226*Y162+Z226*Z162+AA226*AA162+AB226*AB162+AC226*AC162+AD226*AD162+AE226*AE162+AF226*AF162+AG226*AG162+AH226*AH162+AI226*AI162+AJ226*AJ162+AK226*AK162+AL226*AL162+AM226*AM162+AN226*AN162+AO226*AO162+AP226*AP162+AQ226*AQ162+AR226*AR162+AS226*AS162+AT226*AT162+AU226*AU162+AV226*AV162+AW226*AW162+AX226*AX162+AY226*AY162+AZ226*AZ162+BA226*BA162+BB226*BB162+BC226*BC162+BD226*BD162+BE226*BE162+BF226*BF162+BG226*BG162+BH226*BH162+BI226*BI162+BJ226*BJ162+BK226*BK162+BL226*BL162+BM226*BM162+BN226*BN162+BO226*BO162+BP226*BP162+BQ226*BQ162+BR226*BR162+BS226*BS162+BT226*BT162+BU226*BU162+BV226*BV162+BW226*BW162+BX226*BX162+BY226*BY162+BZ226*BZ162+CA226*CA162+CB226*CB162+CC226*CC162</f>
        <v>0</v>
      </c>
      <c r="CM162" s="2387">
        <f>E227*E162+F227*F162+G227*G162+H227*H162+I227*I162+J227*J162+K227*K162+L227*L162+M227*M162+N227*N162+O227*O162+P227*P162+Q227*Q162+R227*R162+S227*S162+T227*T162+U227*U162+V227*V162+W227*W162+X227*X162+Y227*Y162+Z227*Z162+AA227*AA162+AB227*AB162+AC227*AC162+AD227*AD162+AE227*AE162+AF227*AF162+AG227*AG162+AH227*AH162+AI227*AI162+AJ227*AJ162+AK227*AK162+AL227*AL162+AM227*AM162+AN227*AN162+AO227*AO162+AP227*AP162+AQ227*AQ162+AR227*AR162+AS227*AS162+AT227*AT162+AU227*AU162+AV227*AV162+AW227*AW162+AX227*AX162+AY227*AY162+AZ227*AZ162+BA227*BA162+BB227*BB162+BC227*BC162+BD227*BD162+BE227*BE162+BF227*BF162+BG227*BG162+BH227*BH162+BI227*BI162+BJ227*BJ162+BK227*BK162+BL227*BL162+BM227*BM162+BN227*BN162+BO227*BO162+BP227*BP162+BQ227*BQ162+BR227*BR162+BS227*BS162+BT227*BT162+BU227*BU162+BV227*BV162+BW227*BW162+BX227*BX162+BY227*BY162+BZ227*BZ162+CA227*CA162+CB227*CB162+CC227*CC162</f>
        <v>0</v>
      </c>
      <c r="CN162" s="2387">
        <f>E228*E162+F228*F162+G228*G162+H228*H162+I228*I162+J228*J162+K228*K162+L228*L162+M228*M162+N228*N162+O228*O162+P228*P162+Q228*Q162+R228*R162+S228*S162+T228*T162+U228*U162+V228*V162+W228*W162+X228*X162+Y228*Y162+Z228*Z162+AA228*AA162+AB228*AB162+AC228*AC162+AD228*AD162+AE228*AE162+AF228*AF162+AG228*AG162+AH228*AH162+AI228*AI162+AJ228*AJ162+AK228*AK162+AL228*AL162+AM228*AM162+AN228*AN162+AO228*AO162+AP228*AP162+AQ228*AQ162+AR228*AR162+AS228*AS162+AT228*AT162+AU228*AU162+AV228*AV162+AW228*AW162+AX228*AX162+AY228*AY162+AZ228*AZ162+BA228*BA162+BB228*BB162+BC228*BC162+BD228*BD162+BE228*BE162+BF228*BF162+BG228*BG162+BH228*BH162+BI228*BI162+BJ228*BJ162+BK228*BK162+BL228*BL162+BM228*BM162+BN228*BN162+BO228*BO162+BP228*BP162+BQ228*BQ162+BR228*BR162+BS228*BS162+BT228*BT162+BU228*BU162+BV228*BV162+BW228*BW162+BX228*BX162+BY228*BY162+BZ228*BZ162+CA228*CA162+CB228*CB162+CC228*CC162</f>
        <v>0</v>
      </c>
      <c r="CO162" s="2387">
        <f>E229*E162+F229*F162+G229*G162+H229*H162+I229*I162+J229*J162+K229*K162+L229*L162+M229*M162+N229*N162+O229*O162+P229*P162+Q229*Q162+R229*R162+S229*S162+T229*T162+U229*U162+V229*V162+W229*W162+X229*X162+Y229*Y162+Z229*Z162+AA229*AA162+AB229*AB162+AC229*AC162+AD229*AD162+AE229*AE162+AF229*AF162+AG229*AG162+AH229*AH162+AI229*AI162+AJ229*AJ162+AK229*AK162+AL229*AL162+AM229*AM162+AN229*AN162+AO229*AO162+AP229*AP162+AQ229*AQ162+AR229*AR162+AS229*AS162+AT229*AT162+AU229*AU162+AV229*AV162+AW229*AW162+AX229*AX162+AY229*AY162+AZ229*AZ162+BA229*BA162+BB229*BB162+BC229*BC162+BD229*BD162+BE229*BE162+BF229*BF162+BG229*BG162+BH229*BH162+BI229*BI162+BJ229*BJ162+BK229*BK162+BL229*BL162+BM229*BM162+BN229*BN162+BO229*BO162+BP229*BP162+BQ229*BQ162+BR229*BR162+BS229*BS162+BT229*BT162+BU229*BU162+BV229*BV162+BW229*BW162+BX229*BX162+BY229*BY162+BZ229*BZ162+CA229*CA162+CB229*CB162+CC229*CC162</f>
        <v>0</v>
      </c>
      <c r="CP162" s="2387">
        <f>E230*E162+F230*F162+G230*G162+H230*H162+I230*I162+J230*J162+K230*K162+L230*L162+M230*M162+N230*N162+O230*O162+P230*P162+Q230*Q162+R230*R162+S230*S162+T230*T162+U230*U162+V230*V162+W230*W162+X230*X162+Y230*Y162+Z230*Z162+AA230*AA162+AB230*AB162+AC230*AC162+AD230*AD162+AE230*AE162+AF230*AF162+AG230*AG162+AH230*AH162+AI230*AI162+AJ230*AJ162+AK230*AK162+AL230*AL162+AM230*AM162+AN230*AN162+AO230*AO162+AP230*AP162+AQ230*AQ162+AR230*AR162+AS230*AS162+AT230*AT162+AU230*AU162+AV230*AV162+AW230*AW162+AX230*AX162+AY230*AY162+AZ230*AZ162+BA230*BA162+BB230*BB162+BC230*BC162+BD230*BD162+BE230*BE162+BF230*BF162+BG230*BG162+BH230*BH162+BI230*BI162+BJ230*BJ162+BK230*BK162+BL230*BL162+BM230*BM162+BN230*BN162+BO230*BO162+BP230*BP162+BQ230*BQ162+BR230*BR162+BS230*BS162+BT230*BT162+BU230*BU162+BV230*BV162+BW230*BW162+BX230*BX162+BY230*BY162+BZ230*BZ162+CA230*CA162+CB230*CB162+CC230*CC162</f>
        <v>0</v>
      </c>
    </row>
    <row r="163" spans="2:94" x14ac:dyDescent="0.25">
      <c r="B163" s="1588">
        <v>44</v>
      </c>
      <c r="C163" s="1527" t="s">
        <v>847</v>
      </c>
      <c r="D163" s="645" t="s">
        <v>2268</v>
      </c>
      <c r="E163" s="979">
        <f>0</f>
        <v>0</v>
      </c>
      <c r="F163" s="979">
        <f>0</f>
        <v>0</v>
      </c>
      <c r="G163" s="979">
        <f>0</f>
        <v>0</v>
      </c>
      <c r="H163" s="979">
        <f>0</f>
        <v>0</v>
      </c>
      <c r="I163" s="979">
        <f>1-f_E</f>
        <v>0.92</v>
      </c>
      <c r="J163" s="979">
        <f>0</f>
        <v>0</v>
      </c>
      <c r="K163" s="979">
        <f>0</f>
        <v>0</v>
      </c>
      <c r="L163" s="979">
        <f>0</f>
        <v>0</v>
      </c>
      <c r="M163" s="979">
        <f>0</f>
        <v>0</v>
      </c>
      <c r="N163" s="979">
        <f>0</f>
        <v>0</v>
      </c>
      <c r="O163" s="979">
        <f>f_E</f>
        <v>0.08</v>
      </c>
      <c r="P163" s="979">
        <f>0</f>
        <v>0</v>
      </c>
      <c r="Q163" s="979">
        <f>0</f>
        <v>0</v>
      </c>
      <c r="R163" s="979">
        <f>0</f>
        <v>0</v>
      </c>
      <c r="S163" s="979">
        <f>0</f>
        <v>0</v>
      </c>
      <c r="T163" s="979">
        <f>0</f>
        <v>0</v>
      </c>
      <c r="U163" s="979">
        <f>0</f>
        <v>0</v>
      </c>
      <c r="V163" s="979">
        <f>-1</f>
        <v>-1</v>
      </c>
      <c r="W163" s="979">
        <f>0</f>
        <v>0</v>
      </c>
      <c r="X163" s="979">
        <f>0</f>
        <v>0</v>
      </c>
      <c r="Y163" s="979">
        <f>-f_E*(i_N_XE-i_N_BIO)</f>
        <v>8.0000000000000069E-4</v>
      </c>
      <c r="Z163" s="979">
        <f>0</f>
        <v>0</v>
      </c>
      <c r="AA163" s="979">
        <f>0</f>
        <v>0</v>
      </c>
      <c r="AB163" s="979">
        <f>0</f>
        <v>0</v>
      </c>
      <c r="AC163" s="979">
        <f>0</f>
        <v>0</v>
      </c>
      <c r="AD163" s="979">
        <f>(1-f_E)*i_N_BIO</f>
        <v>6.4400000000000013E-2</v>
      </c>
      <c r="AE163" s="979">
        <f>0</f>
        <v>0</v>
      </c>
      <c r="AF163" s="979">
        <f>0</f>
        <v>0</v>
      </c>
      <c r="AG163" s="979">
        <f>0</f>
        <v>0</v>
      </c>
      <c r="AH163" s="979">
        <f>0</f>
        <v>0</v>
      </c>
      <c r="AI163" s="979">
        <f>(1-f_E)*i_P_BIO</f>
        <v>1.84E-2</v>
      </c>
      <c r="AJ163" s="979">
        <f>0</f>
        <v>0</v>
      </c>
      <c r="AK163" s="979">
        <f>0</f>
        <v>0</v>
      </c>
      <c r="AL163" s="979">
        <f>0</f>
        <v>0</v>
      </c>
      <c r="AM163" s="979">
        <f>0</f>
        <v>0</v>
      </c>
      <c r="AN163" s="979">
        <f>(1-f_E)*(i_CIT_BIO-i_CIT_SB)</f>
        <v>6.0720000000000003E-2</v>
      </c>
      <c r="AO163" s="979">
        <f>-i_INORG</f>
        <v>-0.11</v>
      </c>
      <c r="AP163" s="979">
        <f>i_INORG*(1-i_Ca_INORG*(A_MCa+2*A_MCl)/A_MCa-i_Mg_INORG*(A_MMg+2*A_MCl)/A_MMg)*f_Na</f>
        <v>2.8804303582798466E-2</v>
      </c>
      <c r="AQ163" s="979">
        <f>i_INORG*(i_Ca_INORG*(2*A_MCl)/A_MCa+i_Mg_INORG*(2*A_MCl)/A_MMg)+i_INORG*(1-i_Ca_INORG*(A_MCa+2*A_MCl)/A_MCa-i_Mg_INORG*(A_MMg+2*A_MCl)/A_MMg)*(1-f_Na)</f>
        <v>7.0195696417201539E-2</v>
      </c>
      <c r="AR163" s="979">
        <f>i_INORG*i_Ca_INORG</f>
        <v>5.5000000000000005E-3</v>
      </c>
      <c r="AS163" s="979">
        <f>i_INORG*i_Mg_INORG</f>
        <v>5.5000000000000005E-3</v>
      </c>
      <c r="AT163" s="979">
        <f>0</f>
        <v>0</v>
      </c>
      <c r="AU163" s="979">
        <f>0</f>
        <v>0</v>
      </c>
      <c r="AV163" s="979">
        <f>0</f>
        <v>0</v>
      </c>
      <c r="AW163" s="979">
        <f>0</f>
        <v>0</v>
      </c>
      <c r="AX163" s="979">
        <f>0</f>
        <v>0</v>
      </c>
      <c r="AY163" s="979">
        <f>0</f>
        <v>0</v>
      </c>
      <c r="AZ163" s="979">
        <f>0</f>
        <v>0</v>
      </c>
      <c r="BA163" s="979">
        <f>0</f>
        <v>0</v>
      </c>
      <c r="BB163" s="979">
        <f>0</f>
        <v>0</v>
      </c>
      <c r="BC163" s="979">
        <f>0</f>
        <v>0</v>
      </c>
      <c r="BD163" s="979">
        <f>0</f>
        <v>0</v>
      </c>
      <c r="BE163" s="979">
        <f>0</f>
        <v>0</v>
      </c>
      <c r="BF163" s="979">
        <f>0</f>
        <v>0</v>
      </c>
      <c r="BG163" s="979">
        <f>0</f>
        <v>0</v>
      </c>
      <c r="BH163" s="979">
        <f>0</f>
        <v>0</v>
      </c>
      <c r="BI163" s="979">
        <f>0</f>
        <v>0</v>
      </c>
      <c r="BJ163" s="979">
        <f>0</f>
        <v>0</v>
      </c>
      <c r="BK163" s="979">
        <f>0</f>
        <v>0</v>
      </c>
      <c r="BL163" s="979">
        <f>0</f>
        <v>0</v>
      </c>
      <c r="BM163" s="979">
        <f>0</f>
        <v>0</v>
      </c>
      <c r="BN163" s="979">
        <f>0</f>
        <v>0</v>
      </c>
      <c r="BO163" s="979">
        <f>0</f>
        <v>0</v>
      </c>
      <c r="BP163" s="1422">
        <f>0</f>
        <v>0</v>
      </c>
      <c r="BQ163" s="2371">
        <f>0</f>
        <v>0</v>
      </c>
      <c r="BR163" s="979">
        <f>0</f>
        <v>0</v>
      </c>
      <c r="BS163" s="979">
        <f>0</f>
        <v>0</v>
      </c>
      <c r="BT163" s="979">
        <f>0</f>
        <v>0</v>
      </c>
      <c r="BU163" s="979">
        <f>0</f>
        <v>0</v>
      </c>
      <c r="BV163" s="979">
        <f>0</f>
        <v>0</v>
      </c>
      <c r="BW163" s="979">
        <f>0</f>
        <v>0</v>
      </c>
      <c r="BX163" s="979">
        <f>0</f>
        <v>0</v>
      </c>
      <c r="BY163" s="979">
        <f>0</f>
        <v>0</v>
      </c>
      <c r="BZ163" s="979">
        <f>0</f>
        <v>0</v>
      </c>
      <c r="CA163" s="979">
        <f>0</f>
        <v>0</v>
      </c>
      <c r="CB163" s="979">
        <f>0</f>
        <v>0</v>
      </c>
      <c r="CC163" s="979">
        <f>0</f>
        <v>0</v>
      </c>
      <c r="CD163" s="1653">
        <f>b_AMX_T*X_AMX*(M_satSO2_KiO2_AMX+η_b_anox*M_satSNOx_KNOx_AMX*M_inhSO2_KiO2_AMX)</f>
        <v>1.738621794871795E-2</v>
      </c>
      <c r="CF163" s="2385">
        <f>E220*E163+F220*F163+G220*G163+H220*H163+I220*I163+J220*J163+K220*K163+L220*L163+M220*M163+N220*N163+O220*O163+P220*P163+Q220*Q163+R220*R163+S220*S163+T220*T163+U220*U163+V220*V163+W220*W163+X220*X163+Y220*Y163+Z220*Z163+AA220*AA163+AB220*AB163+AC220*AC163+AD220*AD163+AE220*AE163+AF220*AF163+AG220*AG163+AH220*AH163+AI220*AI163+AJ220*AJ163+AK220*AK163+AL220*AL163+AM220*AM163+AN220*AN163+AO220*AO163+AP220*AP163+AQ220*AQ163+AR220*AR163+AS220*AS163+AT220*AT163+AU220*AU163+AV220*AV163+AW220*AW163+AX220*AX163+AY220*AY163+AZ220*AZ163+BA220*BA163+BB220*BB163+BC220*BC163+BD220*BD163+BE220*BE163+BF220*BF163+BG220*BG163+BH220*BH163+BI220*BI163+BJ220*BJ163+BK220*BK163+BL220*BL163+BM220*BM163+BN220*BN163+BO220*BO163+BP220*BP163+BQ220*BQ163+BR220*BR163+BS220*BS163+BT220*BT163+BU220*BU163+BV220*BV163+BW220*BW163+BX220*BX163+BY220*BY163+BZ220*BZ163+CA220*CA163+CB220*CB163+CC220*CC163</f>
        <v>0</v>
      </c>
      <c r="CG163" s="2385">
        <f>E221*E163+F221*F163+G221*G163+H221*H163+I221*I163+J221*J163+K221*K163+L221*L163+M221*M163+N221*N163+O221*O163+P221*P163+Q221*Q163+R221*R163+S221*S163+T221*T163+U221*U163+V221*V163+W221*W163+X221*X163+Y221*Y163+Z221*Z163+AA221*AA163+AB221*AB163+AC221*AC163+AD221*AD163+AE221*AE163+AF221*AF163+AG221*AG163+AH221*AH163+AI221*AI163+AJ221*AJ163+AK221*AK163+AL221*AL163+AM221*AM163+AN221*AN163+AO221*AO163+AP221*AP163+AQ221*AQ163+AR221*AR163+AS221*AS163+AT221*AT163+AU221*AU163+AV221*AV163+AW221*AW163+AX221*AX163+AY221*AY163+AZ221*AZ163+BA221*BA163+BB221*BB163+BC221*BC163+BD221*BD163+BE221*BE163+BF221*BF163+BG221*BG163+BH221*BH163+BI221*BI163+BJ221*BJ163+BK221*BK163+BL221*BL163+BM221*BM163+BN221*BN163+BO221*BO163+BP221*BP163+BQ221*BQ163+BR221*BR163+BS221*BS163+BT221*BT163+BU221*BU163+BV221*BV163+BW221*BW163+BX221*BX163+BY221*BY163+BZ221*BZ163+CA221*CA163+CB221*CB163+CC221*CC163</f>
        <v>6.9388939039072284E-18</v>
      </c>
      <c r="CH163" s="2386">
        <f>E222*E163+F222*F163+G222*G163+H222*H163+I222*I163+J222*J163+K222*K163+L222*L163+M222*M163+N222*N163+O222*O163+P222*P163+Q222*Q163+R222*R163+S222*S163+T222*T163+U222*U163+V222*V163+W222*W163+X222*X163+Y222*Y163+Z222*Z163+AA222*AA163+AB222*AB163+AC222*AC163+AD222*AD163+AE222*AE163+AF222*AF163+AG222*AG163+AH222*AH163+AI222*AI163+AJ222*AJ163+AK222*AK163+AL222*AL163+AM222*AM163+AN222*AN163+AO222*AO163+AP222*AP163+AQ222*AQ163+AR222*AR163+AS222*AS163+AT222*AT163+AU222*AU163+AV222*AV163+AW222*AW163+AX222*AX163+AY222*AY163+AZ222*AZ163+BA222*BA163+BB222*BB163+BC222*BC163+BD222*BD163+BE222*BE163+BF222*BF163+BG222*BG163+BH222*BH163+BI222*BI163+BJ222*BJ163+BK222*BK163+BL222*BL163+BM222*BM163+BN222*BN163+BO222*BO163+BP222*BP163+BQ222*BQ163+BR222*BR163+BS222*BS163+BT222*BT163+BU222*BU163+BV222*BV163+BW222*BW163+BX222*BX163+BY222*BY163+BZ222*BZ163+CA222*CA163+CB222*CB163+CC222*CC163</f>
        <v>0</v>
      </c>
      <c r="CI163" s="2387">
        <f>E223*E163+F223*F163+G223*G163+H223*H163+I223*I163+J223*J163+K223*K163+L223*L163+M223*M163+N223*N163+O223*O163+P223*P163+Q223*Q163+R223*R163+S223*S163+T223*T163+U223*U163+V223*V163+W223*W163+X223*X163+Y223*Y163+Z223*Z163+AA223*AA163+AB223*AB163+AC223*AC163+AD223*AD163+AE223*AE163+AF223*AF163+AG223*AG163+AH223*AH163+AI223*AI163+AJ223*AJ163+AK223*AK163+AL223*AL163+AM223*AM163+AN223*AN163+AO223*AO163+AP223*AP163+AQ223*AQ163+AR223*AR163+AS223*AS163+AT223*AT163+AU223*AU163+AV223*AV163+AW223*AW163+AX223*AX163+AY223*AY163+AZ223*AZ163+BA223*BA163+BB223*BB163+BC223*BC163+BD223*BD163+BE223*BE163+BF223*BF163+BG223*BG163+BH223*BH163+BI223*BI163+BJ223*BJ163+BK223*BK163+BL223*BL163+BM223*BM163+BN223*BN163+BO223*BO163+BP223*BP163+BQ223*BQ163+BR223*BR163+BS223*BS163+BT223*BT163+BU223*BU163+BV223*BV163+BW223*BW163+BX223*BX163+BY223*BY163+BZ223*BZ163+CA223*CA163+CB223*CB163+CC223*CC163</f>
        <v>0</v>
      </c>
      <c r="CJ163" s="2387">
        <f>E224*E163+F224*F163+G224*G163+H224*H163+I224*I163+J224*J163+K224*K163+L224*L163+M224*M163+N224*N163+O224*O163+P224*P163+Q224*Q163+R224*R163+S224*S163+T224*T163+U224*U163+V224*V163+W224*W163+X224*X163+Y224*Y163+Z224*Z163+AA224*AA163+AB224*AB163+AC224*AC163+AD224*AD163+AE224*AE163+AF224*AF163+AG224*AG163+AH224*AH163+AI224*AI163+AJ224*AJ163+AK224*AK163+AL224*AL163+AM224*AM163+AN224*AN163+AO224*AO163+AP224*AP163+AQ224*AQ163+AR224*AR163+AS224*AS163+AT224*AT163+AU224*AU163+AV224*AV163+AW224*AW163+AX224*AX163+AY224*AY163+AZ224*AZ163+BA224*BA163+BB224*BB163+BC224*BC163+BD224*BD163+BE224*BE163+BF224*BF163+BG224*BG163+BH224*BH163+BI224*BI163+BJ224*BJ163+BK224*BK163+BL224*BL163+BM224*BM163+BN224*BN163+BO224*BO163+BP224*BP163+BQ224*BQ163+BR224*BR163+BS224*BS163+BT224*BT163+BU224*BU163+BV224*BV163+BW224*BW163+BX224*BX163+BY224*BY163+BZ224*BZ163+CA224*CA163+CB224*CB163+CC224*CC163</f>
        <v>0</v>
      </c>
      <c r="CK163" s="2387">
        <f>E225*E163+F225*F163+G225*G163+H225*H163+I225*I163+J225*J163+K225*K163+L225*L163+M225*M163+N225*N163+O225*O163+P225*P163+Q225*Q163+R225*R163+S225*S163+T225*T163+U225*U163+V225*V163+W225*W163+X225*X163+Y225*Y163+Z225*Z163+AA225*AA163+AB225*AB163+AC225*AC163+AD225*AD163+AE225*AE163+AF225*AF163+AG225*AG163+AH225*AH163+AI225*AI163+AJ225*AJ163+AK225*AK163+AL225*AL163+AM225*AM163+AN225*AN163+AO225*AO163+AP225*AP163+AQ225*AQ163+AR225*AR163+AS225*AS163+AT225*AT163+AU225*AU163+AV225*AV163+AW225*AW163+AX225*AX163+AY225*AY163+AZ225*AZ163+BA225*BA163+BB225*BB163+BC225*BC163+BD225*BD163+BE225*BE163+BF225*BF163+BG225*BG163+BH225*BH163+BI225*BI163+BJ225*BJ163+BK225*BK163+BL225*BL163+BM225*BM163+BN225*BN163+BO225*BO163+BP225*BP163+BQ225*BQ163+BR225*BR163+BS225*BS163+BT225*BT163+BU225*BU163+BV225*BV163+BW225*BW163+BX225*BX163+BY225*BY163+BZ225*BZ163+CA225*CA163+CB225*CB163+CC225*CC163</f>
        <v>0</v>
      </c>
      <c r="CL163" s="2387">
        <f>E226*E163+F226*F163+G226*G163+H226*H163+I226*I163+J226*J163+K226*K163+L226*L163+M226*M163+N226*N163+O226*O163+P226*P163+Q226*Q163+R226*R163+S226*S163+T226*T163+U226*U163+V226*V163+W226*W163+X226*X163+Y226*Y163+Z226*Z163+AA226*AA163+AB226*AB163+AC226*AC163+AD226*AD163+AE226*AE163+AF226*AF163+AG226*AG163+AH226*AH163+AI226*AI163+AJ226*AJ163+AK226*AK163+AL226*AL163+AM226*AM163+AN226*AN163+AO226*AO163+AP226*AP163+AQ226*AQ163+AR226*AR163+AS226*AS163+AT226*AT163+AU226*AU163+AV226*AV163+AW226*AW163+AX226*AX163+AY226*AY163+AZ226*AZ163+BA226*BA163+BB226*BB163+BC226*BC163+BD226*BD163+BE226*BE163+BF226*BF163+BG226*BG163+BH226*BH163+BI226*BI163+BJ226*BJ163+BK226*BK163+BL226*BL163+BM226*BM163+BN226*BN163+BO226*BO163+BP226*BP163+BQ226*BQ163+BR226*BR163+BS226*BS163+BT226*BT163+BU226*BU163+BV226*BV163+BW226*BW163+BX226*BX163+BY226*BY163+BZ226*BZ163+CA226*CA163+CB226*CB163+CC226*CC163</f>
        <v>0</v>
      </c>
      <c r="CM163" s="2387">
        <f>E227*E163+F227*F163+G227*G163+H227*H163+I227*I163+J227*J163+K227*K163+L227*L163+M227*M163+N227*N163+O227*O163+P227*P163+Q227*Q163+R227*R163+S227*S163+T227*T163+U227*U163+V227*V163+W227*W163+X227*X163+Y227*Y163+Z227*Z163+AA227*AA163+AB227*AB163+AC227*AC163+AD227*AD163+AE227*AE163+AF227*AF163+AG227*AG163+AH227*AH163+AI227*AI163+AJ227*AJ163+AK227*AK163+AL227*AL163+AM227*AM163+AN227*AN163+AO227*AO163+AP227*AP163+AQ227*AQ163+AR227*AR163+AS227*AS163+AT227*AT163+AU227*AU163+AV227*AV163+AW227*AW163+AX227*AX163+AY227*AY163+AZ227*AZ163+BA227*BA163+BB227*BB163+BC227*BC163+BD227*BD163+BE227*BE163+BF227*BF163+BG227*BG163+BH227*BH163+BI227*BI163+BJ227*BJ163+BK227*BK163+BL227*BL163+BM227*BM163+BN227*BN163+BO227*BO163+BP227*BP163+BQ227*BQ163+BR227*BR163+BS227*BS163+BT227*BT163+BU227*BU163+BV227*BV163+BW227*BW163+BX227*BX163+BY227*BY163+BZ227*BZ163+CA227*CA163+CB227*CB163+CC227*CC163</f>
        <v>0</v>
      </c>
      <c r="CN163" s="2387">
        <f>E228*E163+F228*F163+G228*G163+H228*H163+I228*I163+J228*J163+K228*K163+L228*L163+M228*M163+N228*N163+O228*O163+P228*P163+Q228*Q163+R228*R163+S228*S163+T228*T163+U228*U163+V228*V163+W228*W163+X228*X163+Y228*Y163+Z228*Z163+AA228*AA163+AB228*AB163+AC228*AC163+AD228*AD163+AE228*AE163+AF228*AF163+AG228*AG163+AH228*AH163+AI228*AI163+AJ228*AJ163+AK228*AK163+AL228*AL163+AM228*AM163+AN228*AN163+AO228*AO163+AP228*AP163+AQ228*AQ163+AR228*AR163+AS228*AS163+AT228*AT163+AU228*AU163+AV228*AV163+AW228*AW163+AX228*AX163+AY228*AY163+AZ228*AZ163+BA228*BA163+BB228*BB163+BC228*BC163+BD228*BD163+BE228*BE163+BF228*BF163+BG228*BG163+BH228*BH163+BI228*BI163+BJ228*BJ163+BK228*BK163+BL228*BL163+BM228*BM163+BN228*BN163+BO228*BO163+BP228*BP163+BQ228*BQ163+BR228*BR163+BS228*BS163+BT228*BT163+BU228*BU163+BV228*BV163+BW228*BW163+BX228*BX163+BY228*BY163+BZ228*BZ163+CA228*CA163+CB228*CB163+CC228*CC163</f>
        <v>0</v>
      </c>
      <c r="CO163" s="2387">
        <f>E229*E163+F229*F163+G229*G163+H229*H163+I229*I163+J229*J163+K229*K163+L229*L163+M229*M163+N229*N163+O229*O163+P229*P163+Q229*Q163+R229*R163+S229*S163+T229*T163+U229*U163+V229*V163+W229*W163+X229*X163+Y229*Y163+Z229*Z163+AA229*AA163+AB229*AB163+AC229*AC163+AD229*AD163+AE229*AE163+AF229*AF163+AG229*AG163+AH229*AH163+AI229*AI163+AJ229*AJ163+AK229*AK163+AL229*AL163+AM229*AM163+AN229*AN163+AO229*AO163+AP229*AP163+AQ229*AQ163+AR229*AR163+AS229*AS163+AT229*AT163+AU229*AU163+AV229*AV163+AW229*AW163+AX229*AX163+AY229*AY163+AZ229*AZ163+BA229*BA163+BB229*BB163+BC229*BC163+BD229*BD163+BE229*BE163+BF229*BF163+BG229*BG163+BH229*BH163+BI229*BI163+BJ229*BJ163+BK229*BK163+BL229*BL163+BM229*BM163+BN229*BN163+BO229*BO163+BP229*BP163+BQ229*BQ163+BR229*BR163+BS229*BS163+BT229*BT163+BU229*BU163+BV229*BV163+BW229*BW163+BX229*BX163+BY229*BY163+BZ229*BZ163+CA229*CA163+CB229*CB163+CC229*CC163</f>
        <v>0</v>
      </c>
      <c r="CP163" s="2387">
        <f>E230*E163+F230*F163+G230*G163+H230*H163+I230*I163+J230*J163+K230*K163+L230*L163+M230*M163+N230*N163+O230*O163+P230*P163+Q230*Q163+R230*R163+S230*S163+T230*T163+U230*U163+V230*V163+W230*W163+X230*X163+Y230*Y163+Z230*Z163+AA230*AA163+AB230*AB163+AC230*AC163+AD230*AD163+AE230*AE163+AF230*AF163+AG230*AG163+AH230*AH163+AI230*AI163+AJ230*AJ163+AK230*AK163+AL230*AL163+AM230*AM163+AN230*AN163+AO230*AO163+AP230*AP163+AQ230*AQ163+AR230*AR163+AS230*AS163+AT230*AT163+AU230*AU163+AV230*AV163+AW230*AW163+AX230*AX163+AY230*AY163+AZ230*AZ163+BA230*BA163+BB230*BB163+BC230*BC163+BD230*BD163+BE230*BE163+BF230*BF163+BG230*BG163+BH230*BH163+BI230*BI163+BJ230*BJ163+BK230*BK163+BL230*BL163+BM230*BM163+BN230*BN163+BO230*BO163+BP230*BP163+BQ230*BQ163+BR230*BR163+BS230*BS163+BT230*BT163+BU230*BU163+BV230*BV163+BW230*BW163+BX230*BX163+BY230*BY163+BZ230*BZ163+CA230*CA163+CB230*CB163+CC230*CC163</f>
        <v>0</v>
      </c>
    </row>
    <row r="164" spans="2:94" x14ac:dyDescent="0.25">
      <c r="B164" s="1588">
        <v>45</v>
      </c>
      <c r="C164" s="1527" t="s">
        <v>440</v>
      </c>
      <c r="D164" s="645" t="s">
        <v>3083</v>
      </c>
      <c r="E164" s="979">
        <f>0</f>
        <v>0</v>
      </c>
      <c r="F164" s="979">
        <f>0</f>
        <v>0</v>
      </c>
      <c r="G164" s="979">
        <f>0</f>
        <v>0</v>
      </c>
      <c r="H164" s="979">
        <f>0</f>
        <v>0</v>
      </c>
      <c r="I164" s="979">
        <f>1-f_E</f>
        <v>0.92</v>
      </c>
      <c r="J164" s="979">
        <f>0</f>
        <v>0</v>
      </c>
      <c r="K164" s="979">
        <f>0</f>
        <v>0</v>
      </c>
      <c r="L164" s="979">
        <f>0</f>
        <v>0</v>
      </c>
      <c r="M164" s="979">
        <f>0</f>
        <v>0</v>
      </c>
      <c r="N164" s="979">
        <f>0</f>
        <v>0</v>
      </c>
      <c r="O164" s="979">
        <f>0</f>
        <v>0</v>
      </c>
      <c r="P164" s="979">
        <f>f_E</f>
        <v>0.08</v>
      </c>
      <c r="Q164" s="979">
        <f>0</f>
        <v>0</v>
      </c>
      <c r="R164" s="979">
        <f>0</f>
        <v>0</v>
      </c>
      <c r="S164" s="979">
        <f>0</f>
        <v>0</v>
      </c>
      <c r="T164" s="979">
        <f>0</f>
        <v>0</v>
      </c>
      <c r="U164" s="979">
        <f>0</f>
        <v>0</v>
      </c>
      <c r="V164" s="979">
        <f>-1</f>
        <v>-1</v>
      </c>
      <c r="W164" s="979">
        <f>0</f>
        <v>0</v>
      </c>
      <c r="X164" s="979">
        <f>0</f>
        <v>0</v>
      </c>
      <c r="Y164" s="979">
        <f>-f_E*(i_N_XE-i_N_BIO)</f>
        <v>8.0000000000000069E-4</v>
      </c>
      <c r="Z164" s="979">
        <f>0</f>
        <v>0</v>
      </c>
      <c r="AA164" s="979">
        <f>0</f>
        <v>0</v>
      </c>
      <c r="AB164" s="979">
        <f>0</f>
        <v>0</v>
      </c>
      <c r="AC164" s="979">
        <f>0</f>
        <v>0</v>
      </c>
      <c r="AD164" s="979">
        <f>(1-f_E)*i_N_BIO</f>
        <v>6.4400000000000013E-2</v>
      </c>
      <c r="AE164" s="979">
        <f>0</f>
        <v>0</v>
      </c>
      <c r="AF164" s="979">
        <f>0</f>
        <v>0</v>
      </c>
      <c r="AG164" s="979">
        <f>0</f>
        <v>0</v>
      </c>
      <c r="AH164" s="979">
        <f>0</f>
        <v>0</v>
      </c>
      <c r="AI164" s="979">
        <f>(1-f_E)*i_P_BIO</f>
        <v>1.84E-2</v>
      </c>
      <c r="AJ164" s="979">
        <f>0</f>
        <v>0</v>
      </c>
      <c r="AK164" s="979">
        <f>0</f>
        <v>0</v>
      </c>
      <c r="AL164" s="979">
        <f>0</f>
        <v>0</v>
      </c>
      <c r="AM164" s="979">
        <f>0</f>
        <v>0</v>
      </c>
      <c r="AN164" s="979">
        <f>(1-f_E)*(i_CIT_BIO-i_CIT_SB)</f>
        <v>6.0720000000000003E-2</v>
      </c>
      <c r="AO164" s="979">
        <f>-i_INORG</f>
        <v>-0.11</v>
      </c>
      <c r="AP164" s="979">
        <f>i_INORG*(1-i_Ca_INORG*(A_MCa+2*A_MCl)/A_MCa-i_Mg_INORG*(A_MMg+2*A_MCl)/A_MMg)*f_Na</f>
        <v>2.8804303582798466E-2</v>
      </c>
      <c r="AQ164" s="979">
        <f>i_INORG*(i_Ca_INORG*(2*A_MCl)/A_MCa+i_Mg_INORG*(2*A_MCl)/A_MMg)+i_INORG*(1-i_Ca_INORG*(A_MCa+2*A_MCl)/A_MCa-i_Mg_INORG*(A_MMg+2*A_MCl)/A_MMg)*(1-f_Na)</f>
        <v>7.0195696417201539E-2</v>
      </c>
      <c r="AR164" s="979">
        <f>i_INORG*i_Ca_INORG</f>
        <v>5.5000000000000005E-3</v>
      </c>
      <c r="AS164" s="979">
        <f>i_INORG*i_Mg_INORG</f>
        <v>5.5000000000000005E-3</v>
      </c>
      <c r="AT164" s="979">
        <f>0</f>
        <v>0</v>
      </c>
      <c r="AU164" s="979">
        <f>0</f>
        <v>0</v>
      </c>
      <c r="AV164" s="979">
        <f>0</f>
        <v>0</v>
      </c>
      <c r="AW164" s="979">
        <f>0</f>
        <v>0</v>
      </c>
      <c r="AX164" s="979">
        <f>0</f>
        <v>0</v>
      </c>
      <c r="AY164" s="979">
        <f>0</f>
        <v>0</v>
      </c>
      <c r="AZ164" s="979">
        <f>0</f>
        <v>0</v>
      </c>
      <c r="BA164" s="979">
        <f>0</f>
        <v>0</v>
      </c>
      <c r="BB164" s="979">
        <f>0</f>
        <v>0</v>
      </c>
      <c r="BC164" s="979">
        <f>0</f>
        <v>0</v>
      </c>
      <c r="BD164" s="979">
        <f>0</f>
        <v>0</v>
      </c>
      <c r="BE164" s="979">
        <f>0</f>
        <v>0</v>
      </c>
      <c r="BF164" s="979">
        <f>0</f>
        <v>0</v>
      </c>
      <c r="BG164" s="979">
        <f>0</f>
        <v>0</v>
      </c>
      <c r="BH164" s="979">
        <f>0</f>
        <v>0</v>
      </c>
      <c r="BI164" s="979">
        <f>0</f>
        <v>0</v>
      </c>
      <c r="BJ164" s="979">
        <f>0</f>
        <v>0</v>
      </c>
      <c r="BK164" s="979">
        <f>0</f>
        <v>0</v>
      </c>
      <c r="BL164" s="979">
        <f>0</f>
        <v>0</v>
      </c>
      <c r="BM164" s="979">
        <f>0</f>
        <v>0</v>
      </c>
      <c r="BN164" s="979">
        <f>0</f>
        <v>0</v>
      </c>
      <c r="BO164" s="979">
        <f>0</f>
        <v>0</v>
      </c>
      <c r="BP164" s="1422">
        <f>0</f>
        <v>0</v>
      </c>
      <c r="BQ164" s="2371">
        <f>0</f>
        <v>0</v>
      </c>
      <c r="BR164" s="979">
        <f>0</f>
        <v>0</v>
      </c>
      <c r="BS164" s="979">
        <f>0</f>
        <v>0</v>
      </c>
      <c r="BT164" s="979">
        <f>0</f>
        <v>0</v>
      </c>
      <c r="BU164" s="979">
        <f>0</f>
        <v>0</v>
      </c>
      <c r="BV164" s="979">
        <f>0</f>
        <v>0</v>
      </c>
      <c r="BW164" s="979">
        <f>0</f>
        <v>0</v>
      </c>
      <c r="BX164" s="979">
        <f>0</f>
        <v>0</v>
      </c>
      <c r="BY164" s="979">
        <f>0</f>
        <v>0</v>
      </c>
      <c r="BZ164" s="979">
        <f>0</f>
        <v>0</v>
      </c>
      <c r="CA164" s="979">
        <f>0</f>
        <v>0</v>
      </c>
      <c r="CB164" s="979">
        <f>0</f>
        <v>0</v>
      </c>
      <c r="CC164" s="979">
        <f>0</f>
        <v>0</v>
      </c>
      <c r="CD164" s="1653">
        <f>b_AMX_T*X_AMX*(η_b_ana*M_inhSNOx_KNOx_AMX*M_inhSO2_KiO2_AMX)</f>
        <v>1.522435897435898E-5</v>
      </c>
      <c r="CF164" s="2385">
        <f>E220*E164+F220*F164+G220*G164+H220*H164+I220*I164+J220*J164+K220*K164+L220*L164+M220*M164+N220*N164+O220*O164+P220*P164+Q220*Q164+R220*R164+S220*S164+T220*T164+U220*U164+V220*V164+W220*W164+X220*X164+Y220*Y164+Z220*Z164+AA220*AA164+AB220*AB164+AC220*AC164+AD220*AD164+AE220*AE164+AF220*AF164+AG220*AG164+AH220*AH164+AI220*AI164+AJ220*AJ164+AK220*AK164+AL220*AL164+AM220*AM164+AN220*AN164+AO220*AO164+AP220*AP164+AQ220*AQ164+AR220*AR164+AS220*AS164+AT220*AT164+AU220*AU164+AV220*AV164+AW220*AW164+AX220*AX164+AY220*AY164+AZ220*AZ164+BA220*BA164+BB220*BB164+BC220*BC164+BD220*BD164+BE220*BE164+BF220*BF164+BG220*BG164+BH220*BH164+BI220*BI164+BJ220*BJ164+BK220*BK164+BL220*BL164+BM220*BM164+BN220*BN164+BO220*BO164+BP220*BP164+BQ220*BQ164+BR220*BR164+BS220*BS164+BT220*BT164+BU220*BU164+BV220*BV164+BW220*BW164+BX220*BX164+BY220*BY164+BZ220*BZ164+CA220*CA164+CB220*CB164+CC220*CC164</f>
        <v>0</v>
      </c>
      <c r="CG164" s="2385">
        <f>E221*E164+F221*F164+G221*G164+H221*H164+I221*I164+J221*J164+K221*K164+L221*L164+M221*M164+N221*N164+O221*O164+P221*P164+Q221*Q164+R221*R164+S221*S164+T221*T164+U221*U164+V221*V164+W221*W164+X221*X164+Y221*Y164+Z221*Z164+AA221*AA164+AB221*AB164+AC221*AC164+AD221*AD164+AE221*AE164+AF221*AF164+AG221*AG164+AH221*AH164+AI221*AI164+AJ221*AJ164+AK221*AK164+AL221*AL164+AM221*AM164+AN221*AN164+AO221*AO164+AP221*AP164+AQ221*AQ164+AR221*AR164+AS221*AS164+AT221*AT164+AU221*AU164+AV221*AV164+AW221*AW164+AX221*AX164+AY221*AY164+AZ221*AZ164+BA221*BA164+BB221*BB164+BC221*BC164+BD221*BD164+BE221*BE164+BF221*BF164+BG221*BG164+BH221*BH164+BI221*BI164+BJ221*BJ164+BK221*BK164+BL221*BL164+BM221*BM164+BN221*BN164+BO221*BO164+BP221*BP164+BQ221*BQ164+BR221*BR164+BS221*BS164+BT221*BT164+BU221*BU164+BV221*BV164+BW221*BW164+BX221*BX164+BY221*BY164+BZ221*BZ164+CA221*CA164+CB221*CB164+CC221*CC164</f>
        <v>6.9388939039072284E-18</v>
      </c>
      <c r="CH164" s="2386">
        <f>E222*E164+F222*F164+G222*G164+H222*H164+I222*I164+J222*J164+K222*K164+L222*L164+M222*M164+N222*N164+O222*O164+P222*P164+Q222*Q164+R222*R164+S222*S164+T222*T164+U222*U164+V222*V164+W222*W164+X222*X164+Y222*Y164+Z222*Z164+AA222*AA164+AB222*AB164+AC222*AC164+AD222*AD164+AE222*AE164+AF222*AF164+AG222*AG164+AH222*AH164+AI222*AI164+AJ222*AJ164+AK222*AK164+AL222*AL164+AM222*AM164+AN222*AN164+AO222*AO164+AP222*AP164+AQ222*AQ164+AR222*AR164+AS222*AS164+AT222*AT164+AU222*AU164+AV222*AV164+AW222*AW164+AX222*AX164+AY222*AY164+AZ222*AZ164+BA222*BA164+BB222*BB164+BC222*BC164+BD222*BD164+BE222*BE164+BF222*BF164+BG222*BG164+BH222*BH164+BI222*BI164+BJ222*BJ164+BK222*BK164+BL222*BL164+BM222*BM164+BN222*BN164+BO222*BO164+BP222*BP164+BQ222*BQ164+BR222*BR164+BS222*BS164+BT222*BT164+BU222*BU164+BV222*BV164+BW222*BW164+BX222*BX164+BY222*BY164+BZ222*BZ164+CA222*CA164+CB222*CB164+CC222*CC164</f>
        <v>0</v>
      </c>
      <c r="CI164" s="2387">
        <f>E223*E164+F223*F164+G223*G164+H223*H164+I223*I164+J223*J164+K223*K164+L223*L164+M223*M164+N223*N164+O223*O164+P223*P164+Q223*Q164+R223*R164+S223*S164+T223*T164+U223*U164+V223*V164+W223*W164+X223*X164+Y223*Y164+Z223*Z164+AA223*AA164+AB223*AB164+AC223*AC164+AD223*AD164+AE223*AE164+AF223*AF164+AG223*AG164+AH223*AH164+AI223*AI164+AJ223*AJ164+AK223*AK164+AL223*AL164+AM223*AM164+AN223*AN164+AO223*AO164+AP223*AP164+AQ223*AQ164+AR223*AR164+AS223*AS164+AT223*AT164+AU223*AU164+AV223*AV164+AW223*AW164+AX223*AX164+AY223*AY164+AZ223*AZ164+BA223*BA164+BB223*BB164+BC223*BC164+BD223*BD164+BE223*BE164+BF223*BF164+BG223*BG164+BH223*BH164+BI223*BI164+BJ223*BJ164+BK223*BK164+BL223*BL164+BM223*BM164+BN223*BN164+BO223*BO164+BP223*BP164+BQ223*BQ164+BR223*BR164+BS223*BS164+BT223*BT164+BU223*BU164+BV223*BV164+BW223*BW164+BX223*BX164+BY223*BY164+BZ223*BZ164+CA223*CA164+CB223*CB164+CC223*CC164</f>
        <v>0</v>
      </c>
      <c r="CJ164" s="2387">
        <f>E224*E164+F224*F164+G224*G164+H224*H164+I224*I164+J224*J164+K224*K164+L224*L164+M224*M164+N224*N164+O224*O164+P224*P164+Q224*Q164+R224*R164+S224*S164+T224*T164+U224*U164+V224*V164+W224*W164+X224*X164+Y224*Y164+Z224*Z164+AA224*AA164+AB224*AB164+AC224*AC164+AD224*AD164+AE224*AE164+AF224*AF164+AG224*AG164+AH224*AH164+AI224*AI164+AJ224*AJ164+AK224*AK164+AL224*AL164+AM224*AM164+AN224*AN164+AO224*AO164+AP224*AP164+AQ224*AQ164+AR224*AR164+AS224*AS164+AT224*AT164+AU224*AU164+AV224*AV164+AW224*AW164+AX224*AX164+AY224*AY164+AZ224*AZ164+BA224*BA164+BB224*BB164+BC224*BC164+BD224*BD164+BE224*BE164+BF224*BF164+BG224*BG164+BH224*BH164+BI224*BI164+BJ224*BJ164+BK224*BK164+BL224*BL164+BM224*BM164+BN224*BN164+BO224*BO164+BP224*BP164+BQ224*BQ164+BR224*BR164+BS224*BS164+BT224*BT164+BU224*BU164+BV224*BV164+BW224*BW164+BX224*BX164+BY224*BY164+BZ224*BZ164+CA224*CA164+CB224*CB164+CC224*CC164</f>
        <v>0</v>
      </c>
      <c r="CK164" s="2387">
        <f>E225*E164+F225*F164+G225*G164+H225*H164+I225*I164+J225*J164+K225*K164+L225*L164+M225*M164+N225*N164+O225*O164+P225*P164+Q225*Q164+R225*R164+S225*S164+T225*T164+U225*U164+V225*V164+W225*W164+X225*X164+Y225*Y164+Z225*Z164+AA225*AA164+AB225*AB164+AC225*AC164+AD225*AD164+AE225*AE164+AF225*AF164+AG225*AG164+AH225*AH164+AI225*AI164+AJ225*AJ164+AK225*AK164+AL225*AL164+AM225*AM164+AN225*AN164+AO225*AO164+AP225*AP164+AQ225*AQ164+AR225*AR164+AS225*AS164+AT225*AT164+AU225*AU164+AV225*AV164+AW225*AW164+AX225*AX164+AY225*AY164+AZ225*AZ164+BA225*BA164+BB225*BB164+BC225*BC164+BD225*BD164+BE225*BE164+BF225*BF164+BG225*BG164+BH225*BH164+BI225*BI164+BJ225*BJ164+BK225*BK164+BL225*BL164+BM225*BM164+BN225*BN164+BO225*BO164+BP225*BP164+BQ225*BQ164+BR225*BR164+BS225*BS164+BT225*BT164+BU225*BU164+BV225*BV164+BW225*BW164+BX225*BX164+BY225*BY164+BZ225*BZ164+CA225*CA164+CB225*CB164+CC225*CC164</f>
        <v>0</v>
      </c>
      <c r="CL164" s="2387">
        <f>E226*E164+F226*F164+G226*G164+H226*H164+I226*I164+J226*J164+K226*K164+L226*L164+M226*M164+N226*N164+O226*O164+P226*P164+Q226*Q164+R226*R164+S226*S164+T226*T164+U226*U164+V226*V164+W226*W164+X226*X164+Y226*Y164+Z226*Z164+AA226*AA164+AB226*AB164+AC226*AC164+AD226*AD164+AE226*AE164+AF226*AF164+AG226*AG164+AH226*AH164+AI226*AI164+AJ226*AJ164+AK226*AK164+AL226*AL164+AM226*AM164+AN226*AN164+AO226*AO164+AP226*AP164+AQ226*AQ164+AR226*AR164+AS226*AS164+AT226*AT164+AU226*AU164+AV226*AV164+AW226*AW164+AX226*AX164+AY226*AY164+AZ226*AZ164+BA226*BA164+BB226*BB164+BC226*BC164+BD226*BD164+BE226*BE164+BF226*BF164+BG226*BG164+BH226*BH164+BI226*BI164+BJ226*BJ164+BK226*BK164+BL226*BL164+BM226*BM164+BN226*BN164+BO226*BO164+BP226*BP164+BQ226*BQ164+BR226*BR164+BS226*BS164+BT226*BT164+BU226*BU164+BV226*BV164+BW226*BW164+BX226*BX164+BY226*BY164+BZ226*BZ164+CA226*CA164+CB226*CB164+CC226*CC164</f>
        <v>0</v>
      </c>
      <c r="CM164" s="2387">
        <f>E227*E164+F227*F164+G227*G164+H227*H164+I227*I164+J227*J164+K227*K164+L227*L164+M227*M164+N227*N164+O227*O164+P227*P164+Q227*Q164+R227*R164+S227*S164+T227*T164+U227*U164+V227*V164+W227*W164+X227*X164+Y227*Y164+Z227*Z164+AA227*AA164+AB227*AB164+AC227*AC164+AD227*AD164+AE227*AE164+AF227*AF164+AG227*AG164+AH227*AH164+AI227*AI164+AJ227*AJ164+AK227*AK164+AL227*AL164+AM227*AM164+AN227*AN164+AO227*AO164+AP227*AP164+AQ227*AQ164+AR227*AR164+AS227*AS164+AT227*AT164+AU227*AU164+AV227*AV164+AW227*AW164+AX227*AX164+AY227*AY164+AZ227*AZ164+BA227*BA164+BB227*BB164+BC227*BC164+BD227*BD164+BE227*BE164+BF227*BF164+BG227*BG164+BH227*BH164+BI227*BI164+BJ227*BJ164+BK227*BK164+BL227*BL164+BM227*BM164+BN227*BN164+BO227*BO164+BP227*BP164+BQ227*BQ164+BR227*BR164+BS227*BS164+BT227*BT164+BU227*BU164+BV227*BV164+BW227*BW164+BX227*BX164+BY227*BY164+BZ227*BZ164+CA227*CA164+CB227*CB164+CC227*CC164</f>
        <v>0</v>
      </c>
      <c r="CN164" s="2387">
        <f>E228*E164+F228*F164+G228*G164+H228*H164+I228*I164+J228*J164+K228*K164+L228*L164+M228*M164+N228*N164+O228*O164+P228*P164+Q228*Q164+R228*R164+S228*S164+T228*T164+U228*U164+V228*V164+W228*W164+X228*X164+Y228*Y164+Z228*Z164+AA228*AA164+AB228*AB164+AC228*AC164+AD228*AD164+AE228*AE164+AF228*AF164+AG228*AG164+AH228*AH164+AI228*AI164+AJ228*AJ164+AK228*AK164+AL228*AL164+AM228*AM164+AN228*AN164+AO228*AO164+AP228*AP164+AQ228*AQ164+AR228*AR164+AS228*AS164+AT228*AT164+AU228*AU164+AV228*AV164+AW228*AW164+AX228*AX164+AY228*AY164+AZ228*AZ164+BA228*BA164+BB228*BB164+BC228*BC164+BD228*BD164+BE228*BE164+BF228*BF164+BG228*BG164+BH228*BH164+BI228*BI164+BJ228*BJ164+BK228*BK164+BL228*BL164+BM228*BM164+BN228*BN164+BO228*BO164+BP228*BP164+BQ228*BQ164+BR228*BR164+BS228*BS164+BT228*BT164+BU228*BU164+BV228*BV164+BW228*BW164+BX228*BX164+BY228*BY164+BZ228*BZ164+CA228*CA164+CB228*CB164+CC228*CC164</f>
        <v>0</v>
      </c>
      <c r="CO164" s="2387">
        <f>E229*E164+F229*F164+G229*G164+H229*H164+I229*I164+J229*J164+K229*K164+L229*L164+M229*M164+N229*N164+O229*O164+P229*P164+Q229*Q164+R229*R164+S229*S164+T229*T164+U229*U164+V229*V164+W229*W164+X229*X164+Y229*Y164+Z229*Z164+AA229*AA164+AB229*AB164+AC229*AC164+AD229*AD164+AE229*AE164+AF229*AF164+AG229*AG164+AH229*AH164+AI229*AI164+AJ229*AJ164+AK229*AK164+AL229*AL164+AM229*AM164+AN229*AN164+AO229*AO164+AP229*AP164+AQ229*AQ164+AR229*AR164+AS229*AS164+AT229*AT164+AU229*AU164+AV229*AV164+AW229*AW164+AX229*AX164+AY229*AY164+AZ229*AZ164+BA229*BA164+BB229*BB164+BC229*BC164+BD229*BD164+BE229*BE164+BF229*BF164+BG229*BG164+BH229*BH164+BI229*BI164+BJ229*BJ164+BK229*BK164+BL229*BL164+BM229*BM164+BN229*BN164+BO229*BO164+BP229*BP164+BQ229*BQ164+BR229*BR164+BS229*BS164+BT229*BT164+BU229*BU164+BV229*BV164+BW229*BW164+BX229*BX164+BY229*BY164+BZ229*BZ164+CA229*CA164+CB229*CB164+CC229*CC164</f>
        <v>0</v>
      </c>
      <c r="CP164" s="2387">
        <f>E230*E164+F230*F164+G230*G164+H230*H164+I230*I164+J230*J164+K230*K164+L230*L164+M230*M164+N230*N164+O230*O164+P230*P164+Q230*Q164+R230*R164+S230*S164+T230*T164+U230*U164+V230*V164+W230*W164+X230*X164+Y230*Y164+Z230*Z164+AA230*AA164+AB230*AB164+AC230*AC164+AD230*AD164+AE230*AE164+AF230*AF164+AG230*AG164+AH230*AH164+AI230*AI164+AJ230*AJ164+AK230*AK164+AL230*AL164+AM230*AM164+AN230*AN164+AO230*AO164+AP230*AP164+AQ230*AQ164+AR230*AR164+AS230*AS164+AT230*AT164+AU230*AU164+AV230*AV164+AW230*AW164+AX230*AX164+AY230*AY164+AZ230*AZ164+BA230*BA164+BB230*BB164+BC230*BC164+BD230*BD164+BE230*BE164+BF230*BF164+BG230*BG164+BH230*BH164+BI230*BI164+BJ230*BJ164+BK230*BK164+BL230*BL164+BM230*BM164+BN230*BN164+BO230*BO164+BP230*BP164+BQ230*BQ164+BR230*BR164+BS230*BS164+BT230*BT164+BU230*BU164+BV230*BV164+BW230*BW164+BX230*BX164+BY230*BY164+BZ230*BZ164+CA230*CA164+CB230*CB164+CC230*CC164</f>
        <v>0</v>
      </c>
    </row>
    <row r="165" spans="2:94" x14ac:dyDescent="0.25">
      <c r="B165" s="1589">
        <v>46</v>
      </c>
      <c r="C165" s="1528" t="s">
        <v>441</v>
      </c>
      <c r="D165" s="650" t="s">
        <v>302</v>
      </c>
      <c r="E165" s="980">
        <f>-1/Y_AMETO</f>
        <v>-10</v>
      </c>
      <c r="F165" s="981">
        <f>0</f>
        <v>0</v>
      </c>
      <c r="G165" s="981">
        <f>0</f>
        <v>0</v>
      </c>
      <c r="H165" s="981">
        <f>0</f>
        <v>0</v>
      </c>
      <c r="I165" s="981">
        <f>0</f>
        <v>0</v>
      </c>
      <c r="J165" s="981">
        <f>0</f>
        <v>0</v>
      </c>
      <c r="K165" s="981">
        <f>0</f>
        <v>0</v>
      </c>
      <c r="L165" s="981">
        <f>0</f>
        <v>0</v>
      </c>
      <c r="M165" s="981">
        <f>0</f>
        <v>0</v>
      </c>
      <c r="N165" s="981">
        <f>0</f>
        <v>0</v>
      </c>
      <c r="O165" s="981">
        <f>0</f>
        <v>0</v>
      </c>
      <c r="P165" s="981">
        <f>0</f>
        <v>0</v>
      </c>
      <c r="Q165" s="981">
        <f>0</f>
        <v>0</v>
      </c>
      <c r="R165" s="981">
        <f>0</f>
        <v>0</v>
      </c>
      <c r="S165" s="981">
        <f>0</f>
        <v>0</v>
      </c>
      <c r="T165" s="981">
        <f>0</f>
        <v>0</v>
      </c>
      <c r="U165" s="981">
        <f>0</f>
        <v>0</v>
      </c>
      <c r="V165" s="981">
        <f>0</f>
        <v>0</v>
      </c>
      <c r="W165" s="981">
        <f>1</f>
        <v>1</v>
      </c>
      <c r="X165" s="981">
        <f>0</f>
        <v>0</v>
      </c>
      <c r="Y165" s="981">
        <f>-i_N_BIO</f>
        <v>-7.0000000000000007E-2</v>
      </c>
      <c r="Z165" s="981">
        <f>0</f>
        <v>0</v>
      </c>
      <c r="AA165" s="981">
        <f>0</f>
        <v>0</v>
      </c>
      <c r="AB165" s="981">
        <f>0</f>
        <v>0</v>
      </c>
      <c r="AC165" s="981">
        <f>0</f>
        <v>0</v>
      </c>
      <c r="AD165" s="981">
        <f>0</f>
        <v>0</v>
      </c>
      <c r="AE165" s="981">
        <f>0</f>
        <v>0</v>
      </c>
      <c r="AF165" s="980">
        <f>-i_P_BIO</f>
        <v>-0.02</v>
      </c>
      <c r="AG165" s="981">
        <f>0</f>
        <v>0</v>
      </c>
      <c r="AH165" s="981">
        <f>0</f>
        <v>0</v>
      </c>
      <c r="AI165" s="981">
        <f>0</f>
        <v>0</v>
      </c>
      <c r="AJ165" s="981">
        <f>0</f>
        <v>0</v>
      </c>
      <c r="AK165" s="981">
        <f>0</f>
        <v>0</v>
      </c>
      <c r="AL165" s="981">
        <f>(1-Y_AMETO)/Y_AMETO</f>
        <v>9</v>
      </c>
      <c r="AM165" s="981">
        <f>0</f>
        <v>0</v>
      </c>
      <c r="AN165" s="981">
        <f>i_CIT_VFA*1/Y_AMETO-i_CIT_BIO-i_CIT_CH4*(1-Y_AMETO)/Y_AMETO</f>
        <v>1.706</v>
      </c>
      <c r="AO165" s="980">
        <f>i_INORG</f>
        <v>0.11</v>
      </c>
      <c r="AP165" s="980">
        <f>-i_INORG*(1-i_Ca_INORG*(A_MCa+2*A_MCl)/A_MCa-i_Mg_INORG*(A_MMg+2*A_MCl)/A_MMg)*f_Na</f>
        <v>-2.8804303582798466E-2</v>
      </c>
      <c r="AQ165" s="980">
        <f>-i_INORG*(i_Ca_INORG*(2*A_MCl)/A_MCa+i_Mg_INORG*(2*A_MCl)/A_MMg)-i_INORG*(1-i_Ca_INORG*(A_MCa+2*A_MCl)/A_MCa-i_Mg_INORG*(A_MMg+2*A_MCl)/A_MMg)*(1-f_Na)</f>
        <v>-7.0195696417201539E-2</v>
      </c>
      <c r="AR165" s="980">
        <f>-i_INORG*i_Ca_INORG</f>
        <v>-5.5000000000000005E-3</v>
      </c>
      <c r="AS165" s="980">
        <f>-i_INORG*i_Mg_INORG</f>
        <v>-5.5000000000000005E-3</v>
      </c>
      <c r="AT165" s="980">
        <f>0</f>
        <v>0</v>
      </c>
      <c r="AU165" s="980">
        <f>0</f>
        <v>0</v>
      </c>
      <c r="AV165" s="980">
        <f>0</f>
        <v>0</v>
      </c>
      <c r="AW165" s="980">
        <f>0</f>
        <v>0</v>
      </c>
      <c r="AX165" s="980">
        <f>0</f>
        <v>0</v>
      </c>
      <c r="AY165" s="980">
        <f>0</f>
        <v>0</v>
      </c>
      <c r="AZ165" s="980">
        <f>0</f>
        <v>0</v>
      </c>
      <c r="BA165" s="980">
        <f>0</f>
        <v>0</v>
      </c>
      <c r="BB165" s="980">
        <f>0</f>
        <v>0</v>
      </c>
      <c r="BC165" s="980">
        <f>0</f>
        <v>0</v>
      </c>
      <c r="BD165" s="980">
        <f>0</f>
        <v>0</v>
      </c>
      <c r="BE165" s="980">
        <f>0</f>
        <v>0</v>
      </c>
      <c r="BF165" s="980">
        <f>0</f>
        <v>0</v>
      </c>
      <c r="BG165" s="980">
        <f>0</f>
        <v>0</v>
      </c>
      <c r="BH165" s="980">
        <f>0</f>
        <v>0</v>
      </c>
      <c r="BI165" s="980">
        <f>0</f>
        <v>0</v>
      </c>
      <c r="BJ165" s="980">
        <f>0</f>
        <v>0</v>
      </c>
      <c r="BK165" s="980">
        <f>0</f>
        <v>0</v>
      </c>
      <c r="BL165" s="1637">
        <f>0</f>
        <v>0</v>
      </c>
      <c r="BM165" s="980">
        <f>0</f>
        <v>0</v>
      </c>
      <c r="BN165" s="980">
        <f>0</f>
        <v>0</v>
      </c>
      <c r="BO165" s="980">
        <f>0</f>
        <v>0</v>
      </c>
      <c r="BP165" s="1423">
        <f>0</f>
        <v>0</v>
      </c>
      <c r="BQ165" s="2372">
        <f>0</f>
        <v>0</v>
      </c>
      <c r="BR165" s="980">
        <f>0</f>
        <v>0</v>
      </c>
      <c r="BS165" s="980">
        <f>0</f>
        <v>0</v>
      </c>
      <c r="BT165" s="980">
        <f>0</f>
        <v>0</v>
      </c>
      <c r="BU165" s="980">
        <f>0</f>
        <v>0</v>
      </c>
      <c r="BV165" s="980">
        <f>0</f>
        <v>0</v>
      </c>
      <c r="BW165" s="980">
        <f>0</f>
        <v>0</v>
      </c>
      <c r="BX165" s="980">
        <f>0</f>
        <v>0</v>
      </c>
      <c r="BY165" s="980">
        <f>0</f>
        <v>0</v>
      </c>
      <c r="BZ165" s="980">
        <f>0</f>
        <v>0</v>
      </c>
      <c r="CA165" s="980">
        <f>0</f>
        <v>0</v>
      </c>
      <c r="CB165" s="980">
        <f>0</f>
        <v>0</v>
      </c>
      <c r="CC165" s="980">
        <f>0</f>
        <v>0</v>
      </c>
      <c r="CD165" s="1654">
        <f>µ_AMETO_T*X_AMETO*H_satSVFA_AMETO*M_inhSO2_KiO2_AMETO*M_inhSNOx_KNO3_AMETO*L_oginhpHNH3_AMETO*M_satSNHx_KNHx_BIO*M_satSPO4_KPO4_BIO*M_satSCAT_KCAT*M_satSAN_KAN*M_satSCa_KCa*M_satSMg_KMg*B_ellinhpH_AMETO</f>
        <v>5.2580491000979624E-10</v>
      </c>
      <c r="CF165" s="2385">
        <f>E220*E165+F220*F165+G220*G165+H220*H165+I220*I165+J220*J165+K220*K165+L220*L165+M220*M165+N220*N165+O220*O165+P220*P165+Q220*Q165+R220*R165+S220*S165+T220*T165+U220*U165+V220*V165+W220*W165+X220*X165+Y220*Y165+Z220*Z165+AA220*AA165+AB220*AB165+AC220*AC165+AD220*AD165+AE220*AE165+AF220*AF165+AG220*AG165+AH220*AH165+AI220*AI165+AJ220*AJ165+AK220*AK165+AL220*AL165+AM220*AM165+AN220*AN165+AO220*AO165+AP220*AP165+AQ220*AQ165+AR220*AR165+AS220*AS165+AT220*AT165+AU220*AU165+AV220*AV165+AW220*AW165+AX220*AX165+AY220*AY165+AZ220*AZ165+BA220*BA165+BB220*BB165+BC220*BC165+BD220*BD165+BE220*BE165+BF220*BF165+BG220*BG165+BH220*BH165+BI220*BI165+BJ220*BJ165+BK220*BK165+BL220*BL165+BM220*BM165+BN220*BN165+BO220*BO165+BP220*BP165+BQ220*BQ165+BR220*BR165+BS220*BS165+BT220*BT165+BU220*BU165+BV220*BV165+BW220*BW165+BX220*BX165+BY220*BY165+BZ220*BZ165+CA220*CA165+CB220*CB165+CC220*CC165</f>
        <v>0</v>
      </c>
      <c r="CG165" s="2385">
        <f>E221*E165+F221*F165+G221*G165+H221*H165+I221*I165+J221*J165+K221*K165+L221*L165+M221*M165+N221*N165+O221*O165+P221*P165+Q221*Q165+R221*R165+S221*S165+T221*T165+U221*U165+V221*V165+W221*W165+X221*X165+Y221*Y165+Z221*Z165+AA221*AA165+AB221*AB165+AC221*AC165+AD221*AD165+AE221*AE165+AF221*AF165+AG221*AG165+AH221*AH165+AI221*AI165+AJ221*AJ165+AK221*AK165+AL221*AL165+AM221*AM165+AN221*AN165+AO221*AO165+AP221*AP165+AQ221*AQ165+AR221*AR165+AS221*AS165+AT221*AT165+AU221*AU165+AV221*AV165+AW221*AW165+AX221*AX165+AY221*AY165+AZ221*AZ165+BA221*BA165+BB221*BB165+BC221*BC165+BD221*BD165+BE221*BE165+BF221*BF165+BG221*BG165+BH221*BH165+BI221*BI165+BJ221*BJ165+BK221*BK165+BL221*BL165+BM221*BM165+BN221*BN165+BO221*BO165+BP221*BP165+BQ221*BQ165+BR221*BR165+BS221*BS165+BT221*BT165+BU221*BU165+BV221*BV165+BW221*BW165+BX221*BX165+BY221*BY165+BZ221*BZ165+CA221*CA165+CB221*CB165+CC221*CC165</f>
        <v>-2.2204460492503131E-16</v>
      </c>
      <c r="CH165" s="2386">
        <f>E222*E165+F222*F165+G222*G165+H222*H165+I222*I165+J222*J165+K222*K165+L222*L165+M222*M165+N222*N165+O222*O165+P222*P165+Q222*Q165+R222*R165+S222*S165+T222*T165+U222*U165+V222*V165+W222*W165+X222*X165+Y222*Y165+Z222*Z165+AA222*AA165+AB222*AB165+AC222*AC165+AD222*AD165+AE222*AE165+AF222*AF165+AG222*AG165+AH222*AH165+AI222*AI165+AJ222*AJ165+AK222*AK165+AL222*AL165+AM222*AM165+AN222*AN165+AO222*AO165+AP222*AP165+AQ222*AQ165+AR222*AR165+AS222*AS165+AT222*AT165+AU222*AU165+AV222*AV165+AW222*AW165+AX222*AX165+AY222*AY165+AZ222*AZ165+BA222*BA165+BB222*BB165+BC222*BC165+BD222*BD165+BE222*BE165+BF222*BF165+BG222*BG165+BH222*BH165+BI222*BI165+BJ222*BJ165+BK222*BK165+BL222*BL165+BM222*BM165+BN222*BN165+BO222*BO165+BP222*BP165+BQ222*BQ165+BR222*BR165+BS222*BS165+BT222*BT165+BU222*BU165+BV222*BV165+BW222*BW165+BX222*BX165+BY222*BY165+BZ222*BZ165+CA222*CA165+CB222*CB165+CC222*CC165</f>
        <v>0</v>
      </c>
      <c r="CI165" s="2387">
        <f>E223*E165+F223*F165+G223*G165+H223*H165+I223*I165+J223*J165+K223*K165+L223*L165+M223*M165+N223*N165+O223*O165+P223*P165+Q223*Q165+R223*R165+S223*S165+T223*T165+U223*U165+V223*V165+W223*W165+X223*X165+Y223*Y165+Z223*Z165+AA223*AA165+AB223*AB165+AC223*AC165+AD223*AD165+AE223*AE165+AF223*AF165+AG223*AG165+AH223*AH165+AI223*AI165+AJ223*AJ165+AK223*AK165+AL223*AL165+AM223*AM165+AN223*AN165+AO223*AO165+AP223*AP165+AQ223*AQ165+AR223*AR165+AS223*AS165+AT223*AT165+AU223*AU165+AV223*AV165+AW223*AW165+AX223*AX165+AY223*AY165+AZ223*AZ165+BA223*BA165+BB223*BB165+BC223*BC165+BD223*BD165+BE223*BE165+BF223*BF165+BG223*BG165+BH223*BH165+BI223*BI165+BJ223*BJ165+BK223*BK165+BL223*BL165+BM223*BM165+BN223*BN165+BO223*BO165+BP223*BP165+BQ223*BQ165+BR223*BR165+BS223*BS165+BT223*BT165+BU223*BU165+BV223*BV165+BW223*BW165+BX223*BX165+BY223*BY165+BZ223*BZ165+CA223*CA165+CB223*CB165+CC223*CC165</f>
        <v>0</v>
      </c>
      <c r="CJ165" s="2387">
        <f>E224*E165+F224*F165+G224*G165+H224*H165+I224*I165+J224*J165+K224*K165+L224*L165+M224*M165+N224*N165+O224*O165+P224*P165+Q224*Q165+R224*R165+S224*S165+T224*T165+U224*U165+V224*V165+W224*W165+X224*X165+Y224*Y165+Z224*Z165+AA224*AA165+AB224*AB165+AC224*AC165+AD224*AD165+AE224*AE165+AF224*AF165+AG224*AG165+AH224*AH165+AI224*AI165+AJ224*AJ165+AK224*AK165+AL224*AL165+AM224*AM165+AN224*AN165+AO224*AO165+AP224*AP165+AQ224*AQ165+AR224*AR165+AS224*AS165+AT224*AT165+AU224*AU165+AV224*AV165+AW224*AW165+AX224*AX165+AY224*AY165+AZ224*AZ165+BA224*BA165+BB224*BB165+BC224*BC165+BD224*BD165+BE224*BE165+BF224*BF165+BG224*BG165+BH224*BH165+BI224*BI165+BJ224*BJ165+BK224*BK165+BL224*BL165+BM224*BM165+BN224*BN165+BO224*BO165+BP224*BP165+BQ224*BQ165+BR224*BR165+BS224*BS165+BT224*BT165+BU224*BU165+BV224*BV165+BW224*BW165+BX224*BX165+BY224*BY165+BZ224*BZ165+CA224*CA165+CB224*CB165+CC224*CC165</f>
        <v>0</v>
      </c>
      <c r="CK165" s="2387">
        <f>E225*E165+F225*F165+G225*G165+H225*H165+I225*I165+J225*J165+K225*K165+L225*L165+M225*M165+N225*N165+O225*O165+P225*P165+Q225*Q165+R225*R165+S225*S165+T225*T165+U225*U165+V225*V165+W225*W165+X225*X165+Y225*Y165+Z225*Z165+AA225*AA165+AB225*AB165+AC225*AC165+AD225*AD165+AE225*AE165+AF225*AF165+AG225*AG165+AH225*AH165+AI225*AI165+AJ225*AJ165+AK225*AK165+AL225*AL165+AM225*AM165+AN225*AN165+AO225*AO165+AP225*AP165+AQ225*AQ165+AR225*AR165+AS225*AS165+AT225*AT165+AU225*AU165+AV225*AV165+AW225*AW165+AX225*AX165+AY225*AY165+AZ225*AZ165+BA225*BA165+BB225*BB165+BC225*BC165+BD225*BD165+BE225*BE165+BF225*BF165+BG225*BG165+BH225*BH165+BI225*BI165+BJ225*BJ165+BK225*BK165+BL225*BL165+BM225*BM165+BN225*BN165+BO225*BO165+BP225*BP165+BQ225*BQ165+BR225*BR165+BS225*BS165+BT225*BT165+BU225*BU165+BV225*BV165+BW225*BW165+BX225*BX165+BY225*BY165+BZ225*BZ165+CA225*CA165+CB225*CB165+CC225*CC165</f>
        <v>0</v>
      </c>
      <c r="CL165" s="2387">
        <f>E226*E165+F226*F165+G226*G165+H226*H165+I226*I165+J226*J165+K226*K165+L226*L165+M226*M165+N226*N165+O226*O165+P226*P165+Q226*Q165+R226*R165+S226*S165+T226*T165+U226*U165+V226*V165+W226*W165+X226*X165+Y226*Y165+Z226*Z165+AA226*AA165+AB226*AB165+AC226*AC165+AD226*AD165+AE226*AE165+AF226*AF165+AG226*AG165+AH226*AH165+AI226*AI165+AJ226*AJ165+AK226*AK165+AL226*AL165+AM226*AM165+AN226*AN165+AO226*AO165+AP226*AP165+AQ226*AQ165+AR226*AR165+AS226*AS165+AT226*AT165+AU226*AU165+AV226*AV165+AW226*AW165+AX226*AX165+AY226*AY165+AZ226*AZ165+BA226*BA165+BB226*BB165+BC226*BC165+BD226*BD165+BE226*BE165+BF226*BF165+BG226*BG165+BH226*BH165+BI226*BI165+BJ226*BJ165+BK226*BK165+BL226*BL165+BM226*BM165+BN226*BN165+BO226*BO165+BP226*BP165+BQ226*BQ165+BR226*BR165+BS226*BS165+BT226*BT165+BU226*BU165+BV226*BV165+BW226*BW165+BX226*BX165+BY226*BY165+BZ226*BZ165+CA226*CA165+CB226*CB165+CC226*CC165</f>
        <v>0</v>
      </c>
      <c r="CM165" s="2387">
        <f>E227*E165+F227*F165+G227*G165+H227*H165+I227*I165+J227*J165+K227*K165+L227*L165+M227*M165+N227*N165+O227*O165+P227*P165+Q227*Q165+R227*R165+S227*S165+T227*T165+U227*U165+V227*V165+W227*W165+X227*X165+Y227*Y165+Z227*Z165+AA227*AA165+AB227*AB165+AC227*AC165+AD227*AD165+AE227*AE165+AF227*AF165+AG227*AG165+AH227*AH165+AI227*AI165+AJ227*AJ165+AK227*AK165+AL227*AL165+AM227*AM165+AN227*AN165+AO227*AO165+AP227*AP165+AQ227*AQ165+AR227*AR165+AS227*AS165+AT227*AT165+AU227*AU165+AV227*AV165+AW227*AW165+AX227*AX165+AY227*AY165+AZ227*AZ165+BA227*BA165+BB227*BB165+BC227*BC165+BD227*BD165+BE227*BE165+BF227*BF165+BG227*BG165+BH227*BH165+BI227*BI165+BJ227*BJ165+BK227*BK165+BL227*BL165+BM227*BM165+BN227*BN165+BO227*BO165+BP227*BP165+BQ227*BQ165+BR227*BR165+BS227*BS165+BT227*BT165+BU227*BU165+BV227*BV165+BW227*BW165+BX227*BX165+BY227*BY165+BZ227*BZ165+CA227*CA165+CB227*CB165+CC227*CC165</f>
        <v>0</v>
      </c>
      <c r="CN165" s="2387">
        <f>E228*E165+F228*F165+G228*G165+H228*H165+I228*I165+J228*J165+K228*K165+L228*L165+M228*M165+N228*N165+O228*O165+P228*P165+Q228*Q165+R228*R165+S228*S165+T228*T165+U228*U165+V228*V165+W228*W165+X228*X165+Y228*Y165+Z228*Z165+AA228*AA165+AB228*AB165+AC228*AC165+AD228*AD165+AE228*AE165+AF228*AF165+AG228*AG165+AH228*AH165+AI228*AI165+AJ228*AJ165+AK228*AK165+AL228*AL165+AM228*AM165+AN228*AN165+AO228*AO165+AP228*AP165+AQ228*AQ165+AR228*AR165+AS228*AS165+AT228*AT165+AU228*AU165+AV228*AV165+AW228*AW165+AX228*AX165+AY228*AY165+AZ228*AZ165+BA228*BA165+BB228*BB165+BC228*BC165+BD228*BD165+BE228*BE165+BF228*BF165+BG228*BG165+BH228*BH165+BI228*BI165+BJ228*BJ165+BK228*BK165+BL228*BL165+BM228*BM165+BN228*BN165+BO228*BO165+BP228*BP165+BQ228*BQ165+BR228*BR165+BS228*BS165+BT228*BT165+BU228*BU165+BV228*BV165+BW228*BW165+BX228*BX165+BY228*BY165+BZ228*BZ165+CA228*CA165+CB228*CB165+CC228*CC165</f>
        <v>0</v>
      </c>
      <c r="CO165" s="2387">
        <f>E229*E165+F229*F165+G229*G165+H229*H165+I229*I165+J229*J165+K229*K165+L229*L165+M229*M165+N229*N165+O229*O165+P229*P165+Q229*Q165+R229*R165+S229*S165+T229*T165+U229*U165+V229*V165+W229*W165+X229*X165+Y229*Y165+Z229*Z165+AA229*AA165+AB229*AB165+AC229*AC165+AD229*AD165+AE229*AE165+AF229*AF165+AG229*AG165+AH229*AH165+AI229*AI165+AJ229*AJ165+AK229*AK165+AL229*AL165+AM229*AM165+AN229*AN165+AO229*AO165+AP229*AP165+AQ229*AQ165+AR229*AR165+AS229*AS165+AT229*AT165+AU229*AU165+AV229*AV165+AW229*AW165+AX229*AX165+AY229*AY165+AZ229*AZ165+BA229*BA165+BB229*BB165+BC229*BC165+BD229*BD165+BE229*BE165+BF229*BF165+BG229*BG165+BH229*BH165+BI229*BI165+BJ229*BJ165+BK229*BK165+BL229*BL165+BM229*BM165+BN229*BN165+BO229*BO165+BP229*BP165+BQ229*BQ165+BR229*BR165+BS229*BS165+BT229*BT165+BU229*BU165+BV229*BV165+BW229*BW165+BX229*BX165+BY229*BY165+BZ229*BZ165+CA229*CA165+CB229*CB165+CC229*CC165</f>
        <v>0</v>
      </c>
      <c r="CP165" s="2387">
        <f>E230*E165+F230*F165+G230*G165+H230*H165+I230*I165+J230*J165+K230*K165+L230*L165+M230*M165+N230*N165+O230*O165+P230*P165+Q230*Q165+R230*R165+S230*S165+T230*T165+U230*U165+V230*V165+W230*W165+X230*X165+Y230*Y165+Z230*Z165+AA230*AA165+AB230*AB165+AC230*AC165+AD230*AD165+AE230*AE165+AF230*AF165+AG230*AG165+AH230*AH165+AI230*AI165+AJ230*AJ165+AK230*AK165+AL230*AL165+AM230*AM165+AN230*AN165+AO230*AO165+AP230*AP165+AQ230*AQ165+AR230*AR165+AS230*AS165+AT230*AT165+AU230*AU165+AV230*AV165+AW230*AW165+AX230*AX165+AY230*AY165+AZ230*AZ165+BA230*BA165+BB230*BB165+BC230*BC165+BD230*BD165+BE230*BE165+BF230*BF165+BG230*BG165+BH230*BH165+BI230*BI165+BJ230*BJ165+BK230*BK165+BL230*BL165+BM230*BM165+BN230*BN165+BO230*BO165+BP230*BP165+BQ230*BQ165+BR230*BR165+BS230*BS165+BT230*BT165+BU230*BU165+BV230*BV165+BW230*BW165+BX230*BX165+BY230*BY165+BZ230*BZ165+CA230*CA165+CB230*CB165+CC230*CC165</f>
        <v>0</v>
      </c>
    </row>
    <row r="166" spans="2:94" x14ac:dyDescent="0.25">
      <c r="B166" s="1589">
        <v>47</v>
      </c>
      <c r="C166" s="1528" t="s">
        <v>464</v>
      </c>
      <c r="D166" s="650" t="s">
        <v>294</v>
      </c>
      <c r="E166" s="981">
        <f>0</f>
        <v>0</v>
      </c>
      <c r="F166" s="981">
        <f>0</f>
        <v>0</v>
      </c>
      <c r="G166" s="981">
        <f>0</f>
        <v>0</v>
      </c>
      <c r="H166" s="981">
        <f>0</f>
        <v>0</v>
      </c>
      <c r="I166" s="981">
        <f>1-f_E</f>
        <v>0.92</v>
      </c>
      <c r="J166" s="981">
        <f>0</f>
        <v>0</v>
      </c>
      <c r="K166" s="981">
        <f>0</f>
        <v>0</v>
      </c>
      <c r="L166" s="981">
        <f>0</f>
        <v>0</v>
      </c>
      <c r="M166" s="981">
        <f>0</f>
        <v>0</v>
      </c>
      <c r="N166" s="981">
        <f>0</f>
        <v>0</v>
      </c>
      <c r="O166" s="981">
        <f>f_E</f>
        <v>0.08</v>
      </c>
      <c r="P166" s="981">
        <f>0</f>
        <v>0</v>
      </c>
      <c r="Q166" s="981">
        <f>0</f>
        <v>0</v>
      </c>
      <c r="R166" s="981">
        <f>0</f>
        <v>0</v>
      </c>
      <c r="S166" s="981">
        <f>0</f>
        <v>0</v>
      </c>
      <c r="T166" s="981">
        <f>0</f>
        <v>0</v>
      </c>
      <c r="U166" s="981">
        <f>0</f>
        <v>0</v>
      </c>
      <c r="V166" s="981">
        <f>0</f>
        <v>0</v>
      </c>
      <c r="W166" s="981">
        <f>-1</f>
        <v>-1</v>
      </c>
      <c r="X166" s="981">
        <f>0</f>
        <v>0</v>
      </c>
      <c r="Y166" s="981">
        <f>-f_E*(i_N_XE-i_N_BIO)</f>
        <v>8.0000000000000069E-4</v>
      </c>
      <c r="Z166" s="981">
        <f>0</f>
        <v>0</v>
      </c>
      <c r="AA166" s="981">
        <f>0</f>
        <v>0</v>
      </c>
      <c r="AB166" s="981">
        <f>0</f>
        <v>0</v>
      </c>
      <c r="AC166" s="981">
        <f>0</f>
        <v>0</v>
      </c>
      <c r="AD166" s="981">
        <f>(1-f_E)*i_N_BIO</f>
        <v>6.4400000000000013E-2</v>
      </c>
      <c r="AE166" s="981">
        <f>0</f>
        <v>0</v>
      </c>
      <c r="AF166" s="980">
        <f>0</f>
        <v>0</v>
      </c>
      <c r="AG166" s="981">
        <f>0</f>
        <v>0</v>
      </c>
      <c r="AH166" s="981">
        <f>0</f>
        <v>0</v>
      </c>
      <c r="AI166" s="981">
        <f>(1-f_E)*i_P_BIO</f>
        <v>1.84E-2</v>
      </c>
      <c r="AJ166" s="981">
        <f>0</f>
        <v>0</v>
      </c>
      <c r="AK166" s="981">
        <f>0</f>
        <v>0</v>
      </c>
      <c r="AL166" s="981">
        <f>0</f>
        <v>0</v>
      </c>
      <c r="AM166" s="981">
        <f>0</f>
        <v>0</v>
      </c>
      <c r="AN166" s="981">
        <f>(1-f_E)*(i_CIT_BIO-i_CIT_SB)</f>
        <v>6.0720000000000003E-2</v>
      </c>
      <c r="AO166" s="981">
        <f>-i_INORG</f>
        <v>-0.11</v>
      </c>
      <c r="AP166" s="981">
        <f>i_INORG*(1-i_Ca_INORG*(A_MCa+2*A_MCl)/A_MCa-i_Mg_INORG*(A_MMg+2*A_MCl)/A_MMg)*f_Na</f>
        <v>2.8804303582798466E-2</v>
      </c>
      <c r="AQ166" s="981">
        <f>i_INORG*(i_Ca_INORG*(2*A_MCl)/A_MCa+i_Mg_INORG*(2*A_MCl)/A_MMg)+i_INORG*(1-i_Ca_INORG*(A_MCa+2*A_MCl)/A_MCa-i_Mg_INORG*(A_MMg+2*A_MCl)/A_MMg)*(1-f_Na)</f>
        <v>7.0195696417201539E-2</v>
      </c>
      <c r="AR166" s="981">
        <f>i_INORG*i_Ca_INORG</f>
        <v>5.5000000000000005E-3</v>
      </c>
      <c r="AS166" s="981">
        <f>i_INORG*i_Mg_INORG</f>
        <v>5.5000000000000005E-3</v>
      </c>
      <c r="AT166" s="981">
        <f>0</f>
        <v>0</v>
      </c>
      <c r="AU166" s="981">
        <f>0</f>
        <v>0</v>
      </c>
      <c r="AV166" s="981">
        <f>0</f>
        <v>0</v>
      </c>
      <c r="AW166" s="981">
        <f>0</f>
        <v>0</v>
      </c>
      <c r="AX166" s="981">
        <f>0</f>
        <v>0</v>
      </c>
      <c r="AY166" s="981">
        <f>0</f>
        <v>0</v>
      </c>
      <c r="AZ166" s="981">
        <f>0</f>
        <v>0</v>
      </c>
      <c r="BA166" s="981">
        <f>0</f>
        <v>0</v>
      </c>
      <c r="BB166" s="981">
        <f>0</f>
        <v>0</v>
      </c>
      <c r="BC166" s="981">
        <f>0</f>
        <v>0</v>
      </c>
      <c r="BD166" s="981">
        <f>0</f>
        <v>0</v>
      </c>
      <c r="BE166" s="981">
        <f>0</f>
        <v>0</v>
      </c>
      <c r="BF166" s="981">
        <f>0</f>
        <v>0</v>
      </c>
      <c r="BG166" s="981">
        <f>0</f>
        <v>0</v>
      </c>
      <c r="BH166" s="981">
        <f>0</f>
        <v>0</v>
      </c>
      <c r="BI166" s="981">
        <f>0</f>
        <v>0</v>
      </c>
      <c r="BJ166" s="981">
        <f>0</f>
        <v>0</v>
      </c>
      <c r="BK166" s="981">
        <f>0</f>
        <v>0</v>
      </c>
      <c r="BL166" s="1638">
        <f>0</f>
        <v>0</v>
      </c>
      <c r="BM166" s="981">
        <f>0</f>
        <v>0</v>
      </c>
      <c r="BN166" s="981">
        <f>0</f>
        <v>0</v>
      </c>
      <c r="BO166" s="981">
        <f>0</f>
        <v>0</v>
      </c>
      <c r="BP166" s="1424">
        <f>0</f>
        <v>0</v>
      </c>
      <c r="BQ166" s="2373">
        <f>0</f>
        <v>0</v>
      </c>
      <c r="BR166" s="981">
        <f>0</f>
        <v>0</v>
      </c>
      <c r="BS166" s="981">
        <f>0</f>
        <v>0</v>
      </c>
      <c r="BT166" s="981">
        <f>0</f>
        <v>0</v>
      </c>
      <c r="BU166" s="981">
        <f>0</f>
        <v>0</v>
      </c>
      <c r="BV166" s="981">
        <f>0</f>
        <v>0</v>
      </c>
      <c r="BW166" s="981">
        <f>0</f>
        <v>0</v>
      </c>
      <c r="BX166" s="981">
        <f>0</f>
        <v>0</v>
      </c>
      <c r="BY166" s="981">
        <f>0</f>
        <v>0</v>
      </c>
      <c r="BZ166" s="981">
        <f>0</f>
        <v>0</v>
      </c>
      <c r="CA166" s="981">
        <f>0</f>
        <v>0</v>
      </c>
      <c r="CB166" s="981">
        <f>0</f>
        <v>0</v>
      </c>
      <c r="CC166" s="981">
        <f>0</f>
        <v>0</v>
      </c>
      <c r="CD166" s="1654">
        <f>b_AMETO_T*X_AMETO*(m_tox_aer*M_satSO2_KiO2_AMETO+m_tox_anox*M_satSNOx_KNO3_AMETO*M_inhSO2_KiO2_AMETO)</f>
        <v>8.8891783092588217E-2</v>
      </c>
      <c r="CF166" s="2385">
        <f>E220*E166+F220*F166+G220*G166+H220*H166+I220*I166+J220*J166+K220*K166+L220*L166+M220*M166+N220*N166+O220*O166+P220*P166+Q220*Q166+R220*R166+S220*S166+T220*T166+U220*U166+V220*V166+W220*W166+X220*X166+Y220*Y166+Z220*Z166+AA220*AA166+AB220*AB166+AC220*AC166+AD220*AD166+AE220*AE166+AF220*AF166+AG220*AG166+AH220*AH166+AI220*AI166+AJ220*AJ166+AK220*AK166+AL220*AL166+AM220*AM166+AN220*AN166+AO220*AO166+AP220*AP166+AQ220*AQ166+AR220*AR166+AS220*AS166+AT220*AT166+AU220*AU166+AV220*AV166+AW220*AW166+AX220*AX166+AY220*AY166+AZ220*AZ166+BA220*BA166+BB220*BB166+BC220*BC166+BD220*BD166+BE220*BE166+BF220*BF166+BG220*BG166+BH220*BH166+BI220*BI166+BJ220*BJ166+BK220*BK166+BL220*BL166+BM220*BM166+BN220*BN166+BO220*BO166+BP220*BP166+BQ220*BQ166+BR220*BR166+BS220*BS166+BT220*BT166+BU220*BU166+BV220*BV166+BW220*BW166+BX220*BX166+BY220*BY166+BZ220*BZ166+CA220*CA166+CB220*CB166+CC220*CC166</f>
        <v>0</v>
      </c>
      <c r="CG166" s="2385">
        <f>E221*E166+F221*F166+G221*G166+H221*H166+I221*I166+J221*J166+K221*K166+L221*L166+M221*M166+N221*N166+O221*O166+P221*P166+Q221*Q166+R221*R166+S221*S166+T221*T166+U221*U166+V221*V166+W221*W166+X221*X166+Y221*Y166+Z221*Z166+AA221*AA166+AB221*AB166+AC221*AC166+AD221*AD166+AE221*AE166+AF221*AF166+AG221*AG166+AH221*AH166+AI221*AI166+AJ221*AJ166+AK221*AK166+AL221*AL166+AM221*AM166+AN221*AN166+AO221*AO166+AP221*AP166+AQ221*AQ166+AR221*AR166+AS221*AS166+AT221*AT166+AU221*AU166+AV221*AV166+AW221*AW166+AX221*AX166+AY221*AY166+AZ221*AZ166+BA221*BA166+BB221*BB166+BC221*BC166+BD221*BD166+BE221*BE166+BF221*BF166+BG221*BG166+BH221*BH166+BI221*BI166+BJ221*BJ166+BK221*BK166+BL221*BL166+BM221*BM166+BN221*BN166+BO221*BO166+BP221*BP166+BQ221*BQ166+BR221*BR166+BS221*BS166+BT221*BT166+BU221*BU166+BV221*BV166+BW221*BW166+BX221*BX166+BY221*BY166+BZ221*BZ166+CA221*CA166+CB221*CB166+CC221*CC166</f>
        <v>6.9388939039072284E-18</v>
      </c>
      <c r="CH166" s="2386">
        <f>E222*E166+F222*F166+G222*G166+H222*H166+I222*I166+J222*J166+K222*K166+L222*L166+M222*M166+N222*N166+O222*O166+P222*P166+Q222*Q166+R222*R166+S222*S166+T222*T166+U222*U166+V222*V166+W222*W166+X222*X166+Y222*Y166+Z222*Z166+AA222*AA166+AB222*AB166+AC222*AC166+AD222*AD166+AE222*AE166+AF222*AF166+AG222*AG166+AH222*AH166+AI222*AI166+AJ222*AJ166+AK222*AK166+AL222*AL166+AM222*AM166+AN222*AN166+AO222*AO166+AP222*AP166+AQ222*AQ166+AR222*AR166+AS222*AS166+AT222*AT166+AU222*AU166+AV222*AV166+AW222*AW166+AX222*AX166+AY222*AY166+AZ222*AZ166+BA222*BA166+BB222*BB166+BC222*BC166+BD222*BD166+BE222*BE166+BF222*BF166+BG222*BG166+BH222*BH166+BI222*BI166+BJ222*BJ166+BK222*BK166+BL222*BL166+BM222*BM166+BN222*BN166+BO222*BO166+BP222*BP166+BQ222*BQ166+BR222*BR166+BS222*BS166+BT222*BT166+BU222*BU166+BV222*BV166+BW222*BW166+BX222*BX166+BY222*BY166+BZ222*BZ166+CA222*CA166+CB222*CB166+CC222*CC166</f>
        <v>0</v>
      </c>
      <c r="CI166" s="2387">
        <f>E223*E166+F223*F166+G223*G166+H223*H166+I223*I166+J223*J166+K223*K166+L223*L166+M223*M166+N223*N166+O223*O166+P223*P166+Q223*Q166+R223*R166+S223*S166+T223*T166+U223*U166+V223*V166+W223*W166+X223*X166+Y223*Y166+Z223*Z166+AA223*AA166+AB223*AB166+AC223*AC166+AD223*AD166+AE223*AE166+AF223*AF166+AG223*AG166+AH223*AH166+AI223*AI166+AJ223*AJ166+AK223*AK166+AL223*AL166+AM223*AM166+AN223*AN166+AO223*AO166+AP223*AP166+AQ223*AQ166+AR223*AR166+AS223*AS166+AT223*AT166+AU223*AU166+AV223*AV166+AW223*AW166+AX223*AX166+AY223*AY166+AZ223*AZ166+BA223*BA166+BB223*BB166+BC223*BC166+BD223*BD166+BE223*BE166+BF223*BF166+BG223*BG166+BH223*BH166+BI223*BI166+BJ223*BJ166+BK223*BK166+BL223*BL166+BM223*BM166+BN223*BN166+BO223*BO166+BP223*BP166+BQ223*BQ166+BR223*BR166+BS223*BS166+BT223*BT166+BU223*BU166+BV223*BV166+BW223*BW166+BX223*BX166+BY223*BY166+BZ223*BZ166+CA223*CA166+CB223*CB166+CC223*CC166</f>
        <v>0</v>
      </c>
      <c r="CJ166" s="2387">
        <f>E224*E166+F224*F166+G224*G166+H224*H166+I224*I166+J224*J166+K224*K166+L224*L166+M224*M166+N224*N166+O224*O166+P224*P166+Q224*Q166+R224*R166+S224*S166+T224*T166+U224*U166+V224*V166+W224*W166+X224*X166+Y224*Y166+Z224*Z166+AA224*AA166+AB224*AB166+AC224*AC166+AD224*AD166+AE224*AE166+AF224*AF166+AG224*AG166+AH224*AH166+AI224*AI166+AJ224*AJ166+AK224*AK166+AL224*AL166+AM224*AM166+AN224*AN166+AO224*AO166+AP224*AP166+AQ224*AQ166+AR224*AR166+AS224*AS166+AT224*AT166+AU224*AU166+AV224*AV166+AW224*AW166+AX224*AX166+AY224*AY166+AZ224*AZ166+BA224*BA166+BB224*BB166+BC224*BC166+BD224*BD166+BE224*BE166+BF224*BF166+BG224*BG166+BH224*BH166+BI224*BI166+BJ224*BJ166+BK224*BK166+BL224*BL166+BM224*BM166+BN224*BN166+BO224*BO166+BP224*BP166+BQ224*BQ166+BR224*BR166+BS224*BS166+BT224*BT166+BU224*BU166+BV224*BV166+BW224*BW166+BX224*BX166+BY224*BY166+BZ224*BZ166+CA224*CA166+CB224*CB166+CC224*CC166</f>
        <v>0</v>
      </c>
      <c r="CK166" s="2387">
        <f>E225*E166+F225*F166+G225*G166+H225*H166+I225*I166+J225*J166+K225*K166+L225*L166+M225*M166+N225*N166+O225*O166+P225*P166+Q225*Q166+R225*R166+S225*S166+T225*T166+U225*U166+V225*V166+W225*W166+X225*X166+Y225*Y166+Z225*Z166+AA225*AA166+AB225*AB166+AC225*AC166+AD225*AD166+AE225*AE166+AF225*AF166+AG225*AG166+AH225*AH166+AI225*AI166+AJ225*AJ166+AK225*AK166+AL225*AL166+AM225*AM166+AN225*AN166+AO225*AO166+AP225*AP166+AQ225*AQ166+AR225*AR166+AS225*AS166+AT225*AT166+AU225*AU166+AV225*AV166+AW225*AW166+AX225*AX166+AY225*AY166+AZ225*AZ166+BA225*BA166+BB225*BB166+BC225*BC166+BD225*BD166+BE225*BE166+BF225*BF166+BG225*BG166+BH225*BH166+BI225*BI166+BJ225*BJ166+BK225*BK166+BL225*BL166+BM225*BM166+BN225*BN166+BO225*BO166+BP225*BP166+BQ225*BQ166+BR225*BR166+BS225*BS166+BT225*BT166+BU225*BU166+BV225*BV166+BW225*BW166+BX225*BX166+BY225*BY166+BZ225*BZ166+CA225*CA166+CB225*CB166+CC225*CC166</f>
        <v>0</v>
      </c>
      <c r="CL166" s="2387">
        <f>E226*E166+F226*F166+G226*G166+H226*H166+I226*I166+J226*J166+K226*K166+L226*L166+M226*M166+N226*N166+O226*O166+P226*P166+Q226*Q166+R226*R166+S226*S166+T226*T166+U226*U166+V226*V166+W226*W166+X226*X166+Y226*Y166+Z226*Z166+AA226*AA166+AB226*AB166+AC226*AC166+AD226*AD166+AE226*AE166+AF226*AF166+AG226*AG166+AH226*AH166+AI226*AI166+AJ226*AJ166+AK226*AK166+AL226*AL166+AM226*AM166+AN226*AN166+AO226*AO166+AP226*AP166+AQ226*AQ166+AR226*AR166+AS226*AS166+AT226*AT166+AU226*AU166+AV226*AV166+AW226*AW166+AX226*AX166+AY226*AY166+AZ226*AZ166+BA226*BA166+BB226*BB166+BC226*BC166+BD226*BD166+BE226*BE166+BF226*BF166+BG226*BG166+BH226*BH166+BI226*BI166+BJ226*BJ166+BK226*BK166+BL226*BL166+BM226*BM166+BN226*BN166+BO226*BO166+BP226*BP166+BQ226*BQ166+BR226*BR166+BS226*BS166+BT226*BT166+BU226*BU166+BV226*BV166+BW226*BW166+BX226*BX166+BY226*BY166+BZ226*BZ166+CA226*CA166+CB226*CB166+CC226*CC166</f>
        <v>0</v>
      </c>
      <c r="CM166" s="2387">
        <f>E227*E166+F227*F166+G227*G166+H227*H166+I227*I166+J227*J166+K227*K166+L227*L166+M227*M166+N227*N166+O227*O166+P227*P166+Q227*Q166+R227*R166+S227*S166+T227*T166+U227*U166+V227*V166+W227*W166+X227*X166+Y227*Y166+Z227*Z166+AA227*AA166+AB227*AB166+AC227*AC166+AD227*AD166+AE227*AE166+AF227*AF166+AG227*AG166+AH227*AH166+AI227*AI166+AJ227*AJ166+AK227*AK166+AL227*AL166+AM227*AM166+AN227*AN166+AO227*AO166+AP227*AP166+AQ227*AQ166+AR227*AR166+AS227*AS166+AT227*AT166+AU227*AU166+AV227*AV166+AW227*AW166+AX227*AX166+AY227*AY166+AZ227*AZ166+BA227*BA166+BB227*BB166+BC227*BC166+BD227*BD166+BE227*BE166+BF227*BF166+BG227*BG166+BH227*BH166+BI227*BI166+BJ227*BJ166+BK227*BK166+BL227*BL166+BM227*BM166+BN227*BN166+BO227*BO166+BP227*BP166+BQ227*BQ166+BR227*BR166+BS227*BS166+BT227*BT166+BU227*BU166+BV227*BV166+BW227*BW166+BX227*BX166+BY227*BY166+BZ227*BZ166+CA227*CA166+CB227*CB166+CC227*CC166</f>
        <v>0</v>
      </c>
      <c r="CN166" s="2387">
        <f>E228*E166+F228*F166+G228*G166+H228*H166+I228*I166+J228*J166+K228*K166+L228*L166+M228*M166+N228*N166+O228*O166+P228*P166+Q228*Q166+R228*R166+S228*S166+T228*T166+U228*U166+V228*V166+W228*W166+X228*X166+Y228*Y166+Z228*Z166+AA228*AA166+AB228*AB166+AC228*AC166+AD228*AD166+AE228*AE166+AF228*AF166+AG228*AG166+AH228*AH166+AI228*AI166+AJ228*AJ166+AK228*AK166+AL228*AL166+AM228*AM166+AN228*AN166+AO228*AO166+AP228*AP166+AQ228*AQ166+AR228*AR166+AS228*AS166+AT228*AT166+AU228*AU166+AV228*AV166+AW228*AW166+AX228*AX166+AY228*AY166+AZ228*AZ166+BA228*BA166+BB228*BB166+BC228*BC166+BD228*BD166+BE228*BE166+BF228*BF166+BG228*BG166+BH228*BH166+BI228*BI166+BJ228*BJ166+BK228*BK166+BL228*BL166+BM228*BM166+BN228*BN166+BO228*BO166+BP228*BP166+BQ228*BQ166+BR228*BR166+BS228*BS166+BT228*BT166+BU228*BU166+BV228*BV166+BW228*BW166+BX228*BX166+BY228*BY166+BZ228*BZ166+CA228*CA166+CB228*CB166+CC228*CC166</f>
        <v>0</v>
      </c>
      <c r="CO166" s="2387">
        <f>E229*E166+F229*F166+G229*G166+H229*H166+I229*I166+J229*J166+K229*K166+L229*L166+M229*M166+N229*N166+O229*O166+P229*P166+Q229*Q166+R229*R166+S229*S166+T229*T166+U229*U166+V229*V166+W229*W166+X229*X166+Y229*Y166+Z229*Z166+AA229*AA166+AB229*AB166+AC229*AC166+AD229*AD166+AE229*AE166+AF229*AF166+AG229*AG166+AH229*AH166+AI229*AI166+AJ229*AJ166+AK229*AK166+AL229*AL166+AM229*AM166+AN229*AN166+AO229*AO166+AP229*AP166+AQ229*AQ166+AR229*AR166+AS229*AS166+AT229*AT166+AU229*AU166+AV229*AV166+AW229*AW166+AX229*AX166+AY229*AY166+AZ229*AZ166+BA229*BA166+BB229*BB166+BC229*BC166+BD229*BD166+BE229*BE166+BF229*BF166+BG229*BG166+BH229*BH166+BI229*BI166+BJ229*BJ166+BK229*BK166+BL229*BL166+BM229*BM166+BN229*BN166+BO229*BO166+BP229*BP166+BQ229*BQ166+BR229*BR166+BS229*BS166+BT229*BT166+BU229*BU166+BV229*BV166+BW229*BW166+BX229*BX166+BY229*BY166+BZ229*BZ166+CA229*CA166+CB229*CB166+CC229*CC166</f>
        <v>0</v>
      </c>
      <c r="CP166" s="2387">
        <f>E230*E166+F230*F166+G230*G166+H230*H166+I230*I166+J230*J166+K230*K166+L230*L166+M230*M166+N230*N166+O230*O166+P230*P166+Q230*Q166+R230*R166+S230*S166+T230*T166+U230*U166+V230*V166+W230*W166+X230*X166+Y230*Y166+Z230*Z166+AA230*AA166+AB230*AB166+AC230*AC166+AD230*AD166+AE230*AE166+AF230*AF166+AG230*AG166+AH230*AH166+AI230*AI166+AJ230*AJ166+AK230*AK166+AL230*AL166+AM230*AM166+AN230*AN166+AO230*AO166+AP230*AP166+AQ230*AQ166+AR230*AR166+AS230*AS166+AT230*AT166+AU230*AU166+AV230*AV166+AW230*AW166+AX230*AX166+AY230*AY166+AZ230*AZ166+BA230*BA166+BB230*BB166+BC230*BC166+BD230*BD166+BE230*BE166+BF230*BF166+BG230*BG166+BH230*BH166+BI230*BI166+BJ230*BJ166+BK230*BK166+BL230*BL166+BM230*BM166+BN230*BN166+BO230*BO166+BP230*BP166+BQ230*BQ166+BR230*BR166+BS230*BS166+BT230*BT166+BU230*BU166+BV230*BV166+BW230*BW166+BX230*BX166+BY230*BY166+BZ230*BZ166+CA230*CA166+CB230*CB166+CC230*CC166</f>
        <v>0</v>
      </c>
    </row>
    <row r="167" spans="2:94" x14ac:dyDescent="0.25">
      <c r="B167" s="1589">
        <v>48</v>
      </c>
      <c r="C167" s="1528" t="s">
        <v>465</v>
      </c>
      <c r="D167" s="650" t="s">
        <v>3084</v>
      </c>
      <c r="E167" s="981">
        <f>0</f>
        <v>0</v>
      </c>
      <c r="F167" s="981">
        <f>0</f>
        <v>0</v>
      </c>
      <c r="G167" s="981">
        <f>0</f>
        <v>0</v>
      </c>
      <c r="H167" s="981">
        <f>0</f>
        <v>0</v>
      </c>
      <c r="I167" s="981">
        <f>1-f_E</f>
        <v>0.92</v>
      </c>
      <c r="J167" s="981">
        <f>0</f>
        <v>0</v>
      </c>
      <c r="K167" s="981">
        <f>0</f>
        <v>0</v>
      </c>
      <c r="L167" s="981">
        <f>0</f>
        <v>0</v>
      </c>
      <c r="M167" s="981">
        <f>0</f>
        <v>0</v>
      </c>
      <c r="N167" s="981">
        <f>0</f>
        <v>0</v>
      </c>
      <c r="O167" s="981">
        <f>0</f>
        <v>0</v>
      </c>
      <c r="P167" s="981">
        <f>f_E</f>
        <v>0.08</v>
      </c>
      <c r="Q167" s="981">
        <f>0</f>
        <v>0</v>
      </c>
      <c r="R167" s="981">
        <f>0</f>
        <v>0</v>
      </c>
      <c r="S167" s="981">
        <f>0</f>
        <v>0</v>
      </c>
      <c r="T167" s="981">
        <f>0</f>
        <v>0</v>
      </c>
      <c r="U167" s="981">
        <f>0</f>
        <v>0</v>
      </c>
      <c r="V167" s="981">
        <f>0</f>
        <v>0</v>
      </c>
      <c r="W167" s="981">
        <f>-1</f>
        <v>-1</v>
      </c>
      <c r="X167" s="981">
        <f>0</f>
        <v>0</v>
      </c>
      <c r="Y167" s="981">
        <f>-f_E*(i_N_XE-i_N_BIO)</f>
        <v>8.0000000000000069E-4</v>
      </c>
      <c r="Z167" s="981">
        <f>0</f>
        <v>0</v>
      </c>
      <c r="AA167" s="981">
        <f>0</f>
        <v>0</v>
      </c>
      <c r="AB167" s="981">
        <f>0</f>
        <v>0</v>
      </c>
      <c r="AC167" s="981">
        <f>0</f>
        <v>0</v>
      </c>
      <c r="AD167" s="981">
        <f>(1-f_E)*i_N_BIO</f>
        <v>6.4400000000000013E-2</v>
      </c>
      <c r="AE167" s="981">
        <f>0</f>
        <v>0</v>
      </c>
      <c r="AF167" s="980">
        <f>0</f>
        <v>0</v>
      </c>
      <c r="AG167" s="981">
        <f>0</f>
        <v>0</v>
      </c>
      <c r="AH167" s="981">
        <f>0</f>
        <v>0</v>
      </c>
      <c r="AI167" s="981">
        <f>(1-f_E)*i_P_BIO</f>
        <v>1.84E-2</v>
      </c>
      <c r="AJ167" s="981">
        <f>0</f>
        <v>0</v>
      </c>
      <c r="AK167" s="981">
        <f>0</f>
        <v>0</v>
      </c>
      <c r="AL167" s="981">
        <f>0</f>
        <v>0</v>
      </c>
      <c r="AM167" s="981">
        <f>0</f>
        <v>0</v>
      </c>
      <c r="AN167" s="981">
        <f>(1-f_E)*(i_CIT_BIO-i_CIT_SB)</f>
        <v>6.0720000000000003E-2</v>
      </c>
      <c r="AO167" s="981">
        <f>-i_INORG</f>
        <v>-0.11</v>
      </c>
      <c r="AP167" s="981">
        <f>i_INORG*(1-i_Ca_INORG*(A_MCa+2*A_MCl)/A_MCa-i_Mg_INORG*(A_MMg+2*A_MCl)/A_MMg)*f_Na</f>
        <v>2.8804303582798466E-2</v>
      </c>
      <c r="AQ167" s="981">
        <f>i_INORG*(i_Ca_INORG*(2*A_MCl)/A_MCa+i_Mg_INORG*(2*A_MCl)/A_MMg)+i_INORG*(1-i_Ca_INORG*(A_MCa+2*A_MCl)/A_MCa-i_Mg_INORG*(A_MMg+2*A_MCl)/A_MMg)*(1-f_Na)</f>
        <v>7.0195696417201539E-2</v>
      </c>
      <c r="AR167" s="981">
        <f>i_INORG*i_Ca_INORG</f>
        <v>5.5000000000000005E-3</v>
      </c>
      <c r="AS167" s="981">
        <f>i_INORG*i_Mg_INORG</f>
        <v>5.5000000000000005E-3</v>
      </c>
      <c r="AT167" s="981">
        <f>0</f>
        <v>0</v>
      </c>
      <c r="AU167" s="981">
        <f>0</f>
        <v>0</v>
      </c>
      <c r="AV167" s="981">
        <f>0</f>
        <v>0</v>
      </c>
      <c r="AW167" s="981">
        <f>0</f>
        <v>0</v>
      </c>
      <c r="AX167" s="981">
        <f>0</f>
        <v>0</v>
      </c>
      <c r="AY167" s="981">
        <f>0</f>
        <v>0</v>
      </c>
      <c r="AZ167" s="981">
        <f>0</f>
        <v>0</v>
      </c>
      <c r="BA167" s="981">
        <f>0</f>
        <v>0</v>
      </c>
      <c r="BB167" s="981">
        <f>0</f>
        <v>0</v>
      </c>
      <c r="BC167" s="981">
        <f>0</f>
        <v>0</v>
      </c>
      <c r="BD167" s="981">
        <f>0</f>
        <v>0</v>
      </c>
      <c r="BE167" s="981">
        <f>0</f>
        <v>0</v>
      </c>
      <c r="BF167" s="981">
        <f>0</f>
        <v>0</v>
      </c>
      <c r="BG167" s="981">
        <f>0</f>
        <v>0</v>
      </c>
      <c r="BH167" s="981">
        <f>0</f>
        <v>0</v>
      </c>
      <c r="BI167" s="981">
        <f>0</f>
        <v>0</v>
      </c>
      <c r="BJ167" s="981">
        <f>0</f>
        <v>0</v>
      </c>
      <c r="BK167" s="981">
        <f>0</f>
        <v>0</v>
      </c>
      <c r="BL167" s="1638">
        <f>0</f>
        <v>0</v>
      </c>
      <c r="BM167" s="981">
        <f>0</f>
        <v>0</v>
      </c>
      <c r="BN167" s="981">
        <f>0</f>
        <v>0</v>
      </c>
      <c r="BO167" s="981">
        <f>0</f>
        <v>0</v>
      </c>
      <c r="BP167" s="1424">
        <f>0</f>
        <v>0</v>
      </c>
      <c r="BQ167" s="2373">
        <f>0</f>
        <v>0</v>
      </c>
      <c r="BR167" s="981">
        <f>0</f>
        <v>0</v>
      </c>
      <c r="BS167" s="981">
        <f>0</f>
        <v>0</v>
      </c>
      <c r="BT167" s="981">
        <f>0</f>
        <v>0</v>
      </c>
      <c r="BU167" s="981">
        <f>0</f>
        <v>0</v>
      </c>
      <c r="BV167" s="981">
        <f>0</f>
        <v>0</v>
      </c>
      <c r="BW167" s="981">
        <f>0</f>
        <v>0</v>
      </c>
      <c r="BX167" s="981">
        <f>0</f>
        <v>0</v>
      </c>
      <c r="BY167" s="981">
        <f>0</f>
        <v>0</v>
      </c>
      <c r="BZ167" s="981">
        <f>0</f>
        <v>0</v>
      </c>
      <c r="CA167" s="981">
        <f>0</f>
        <v>0</v>
      </c>
      <c r="CB167" s="981">
        <f>0</f>
        <v>0</v>
      </c>
      <c r="CC167" s="981">
        <f>0</f>
        <v>0</v>
      </c>
      <c r="CD167" s="1654">
        <f>b_AMETO_T*X_AMETO*M_inhSNOx_KNO3_AMETO*M_inhSO2_KiO2_AMETO</f>
        <v>2.1311863604072938E-6</v>
      </c>
      <c r="CF167" s="2385">
        <f>E220*E167+F220*F167+G220*G167+H220*H167+I220*I167+J220*J167+K220*K167+L220*L167+M220*M167+N220*N167+O220*O167+P220*P167+Q220*Q167+R220*R167+S220*S167+T220*T167+U220*U167+V220*V167+W220*W167+X220*X167+Y220*Y167+Z220*Z167+AA220*AA167+AB220*AB167+AC220*AC167+AD220*AD167+AE220*AE167+AF220*AF167+AG220*AG167+AH220*AH167+AI220*AI167+AJ220*AJ167+AK220*AK167+AL220*AL167+AM220*AM167+AN220*AN167+AO220*AO167+AP220*AP167+AQ220*AQ167+AR220*AR167+AS220*AS167+AT220*AT167+AU220*AU167+AV220*AV167+AW220*AW167+AX220*AX167+AY220*AY167+AZ220*AZ167+BA220*BA167+BB220*BB167+BC220*BC167+BD220*BD167+BE220*BE167+BF220*BF167+BG220*BG167+BH220*BH167+BI220*BI167+BJ220*BJ167+BK220*BK167+BL220*BL167+BM220*BM167+BN220*BN167+BO220*BO167+BP220*BP167+BQ220*BQ167+BR220*BR167+BS220*BS167+BT220*BT167+BU220*BU167+BV220*BV167+BW220*BW167+BX220*BX167+BY220*BY167+BZ220*BZ167+CA220*CA167+CB220*CB167+CC220*CC167</f>
        <v>0</v>
      </c>
      <c r="CG167" s="2385">
        <f>E221*E167+F221*F167+G221*G167+H221*H167+I221*I167+J221*J167+K221*K167+L221*L167+M221*M167+N221*N167+O221*O167+P221*P167+Q221*Q167+R221*R167+S221*S167+T221*T167+U221*U167+V221*V167+W221*W167+X221*X167+Y221*Y167+Z221*Z167+AA221*AA167+AB221*AB167+AC221*AC167+AD221*AD167+AE221*AE167+AF221*AF167+AG221*AG167+AH221*AH167+AI221*AI167+AJ221*AJ167+AK221*AK167+AL221*AL167+AM221*AM167+AN221*AN167+AO221*AO167+AP221*AP167+AQ221*AQ167+AR221*AR167+AS221*AS167+AT221*AT167+AU221*AU167+AV221*AV167+AW221*AW167+AX221*AX167+AY221*AY167+AZ221*AZ167+BA221*BA167+BB221*BB167+BC221*BC167+BD221*BD167+BE221*BE167+BF221*BF167+BG221*BG167+BH221*BH167+BI221*BI167+BJ221*BJ167+BK221*BK167+BL221*BL167+BM221*BM167+BN221*BN167+BO221*BO167+BP221*BP167+BQ221*BQ167+BR221*BR167+BS221*BS167+BT221*BT167+BU221*BU167+BV221*BV167+BW221*BW167+BX221*BX167+BY221*BY167+BZ221*BZ167+CA221*CA167+CB221*CB167+CC221*CC167</f>
        <v>6.9388939039072284E-18</v>
      </c>
      <c r="CH167" s="2386">
        <f>E222*E167+F222*F167+G222*G167+H222*H167+I222*I167+J222*J167+K222*K167+L222*L167+M222*M167+N222*N167+O222*O167+P222*P167+Q222*Q167+R222*R167+S222*S167+T222*T167+U222*U167+V222*V167+W222*W167+X222*X167+Y222*Y167+Z222*Z167+AA222*AA167+AB222*AB167+AC222*AC167+AD222*AD167+AE222*AE167+AF222*AF167+AG222*AG167+AH222*AH167+AI222*AI167+AJ222*AJ167+AK222*AK167+AL222*AL167+AM222*AM167+AN222*AN167+AO222*AO167+AP222*AP167+AQ222*AQ167+AR222*AR167+AS222*AS167+AT222*AT167+AU222*AU167+AV222*AV167+AW222*AW167+AX222*AX167+AY222*AY167+AZ222*AZ167+BA222*BA167+BB222*BB167+BC222*BC167+BD222*BD167+BE222*BE167+BF222*BF167+BG222*BG167+BH222*BH167+BI222*BI167+BJ222*BJ167+BK222*BK167+BL222*BL167+BM222*BM167+BN222*BN167+BO222*BO167+BP222*BP167+BQ222*BQ167+BR222*BR167+BS222*BS167+BT222*BT167+BU222*BU167+BV222*BV167+BW222*BW167+BX222*BX167+BY222*BY167+BZ222*BZ167+CA222*CA167+CB222*CB167+CC222*CC167</f>
        <v>0</v>
      </c>
      <c r="CI167" s="2387">
        <f>E223*E167+F223*F167+G223*G167+H223*H167+I223*I167+J223*J167+K223*K167+L223*L167+M223*M167+N223*N167+O223*O167+P223*P167+Q223*Q167+R223*R167+S223*S167+T223*T167+U223*U167+V223*V167+W223*W167+X223*X167+Y223*Y167+Z223*Z167+AA223*AA167+AB223*AB167+AC223*AC167+AD223*AD167+AE223*AE167+AF223*AF167+AG223*AG167+AH223*AH167+AI223*AI167+AJ223*AJ167+AK223*AK167+AL223*AL167+AM223*AM167+AN223*AN167+AO223*AO167+AP223*AP167+AQ223*AQ167+AR223*AR167+AS223*AS167+AT223*AT167+AU223*AU167+AV223*AV167+AW223*AW167+AX223*AX167+AY223*AY167+AZ223*AZ167+BA223*BA167+BB223*BB167+BC223*BC167+BD223*BD167+BE223*BE167+BF223*BF167+BG223*BG167+BH223*BH167+BI223*BI167+BJ223*BJ167+BK223*BK167+BL223*BL167+BM223*BM167+BN223*BN167+BO223*BO167+BP223*BP167+BQ223*BQ167+BR223*BR167+BS223*BS167+BT223*BT167+BU223*BU167+BV223*BV167+BW223*BW167+BX223*BX167+BY223*BY167+BZ223*BZ167+CA223*CA167+CB223*CB167+CC223*CC167</f>
        <v>0</v>
      </c>
      <c r="CJ167" s="2387">
        <f>E224*E167+F224*F167+G224*G167+H224*H167+I224*I167+J224*J167+K224*K167+L224*L167+M224*M167+N224*N167+O224*O167+P224*P167+Q224*Q167+R224*R167+S224*S167+T224*T167+U224*U167+V224*V167+W224*W167+X224*X167+Y224*Y167+Z224*Z167+AA224*AA167+AB224*AB167+AC224*AC167+AD224*AD167+AE224*AE167+AF224*AF167+AG224*AG167+AH224*AH167+AI224*AI167+AJ224*AJ167+AK224*AK167+AL224*AL167+AM224*AM167+AN224*AN167+AO224*AO167+AP224*AP167+AQ224*AQ167+AR224*AR167+AS224*AS167+AT224*AT167+AU224*AU167+AV224*AV167+AW224*AW167+AX224*AX167+AY224*AY167+AZ224*AZ167+BA224*BA167+BB224*BB167+BC224*BC167+BD224*BD167+BE224*BE167+BF224*BF167+BG224*BG167+BH224*BH167+BI224*BI167+BJ224*BJ167+BK224*BK167+BL224*BL167+BM224*BM167+BN224*BN167+BO224*BO167+BP224*BP167+BQ224*BQ167+BR224*BR167+BS224*BS167+BT224*BT167+BU224*BU167+BV224*BV167+BW224*BW167+BX224*BX167+BY224*BY167+BZ224*BZ167+CA224*CA167+CB224*CB167+CC224*CC167</f>
        <v>0</v>
      </c>
      <c r="CK167" s="2387">
        <f>E225*E167+F225*F167+G225*G167+H225*H167+I225*I167+J225*J167+K225*K167+L225*L167+M225*M167+N225*N167+O225*O167+P225*P167+Q225*Q167+R225*R167+S225*S167+T225*T167+U225*U167+V225*V167+W225*W167+X225*X167+Y225*Y167+Z225*Z167+AA225*AA167+AB225*AB167+AC225*AC167+AD225*AD167+AE225*AE167+AF225*AF167+AG225*AG167+AH225*AH167+AI225*AI167+AJ225*AJ167+AK225*AK167+AL225*AL167+AM225*AM167+AN225*AN167+AO225*AO167+AP225*AP167+AQ225*AQ167+AR225*AR167+AS225*AS167+AT225*AT167+AU225*AU167+AV225*AV167+AW225*AW167+AX225*AX167+AY225*AY167+AZ225*AZ167+BA225*BA167+BB225*BB167+BC225*BC167+BD225*BD167+BE225*BE167+BF225*BF167+BG225*BG167+BH225*BH167+BI225*BI167+BJ225*BJ167+BK225*BK167+BL225*BL167+BM225*BM167+BN225*BN167+BO225*BO167+BP225*BP167+BQ225*BQ167+BR225*BR167+BS225*BS167+BT225*BT167+BU225*BU167+BV225*BV167+BW225*BW167+BX225*BX167+BY225*BY167+BZ225*BZ167+CA225*CA167+CB225*CB167+CC225*CC167</f>
        <v>0</v>
      </c>
      <c r="CL167" s="2387">
        <f>E226*E167+F226*F167+G226*G167+H226*H167+I226*I167+J226*J167+K226*K167+L226*L167+M226*M167+N226*N167+O226*O167+P226*P167+Q226*Q167+R226*R167+S226*S167+T226*T167+U226*U167+V226*V167+W226*W167+X226*X167+Y226*Y167+Z226*Z167+AA226*AA167+AB226*AB167+AC226*AC167+AD226*AD167+AE226*AE167+AF226*AF167+AG226*AG167+AH226*AH167+AI226*AI167+AJ226*AJ167+AK226*AK167+AL226*AL167+AM226*AM167+AN226*AN167+AO226*AO167+AP226*AP167+AQ226*AQ167+AR226*AR167+AS226*AS167+AT226*AT167+AU226*AU167+AV226*AV167+AW226*AW167+AX226*AX167+AY226*AY167+AZ226*AZ167+BA226*BA167+BB226*BB167+BC226*BC167+BD226*BD167+BE226*BE167+BF226*BF167+BG226*BG167+BH226*BH167+BI226*BI167+BJ226*BJ167+BK226*BK167+BL226*BL167+BM226*BM167+BN226*BN167+BO226*BO167+BP226*BP167+BQ226*BQ167+BR226*BR167+BS226*BS167+BT226*BT167+BU226*BU167+BV226*BV167+BW226*BW167+BX226*BX167+BY226*BY167+BZ226*BZ167+CA226*CA167+CB226*CB167+CC226*CC167</f>
        <v>0</v>
      </c>
      <c r="CM167" s="2387">
        <f>E227*E167+F227*F167+G227*G167+H227*H167+I227*I167+J227*J167+K227*K167+L227*L167+M227*M167+N227*N167+O227*O167+P227*P167+Q227*Q167+R227*R167+S227*S167+T227*T167+U227*U167+V227*V167+W227*W167+X227*X167+Y227*Y167+Z227*Z167+AA227*AA167+AB227*AB167+AC227*AC167+AD227*AD167+AE227*AE167+AF227*AF167+AG227*AG167+AH227*AH167+AI227*AI167+AJ227*AJ167+AK227*AK167+AL227*AL167+AM227*AM167+AN227*AN167+AO227*AO167+AP227*AP167+AQ227*AQ167+AR227*AR167+AS227*AS167+AT227*AT167+AU227*AU167+AV227*AV167+AW227*AW167+AX227*AX167+AY227*AY167+AZ227*AZ167+BA227*BA167+BB227*BB167+BC227*BC167+BD227*BD167+BE227*BE167+BF227*BF167+BG227*BG167+BH227*BH167+BI227*BI167+BJ227*BJ167+BK227*BK167+BL227*BL167+BM227*BM167+BN227*BN167+BO227*BO167+BP227*BP167+BQ227*BQ167+BR227*BR167+BS227*BS167+BT227*BT167+BU227*BU167+BV227*BV167+BW227*BW167+BX227*BX167+BY227*BY167+BZ227*BZ167+CA227*CA167+CB227*CB167+CC227*CC167</f>
        <v>0</v>
      </c>
      <c r="CN167" s="2387">
        <f>E228*E167+F228*F167+G228*G167+H228*H167+I228*I167+J228*J167+K228*K167+L228*L167+M228*M167+N228*N167+O228*O167+P228*P167+Q228*Q167+R228*R167+S228*S167+T228*T167+U228*U167+V228*V167+W228*W167+X228*X167+Y228*Y167+Z228*Z167+AA228*AA167+AB228*AB167+AC228*AC167+AD228*AD167+AE228*AE167+AF228*AF167+AG228*AG167+AH228*AH167+AI228*AI167+AJ228*AJ167+AK228*AK167+AL228*AL167+AM228*AM167+AN228*AN167+AO228*AO167+AP228*AP167+AQ228*AQ167+AR228*AR167+AS228*AS167+AT228*AT167+AU228*AU167+AV228*AV167+AW228*AW167+AX228*AX167+AY228*AY167+AZ228*AZ167+BA228*BA167+BB228*BB167+BC228*BC167+BD228*BD167+BE228*BE167+BF228*BF167+BG228*BG167+BH228*BH167+BI228*BI167+BJ228*BJ167+BK228*BK167+BL228*BL167+BM228*BM167+BN228*BN167+BO228*BO167+BP228*BP167+BQ228*BQ167+BR228*BR167+BS228*BS167+BT228*BT167+BU228*BU167+BV228*BV167+BW228*BW167+BX228*BX167+BY228*BY167+BZ228*BZ167+CA228*CA167+CB228*CB167+CC228*CC167</f>
        <v>0</v>
      </c>
      <c r="CO167" s="2387">
        <f>E229*E167+F229*F167+G229*G167+H229*H167+I229*I167+J229*J167+K229*K167+L229*L167+M229*M167+N229*N167+O229*O167+P229*P167+Q229*Q167+R229*R167+S229*S167+T229*T167+U229*U167+V229*V167+W229*W167+X229*X167+Y229*Y167+Z229*Z167+AA229*AA167+AB229*AB167+AC229*AC167+AD229*AD167+AE229*AE167+AF229*AF167+AG229*AG167+AH229*AH167+AI229*AI167+AJ229*AJ167+AK229*AK167+AL229*AL167+AM229*AM167+AN229*AN167+AO229*AO167+AP229*AP167+AQ229*AQ167+AR229*AR167+AS229*AS167+AT229*AT167+AU229*AU167+AV229*AV167+AW229*AW167+AX229*AX167+AY229*AY167+AZ229*AZ167+BA229*BA167+BB229*BB167+BC229*BC167+BD229*BD167+BE229*BE167+BF229*BF167+BG229*BG167+BH229*BH167+BI229*BI167+BJ229*BJ167+BK229*BK167+BL229*BL167+BM229*BM167+BN229*BN167+BO229*BO167+BP229*BP167+BQ229*BQ167+BR229*BR167+BS229*BS167+BT229*BT167+BU229*BU167+BV229*BV167+BW229*BW167+BX229*BX167+BY229*BY167+BZ229*BZ167+CA229*CA167+CB229*CB167+CC229*CC167</f>
        <v>0</v>
      </c>
      <c r="CP167" s="2387">
        <f>E230*E167+F230*F167+G230*G167+H230*H167+I230*I167+J230*J167+K230*K167+L230*L167+M230*M167+N230*N167+O230*O167+P230*P167+Q230*Q167+R230*R167+S230*S167+T230*T167+U230*U167+V230*V167+W230*W167+X230*X167+Y230*Y167+Z230*Z167+AA230*AA167+AB230*AB167+AC230*AC167+AD230*AD167+AE230*AE167+AF230*AF167+AG230*AG167+AH230*AH167+AI230*AI167+AJ230*AJ167+AK230*AK167+AL230*AL167+AM230*AM167+AN230*AN167+AO230*AO167+AP230*AP167+AQ230*AQ167+AR230*AR167+AS230*AS167+AT230*AT167+AU230*AU167+AV230*AV167+AW230*AW167+AX230*AX167+AY230*AY167+AZ230*AZ167+BA230*BA167+BB230*BB167+BC230*BC167+BD230*BD167+BE230*BE167+BF230*BF167+BG230*BG167+BH230*BH167+BI230*BI167+BJ230*BJ167+BK230*BK167+BL230*BL167+BM230*BM167+BN230*BN167+BO230*BO167+BP230*BP167+BQ230*BQ167+BR230*BR167+BS230*BS167+BT230*BT167+BU230*BU167+BV230*BV167+BW230*BW167+BX230*BX167+BY230*BY167+BZ230*BZ167+CA230*CA167+CB230*CB167+CC230*CC167</f>
        <v>0</v>
      </c>
    </row>
    <row r="168" spans="2:94" x14ac:dyDescent="0.25">
      <c r="B168" s="1590">
        <v>49</v>
      </c>
      <c r="C168" s="1529" t="s">
        <v>466</v>
      </c>
      <c r="D168" s="655" t="s">
        <v>303</v>
      </c>
      <c r="E168" s="982">
        <f>0</f>
        <v>0</v>
      </c>
      <c r="F168" s="982">
        <f>0</f>
        <v>0</v>
      </c>
      <c r="G168" s="982">
        <f>0</f>
        <v>0</v>
      </c>
      <c r="H168" s="982">
        <f>0</f>
        <v>0</v>
      </c>
      <c r="I168" s="982">
        <f>0</f>
        <v>0</v>
      </c>
      <c r="J168" s="982">
        <f>0</f>
        <v>0</v>
      </c>
      <c r="K168" s="982">
        <f>0</f>
        <v>0</v>
      </c>
      <c r="L168" s="982">
        <f>0</f>
        <v>0</v>
      </c>
      <c r="M168" s="982">
        <f>0</f>
        <v>0</v>
      </c>
      <c r="N168" s="982">
        <f>0</f>
        <v>0</v>
      </c>
      <c r="O168" s="982">
        <f>0</f>
        <v>0</v>
      </c>
      <c r="P168" s="982">
        <f>0</f>
        <v>0</v>
      </c>
      <c r="Q168" s="982">
        <f>0</f>
        <v>0</v>
      </c>
      <c r="R168" s="982">
        <f>0</f>
        <v>0</v>
      </c>
      <c r="S168" s="982">
        <f>0</f>
        <v>0</v>
      </c>
      <c r="T168" s="982">
        <f>0</f>
        <v>0</v>
      </c>
      <c r="U168" s="982">
        <f>0</f>
        <v>0</v>
      </c>
      <c r="V168" s="982">
        <f>0</f>
        <v>0</v>
      </c>
      <c r="W168" s="982">
        <f>0</f>
        <v>0</v>
      </c>
      <c r="X168" s="982">
        <f>1</f>
        <v>1</v>
      </c>
      <c r="Y168" s="982">
        <f>-i_N_BIO</f>
        <v>-7.0000000000000007E-2</v>
      </c>
      <c r="Z168" s="982">
        <f>0</f>
        <v>0</v>
      </c>
      <c r="AA168" s="982">
        <f>0</f>
        <v>0</v>
      </c>
      <c r="AB168" s="982">
        <f>0</f>
        <v>0</v>
      </c>
      <c r="AC168" s="982">
        <f>0</f>
        <v>0</v>
      </c>
      <c r="AD168" s="982">
        <f>0</f>
        <v>0</v>
      </c>
      <c r="AE168" s="982">
        <f>0</f>
        <v>0</v>
      </c>
      <c r="AF168" s="997">
        <f>-i_P_BIO</f>
        <v>-0.02</v>
      </c>
      <c r="AG168" s="982">
        <f>0</f>
        <v>0</v>
      </c>
      <c r="AH168" s="982">
        <f>0</f>
        <v>0</v>
      </c>
      <c r="AI168" s="982">
        <f>0</f>
        <v>0</v>
      </c>
      <c r="AJ168" s="982">
        <f>0</f>
        <v>0</v>
      </c>
      <c r="AK168" s="982">
        <f>0</f>
        <v>0</v>
      </c>
      <c r="AL168" s="982">
        <f>(1-Y_HMETO)/Y_HMETO</f>
        <v>9</v>
      </c>
      <c r="AM168" s="997">
        <f>-1/Y_HMETO</f>
        <v>-10</v>
      </c>
      <c r="AN168" s="997">
        <f>-i_CIT_BIO-i_CIT_CH4*(1-Y_HMETO)/Y_HMETO</f>
        <v>-2.044</v>
      </c>
      <c r="AO168" s="997">
        <f>i_INORG</f>
        <v>0.11</v>
      </c>
      <c r="AP168" s="997">
        <f>-i_INORG*(1-i_Ca_INORG*(A_MCa+2*A_MCl)/A_MCa-i_Mg_INORG*(A_MMg+2*A_MCl)/A_MMg)*f_Na</f>
        <v>-2.8804303582798466E-2</v>
      </c>
      <c r="AQ168" s="997">
        <f>-i_INORG*(i_Ca_INORG*(2*A_MCl)/A_MCa+i_Mg_INORG*(2*A_MCl)/A_MMg)-i_INORG*(1-i_Ca_INORG*(A_MCa+2*A_MCl)/A_MCa-i_Mg_INORG*(A_MMg+2*A_MCl)/A_MMg)*(1-f_Na)</f>
        <v>-7.0195696417201539E-2</v>
      </c>
      <c r="AR168" s="997">
        <f>-i_INORG*i_Ca_INORG</f>
        <v>-5.5000000000000005E-3</v>
      </c>
      <c r="AS168" s="997">
        <f>-i_INORG*i_Mg_INORG</f>
        <v>-5.5000000000000005E-3</v>
      </c>
      <c r="AT168" s="997">
        <f>0</f>
        <v>0</v>
      </c>
      <c r="AU168" s="997">
        <f>0</f>
        <v>0</v>
      </c>
      <c r="AV168" s="997">
        <f>0</f>
        <v>0</v>
      </c>
      <c r="AW168" s="997">
        <f>0</f>
        <v>0</v>
      </c>
      <c r="AX168" s="997">
        <f>0</f>
        <v>0</v>
      </c>
      <c r="AY168" s="997">
        <f>0</f>
        <v>0</v>
      </c>
      <c r="AZ168" s="997">
        <f>0</f>
        <v>0</v>
      </c>
      <c r="BA168" s="997">
        <f>0</f>
        <v>0</v>
      </c>
      <c r="BB168" s="997">
        <f>0</f>
        <v>0</v>
      </c>
      <c r="BC168" s="997">
        <f>0</f>
        <v>0</v>
      </c>
      <c r="BD168" s="997">
        <f>0</f>
        <v>0</v>
      </c>
      <c r="BE168" s="997">
        <f>0</f>
        <v>0</v>
      </c>
      <c r="BF168" s="997">
        <f>0</f>
        <v>0</v>
      </c>
      <c r="BG168" s="997">
        <f>0</f>
        <v>0</v>
      </c>
      <c r="BH168" s="997">
        <f>0</f>
        <v>0</v>
      </c>
      <c r="BI168" s="997">
        <f>0</f>
        <v>0</v>
      </c>
      <c r="BJ168" s="997">
        <f>0</f>
        <v>0</v>
      </c>
      <c r="BK168" s="997">
        <f>0</f>
        <v>0</v>
      </c>
      <c r="BL168" s="1639">
        <f>0</f>
        <v>0</v>
      </c>
      <c r="BM168" s="997">
        <f>0</f>
        <v>0</v>
      </c>
      <c r="BN168" s="997">
        <f>0</f>
        <v>0</v>
      </c>
      <c r="BO168" s="997">
        <f>0</f>
        <v>0</v>
      </c>
      <c r="BP168" s="1425">
        <f>0</f>
        <v>0</v>
      </c>
      <c r="BQ168" s="2374">
        <f>0</f>
        <v>0</v>
      </c>
      <c r="BR168" s="997">
        <f>0</f>
        <v>0</v>
      </c>
      <c r="BS168" s="997">
        <f>0</f>
        <v>0</v>
      </c>
      <c r="BT168" s="997">
        <f>0</f>
        <v>0</v>
      </c>
      <c r="BU168" s="997">
        <f>0</f>
        <v>0</v>
      </c>
      <c r="BV168" s="997">
        <f>0</f>
        <v>0</v>
      </c>
      <c r="BW168" s="997">
        <f>0</f>
        <v>0</v>
      </c>
      <c r="BX168" s="997">
        <f>0</f>
        <v>0</v>
      </c>
      <c r="BY168" s="997">
        <f>0</f>
        <v>0</v>
      </c>
      <c r="BZ168" s="997">
        <f>0</f>
        <v>0</v>
      </c>
      <c r="CA168" s="997">
        <f>0</f>
        <v>0</v>
      </c>
      <c r="CB168" s="997">
        <f>0</f>
        <v>0</v>
      </c>
      <c r="CC168" s="997">
        <f>0</f>
        <v>0</v>
      </c>
      <c r="CD168" s="1655">
        <f>µ_HMETO_T*X_HMETO*M_satSCO2_KCO2_BIO*M_satSH2_KH2_HMETO*M_inhSO2_KiO2_HMETO*M_inhSNOx_KNO3_HMETO*M_satSNHx_KNHx_BIO*M_satSPO4_KPO4_BIO*M_satSCAT_KCAT*M_satSAN_KAN*M_satSCa_KCa*M_satSMg_KMg*B_ellinhpH_HMETO</f>
        <v>5.4356003550265865E-6</v>
      </c>
      <c r="CF168" s="2385">
        <f>E220*E168+F220*F168+G220*G168+H220*H168+I220*I168+J220*J168+K220*K168+L220*L168+M220*M168+N220*N168+O220*O168+P220*P168+Q220*Q168+R220*R168+S220*S168+T220*T168+U220*U168+V220*V168+W220*W168+X220*X168+Y220*Y168+Z220*Z168+AA220*AA168+AB220*AB168+AC220*AC168+AD220*AD168+AE220*AE168+AF220*AF168+AG220*AG168+AH220*AH168+AI220*AI168+AJ220*AJ168+AK220*AK168+AL220*AL168+AM220*AM168+AN220*AN168+AO220*AO168+AP220*AP168+AQ220*AQ168+AR220*AR168+AS220*AS168+AT220*AT168+AU220*AU168+AV220*AV168+AW220*AW168+AX220*AX168+AY220*AY168+AZ220*AZ168+BA220*BA168+BB220*BB168+BC220*BC168+BD220*BD168+BE220*BE168+BF220*BF168+BG220*BG168+BH220*BH168+BI220*BI168+BJ220*BJ168+BK220*BK168+BL220*BL168+BM220*BM168+BN220*BN168+BO220*BO168+BP220*BP168+BQ220*BQ168+BR220*BR168+BS220*BS168+BT220*BT168+BU220*BU168+BV220*BV168+BW220*BW168+BX220*BX168+BY220*BY168+BZ220*BZ168+CA220*CA168+CB220*CB168+CC220*CC168</f>
        <v>0</v>
      </c>
      <c r="CG168" s="2385">
        <f>E221*E168+F221*F168+G221*G168+H221*H168+I221*I168+J221*J168+K221*K168+L221*L168+M221*M168+N221*N168+O221*O168+P221*P168+Q221*Q168+R221*R168+S221*S168+T221*T168+U221*U168+V221*V168+W221*W168+X221*X168+Y221*Y168+Z221*Z168+AA221*AA168+AB221*AB168+AC221*AC168+AD221*AD168+AE221*AE168+AF221*AF168+AG221*AG168+AH221*AH168+AI221*AI168+AJ221*AJ168+AK221*AK168+AL221*AL168+AM221*AM168+AN221*AN168+AO221*AO168+AP221*AP168+AQ221*AQ168+AR221*AR168+AS221*AS168+AT221*AT168+AU221*AU168+AV221*AV168+AW221*AW168+AX221*AX168+AY221*AY168+AZ221*AZ168+BA221*BA168+BB221*BB168+BC221*BC168+BD221*BD168+BE221*BE168+BF221*BF168+BG221*BG168+BH221*BH168+BI221*BI168+BJ221*BJ168+BK221*BK168+BL221*BL168+BM221*BM168+BN221*BN168+BO221*BO168+BP221*BP168+BQ221*BQ168+BR221*BR168+BS221*BS168+BT221*BT168+BU221*BU168+BV221*BV168+BW221*BW168+BX221*BX168+BY221*BY168+BZ221*BZ168+CA221*CA168+CB221*CB168+CC221*CC168</f>
        <v>0</v>
      </c>
      <c r="CH168" s="2386">
        <f>E222*E168+F222*F168+G222*G168+H222*H168+I222*I168+J222*J168+K222*K168+L222*L168+M222*M168+N222*N168+O222*O168+P222*P168+Q222*Q168+R222*R168+S222*S168+T222*T168+U222*U168+V222*V168+W222*W168+X222*X168+Y222*Y168+Z222*Z168+AA222*AA168+AB222*AB168+AC222*AC168+AD222*AD168+AE222*AE168+AF222*AF168+AG222*AG168+AH222*AH168+AI222*AI168+AJ222*AJ168+AK222*AK168+AL222*AL168+AM222*AM168+AN222*AN168+AO222*AO168+AP222*AP168+AQ222*AQ168+AR222*AR168+AS222*AS168+AT222*AT168+AU222*AU168+AV222*AV168+AW222*AW168+AX222*AX168+AY222*AY168+AZ222*AZ168+BA222*BA168+BB222*BB168+BC222*BC168+BD222*BD168+BE222*BE168+BF222*BF168+BG222*BG168+BH222*BH168+BI222*BI168+BJ222*BJ168+BK222*BK168+BL222*BL168+BM222*BM168+BN222*BN168+BO222*BO168+BP222*BP168+BQ222*BQ168+BR222*BR168+BS222*BS168+BT222*BT168+BU222*BU168+BV222*BV168+BW222*BW168+BX222*BX168+BY222*BY168+BZ222*BZ168+CA222*CA168+CB222*CB168+CC222*CC168</f>
        <v>0</v>
      </c>
      <c r="CI168" s="2387">
        <f>E223*E168+F223*F168+G223*G168+H223*H168+I223*I168+J223*J168+K223*K168+L223*L168+M223*M168+N223*N168+O223*O168+P223*P168+Q223*Q168+R223*R168+S223*S168+T223*T168+U223*U168+V223*V168+W223*W168+X223*X168+Y223*Y168+Z223*Z168+AA223*AA168+AB223*AB168+AC223*AC168+AD223*AD168+AE223*AE168+AF223*AF168+AG223*AG168+AH223*AH168+AI223*AI168+AJ223*AJ168+AK223*AK168+AL223*AL168+AM223*AM168+AN223*AN168+AO223*AO168+AP223*AP168+AQ223*AQ168+AR223*AR168+AS223*AS168+AT223*AT168+AU223*AU168+AV223*AV168+AW223*AW168+AX223*AX168+AY223*AY168+AZ223*AZ168+BA223*BA168+BB223*BB168+BC223*BC168+BD223*BD168+BE223*BE168+BF223*BF168+BG223*BG168+BH223*BH168+BI223*BI168+BJ223*BJ168+BK223*BK168+BL223*BL168+BM223*BM168+BN223*BN168+BO223*BO168+BP223*BP168+BQ223*BQ168+BR223*BR168+BS223*BS168+BT223*BT168+BU223*BU168+BV223*BV168+BW223*BW168+BX223*BX168+BY223*BY168+BZ223*BZ168+CA223*CA168+CB223*CB168+CC223*CC168</f>
        <v>0</v>
      </c>
      <c r="CJ168" s="2387">
        <f>E224*E168+F224*F168+G224*G168+H224*H168+I224*I168+J224*J168+K224*K168+L224*L168+M224*M168+N224*N168+O224*O168+P224*P168+Q224*Q168+R224*R168+S224*S168+T224*T168+U224*U168+V224*V168+W224*W168+X224*X168+Y224*Y168+Z224*Z168+AA224*AA168+AB224*AB168+AC224*AC168+AD224*AD168+AE224*AE168+AF224*AF168+AG224*AG168+AH224*AH168+AI224*AI168+AJ224*AJ168+AK224*AK168+AL224*AL168+AM224*AM168+AN224*AN168+AO224*AO168+AP224*AP168+AQ224*AQ168+AR224*AR168+AS224*AS168+AT224*AT168+AU224*AU168+AV224*AV168+AW224*AW168+AX224*AX168+AY224*AY168+AZ224*AZ168+BA224*BA168+BB224*BB168+BC224*BC168+BD224*BD168+BE224*BE168+BF224*BF168+BG224*BG168+BH224*BH168+BI224*BI168+BJ224*BJ168+BK224*BK168+BL224*BL168+BM224*BM168+BN224*BN168+BO224*BO168+BP224*BP168+BQ224*BQ168+BR224*BR168+BS224*BS168+BT224*BT168+BU224*BU168+BV224*BV168+BW224*BW168+BX224*BX168+BY224*BY168+BZ224*BZ168+CA224*CA168+CB224*CB168+CC224*CC168</f>
        <v>0</v>
      </c>
      <c r="CK168" s="2387">
        <f>E225*E168+F225*F168+G225*G168+H225*H168+I225*I168+J225*J168+K225*K168+L225*L168+M225*M168+N225*N168+O225*O168+P225*P168+Q225*Q168+R225*R168+S225*S168+T225*T168+U225*U168+V225*V168+W225*W168+X225*X168+Y225*Y168+Z225*Z168+AA225*AA168+AB225*AB168+AC225*AC168+AD225*AD168+AE225*AE168+AF225*AF168+AG225*AG168+AH225*AH168+AI225*AI168+AJ225*AJ168+AK225*AK168+AL225*AL168+AM225*AM168+AN225*AN168+AO225*AO168+AP225*AP168+AQ225*AQ168+AR225*AR168+AS225*AS168+AT225*AT168+AU225*AU168+AV225*AV168+AW225*AW168+AX225*AX168+AY225*AY168+AZ225*AZ168+BA225*BA168+BB225*BB168+BC225*BC168+BD225*BD168+BE225*BE168+BF225*BF168+BG225*BG168+BH225*BH168+BI225*BI168+BJ225*BJ168+BK225*BK168+BL225*BL168+BM225*BM168+BN225*BN168+BO225*BO168+BP225*BP168+BQ225*BQ168+BR225*BR168+BS225*BS168+BT225*BT168+BU225*BU168+BV225*BV168+BW225*BW168+BX225*BX168+BY225*BY168+BZ225*BZ168+CA225*CA168+CB225*CB168+CC225*CC168</f>
        <v>0</v>
      </c>
      <c r="CL168" s="2387">
        <f>E226*E168+F226*F168+G226*G168+H226*H168+I226*I168+J226*J168+K226*K168+L226*L168+M226*M168+N226*N168+O226*O168+P226*P168+Q226*Q168+R226*R168+S226*S168+T226*T168+U226*U168+V226*V168+W226*W168+X226*X168+Y226*Y168+Z226*Z168+AA226*AA168+AB226*AB168+AC226*AC168+AD226*AD168+AE226*AE168+AF226*AF168+AG226*AG168+AH226*AH168+AI226*AI168+AJ226*AJ168+AK226*AK168+AL226*AL168+AM226*AM168+AN226*AN168+AO226*AO168+AP226*AP168+AQ226*AQ168+AR226*AR168+AS226*AS168+AT226*AT168+AU226*AU168+AV226*AV168+AW226*AW168+AX226*AX168+AY226*AY168+AZ226*AZ168+BA226*BA168+BB226*BB168+BC226*BC168+BD226*BD168+BE226*BE168+BF226*BF168+BG226*BG168+BH226*BH168+BI226*BI168+BJ226*BJ168+BK226*BK168+BL226*BL168+BM226*BM168+BN226*BN168+BO226*BO168+BP226*BP168+BQ226*BQ168+BR226*BR168+BS226*BS168+BT226*BT168+BU226*BU168+BV226*BV168+BW226*BW168+BX226*BX168+BY226*BY168+BZ226*BZ168+CA226*CA168+CB226*CB168+CC226*CC168</f>
        <v>0</v>
      </c>
      <c r="CM168" s="2387">
        <f>E227*E168+F227*F168+G227*G168+H227*H168+I227*I168+J227*J168+K227*K168+L227*L168+M227*M168+N227*N168+O227*O168+P227*P168+Q227*Q168+R227*R168+S227*S168+T227*T168+U227*U168+V227*V168+W227*W168+X227*X168+Y227*Y168+Z227*Z168+AA227*AA168+AB227*AB168+AC227*AC168+AD227*AD168+AE227*AE168+AF227*AF168+AG227*AG168+AH227*AH168+AI227*AI168+AJ227*AJ168+AK227*AK168+AL227*AL168+AM227*AM168+AN227*AN168+AO227*AO168+AP227*AP168+AQ227*AQ168+AR227*AR168+AS227*AS168+AT227*AT168+AU227*AU168+AV227*AV168+AW227*AW168+AX227*AX168+AY227*AY168+AZ227*AZ168+BA227*BA168+BB227*BB168+BC227*BC168+BD227*BD168+BE227*BE168+BF227*BF168+BG227*BG168+BH227*BH168+BI227*BI168+BJ227*BJ168+BK227*BK168+BL227*BL168+BM227*BM168+BN227*BN168+BO227*BO168+BP227*BP168+BQ227*BQ168+BR227*BR168+BS227*BS168+BT227*BT168+BU227*BU168+BV227*BV168+BW227*BW168+BX227*BX168+BY227*BY168+BZ227*BZ168+CA227*CA168+CB227*CB168+CC227*CC168</f>
        <v>0</v>
      </c>
      <c r="CN168" s="2387">
        <f>E228*E168+F228*F168+G228*G168+H228*H168+I228*I168+J228*J168+K228*K168+L228*L168+M228*M168+N228*N168+O228*O168+P228*P168+Q228*Q168+R228*R168+S228*S168+T228*T168+U228*U168+V228*V168+W228*W168+X228*X168+Y228*Y168+Z228*Z168+AA228*AA168+AB228*AB168+AC228*AC168+AD228*AD168+AE228*AE168+AF228*AF168+AG228*AG168+AH228*AH168+AI228*AI168+AJ228*AJ168+AK228*AK168+AL228*AL168+AM228*AM168+AN228*AN168+AO228*AO168+AP228*AP168+AQ228*AQ168+AR228*AR168+AS228*AS168+AT228*AT168+AU228*AU168+AV228*AV168+AW228*AW168+AX228*AX168+AY228*AY168+AZ228*AZ168+BA228*BA168+BB228*BB168+BC228*BC168+BD228*BD168+BE228*BE168+BF228*BF168+BG228*BG168+BH228*BH168+BI228*BI168+BJ228*BJ168+BK228*BK168+BL228*BL168+BM228*BM168+BN228*BN168+BO228*BO168+BP228*BP168+BQ228*BQ168+BR228*BR168+BS228*BS168+BT228*BT168+BU228*BU168+BV228*BV168+BW228*BW168+BX228*BX168+BY228*BY168+BZ228*BZ168+CA228*CA168+CB228*CB168+CC228*CC168</f>
        <v>0</v>
      </c>
      <c r="CO168" s="2387">
        <f>E229*E168+F229*F168+G229*G168+H229*H168+I229*I168+J229*J168+K229*K168+L229*L168+M229*M168+N229*N168+O229*O168+P229*P168+Q229*Q168+R229*R168+S229*S168+T229*T168+U229*U168+V229*V168+W229*W168+X229*X168+Y229*Y168+Z229*Z168+AA229*AA168+AB229*AB168+AC229*AC168+AD229*AD168+AE229*AE168+AF229*AF168+AG229*AG168+AH229*AH168+AI229*AI168+AJ229*AJ168+AK229*AK168+AL229*AL168+AM229*AM168+AN229*AN168+AO229*AO168+AP229*AP168+AQ229*AQ168+AR229*AR168+AS229*AS168+AT229*AT168+AU229*AU168+AV229*AV168+AW229*AW168+AX229*AX168+AY229*AY168+AZ229*AZ168+BA229*BA168+BB229*BB168+BC229*BC168+BD229*BD168+BE229*BE168+BF229*BF168+BG229*BG168+BH229*BH168+BI229*BI168+BJ229*BJ168+BK229*BK168+BL229*BL168+BM229*BM168+BN229*BN168+BO229*BO168+BP229*BP168+BQ229*BQ168+BR229*BR168+BS229*BS168+BT229*BT168+BU229*BU168+BV229*BV168+BW229*BW168+BX229*BX168+BY229*BY168+BZ229*BZ168+CA229*CA168+CB229*CB168+CC229*CC168</f>
        <v>0</v>
      </c>
      <c r="CP168" s="2387">
        <f>E230*E168+F230*F168+G230*G168+H230*H168+I230*I168+J230*J168+K230*K168+L230*L168+M230*M168+N230*N168+O230*O168+P230*P168+Q230*Q168+R230*R168+S230*S168+T230*T168+U230*U168+V230*V168+W230*W168+X230*X168+Y230*Y168+Z230*Z168+AA230*AA168+AB230*AB168+AC230*AC168+AD230*AD168+AE230*AE168+AF230*AF168+AG230*AG168+AH230*AH168+AI230*AI168+AJ230*AJ168+AK230*AK168+AL230*AL168+AM230*AM168+AN230*AN168+AO230*AO168+AP230*AP168+AQ230*AQ168+AR230*AR168+AS230*AS168+AT230*AT168+AU230*AU168+AV230*AV168+AW230*AW168+AX230*AX168+AY230*AY168+AZ230*AZ168+BA230*BA168+BB230*BB168+BC230*BC168+BD230*BD168+BE230*BE168+BF230*BF168+BG230*BG168+BH230*BH168+BI230*BI168+BJ230*BJ168+BK230*BK168+BL230*BL168+BM230*BM168+BN230*BN168+BO230*BO168+BP230*BP168+BQ230*BQ168+BR230*BR168+BS230*BS168+BT230*BT168+BU230*BU168+BV230*BV168+BW230*BW168+BX230*BX168+BY230*BY168+BZ230*BZ168+CA230*CA168+CB230*CB168+CC230*CC168</f>
        <v>0</v>
      </c>
    </row>
    <row r="169" spans="2:94" x14ac:dyDescent="0.25">
      <c r="B169" s="1590">
        <v>50</v>
      </c>
      <c r="C169" s="1529" t="s">
        <v>2163</v>
      </c>
      <c r="D169" s="655" t="s">
        <v>293</v>
      </c>
      <c r="E169" s="982">
        <f>0</f>
        <v>0</v>
      </c>
      <c r="F169" s="982">
        <f>0</f>
        <v>0</v>
      </c>
      <c r="G169" s="982">
        <f>0</f>
        <v>0</v>
      </c>
      <c r="H169" s="982">
        <f>0</f>
        <v>0</v>
      </c>
      <c r="I169" s="982">
        <f>1-f_E</f>
        <v>0.92</v>
      </c>
      <c r="J169" s="982">
        <f>0</f>
        <v>0</v>
      </c>
      <c r="K169" s="982">
        <f>0</f>
        <v>0</v>
      </c>
      <c r="L169" s="982">
        <f>0</f>
        <v>0</v>
      </c>
      <c r="M169" s="982">
        <f>0</f>
        <v>0</v>
      </c>
      <c r="N169" s="982">
        <f>0</f>
        <v>0</v>
      </c>
      <c r="O169" s="982">
        <f>f_E</f>
        <v>0.08</v>
      </c>
      <c r="P169" s="982">
        <f>0</f>
        <v>0</v>
      </c>
      <c r="Q169" s="982">
        <f>0</f>
        <v>0</v>
      </c>
      <c r="R169" s="982">
        <f>0</f>
        <v>0</v>
      </c>
      <c r="S169" s="982">
        <f>0</f>
        <v>0</v>
      </c>
      <c r="T169" s="982">
        <f>0</f>
        <v>0</v>
      </c>
      <c r="U169" s="982">
        <f>0</f>
        <v>0</v>
      </c>
      <c r="V169" s="982">
        <f>0</f>
        <v>0</v>
      </c>
      <c r="W169" s="982">
        <f>0</f>
        <v>0</v>
      </c>
      <c r="X169" s="982">
        <f>-1</f>
        <v>-1</v>
      </c>
      <c r="Y169" s="982">
        <f>-f_E*(i_N_XE-i_N_BIO)</f>
        <v>8.0000000000000069E-4</v>
      </c>
      <c r="Z169" s="982">
        <f>0</f>
        <v>0</v>
      </c>
      <c r="AA169" s="982">
        <f>0</f>
        <v>0</v>
      </c>
      <c r="AB169" s="982">
        <f>0</f>
        <v>0</v>
      </c>
      <c r="AC169" s="982">
        <f>0</f>
        <v>0</v>
      </c>
      <c r="AD169" s="982">
        <f>(1-f_E)*i_N_BIO</f>
        <v>6.4400000000000013E-2</v>
      </c>
      <c r="AE169" s="982">
        <f>0</f>
        <v>0</v>
      </c>
      <c r="AF169" s="982">
        <f>0</f>
        <v>0</v>
      </c>
      <c r="AG169" s="982">
        <f>0</f>
        <v>0</v>
      </c>
      <c r="AH169" s="982">
        <f>0</f>
        <v>0</v>
      </c>
      <c r="AI169" s="982">
        <f>(1-f_E)*i_P_BIO</f>
        <v>1.84E-2</v>
      </c>
      <c r="AJ169" s="982">
        <f>0</f>
        <v>0</v>
      </c>
      <c r="AK169" s="982">
        <f>0</f>
        <v>0</v>
      </c>
      <c r="AL169" s="982">
        <f>0</f>
        <v>0</v>
      </c>
      <c r="AM169" s="982">
        <f>0</f>
        <v>0</v>
      </c>
      <c r="AN169" s="982">
        <f>(1-f_E)*(i_CIT_BIO-i_CIT_SB)</f>
        <v>6.0720000000000003E-2</v>
      </c>
      <c r="AO169" s="982">
        <f>-i_INORG</f>
        <v>-0.11</v>
      </c>
      <c r="AP169" s="982">
        <f>i_INORG*(1-i_Ca_INORG*(A_MCa+2*A_MCl)/A_MCa-i_Mg_INORG*(A_MMg+2*A_MCl)/A_MMg)*f_Na</f>
        <v>2.8804303582798466E-2</v>
      </c>
      <c r="AQ169" s="982">
        <f>i_INORG*(i_Ca_INORG*(2*A_MCl)/A_MCa+i_Mg_INORG*(2*A_MCl)/A_MMg)+i_INORG*(1-i_Ca_INORG*(A_MCa+2*A_MCl)/A_MCa-i_Mg_INORG*(A_MMg+2*A_MCl)/A_MMg)*(1-f_Na)</f>
        <v>7.0195696417201539E-2</v>
      </c>
      <c r="AR169" s="982">
        <f>i_INORG*i_Ca_INORG</f>
        <v>5.5000000000000005E-3</v>
      </c>
      <c r="AS169" s="982">
        <f>i_INORG*i_Mg_INORG</f>
        <v>5.5000000000000005E-3</v>
      </c>
      <c r="AT169" s="982">
        <f>0</f>
        <v>0</v>
      </c>
      <c r="AU169" s="982">
        <f>0</f>
        <v>0</v>
      </c>
      <c r="AV169" s="982">
        <f>0</f>
        <v>0</v>
      </c>
      <c r="AW169" s="982">
        <f>0</f>
        <v>0</v>
      </c>
      <c r="AX169" s="982">
        <f>0</f>
        <v>0</v>
      </c>
      <c r="AY169" s="982">
        <f>0</f>
        <v>0</v>
      </c>
      <c r="AZ169" s="982">
        <f>0</f>
        <v>0</v>
      </c>
      <c r="BA169" s="982">
        <f>0</f>
        <v>0</v>
      </c>
      <c r="BB169" s="982">
        <f>0</f>
        <v>0</v>
      </c>
      <c r="BC169" s="982">
        <f>0</f>
        <v>0</v>
      </c>
      <c r="BD169" s="982">
        <f>0</f>
        <v>0</v>
      </c>
      <c r="BE169" s="982">
        <f>0</f>
        <v>0</v>
      </c>
      <c r="BF169" s="982">
        <f>0</f>
        <v>0</v>
      </c>
      <c r="BG169" s="982">
        <f>0</f>
        <v>0</v>
      </c>
      <c r="BH169" s="982">
        <f>0</f>
        <v>0</v>
      </c>
      <c r="BI169" s="982">
        <f>0</f>
        <v>0</v>
      </c>
      <c r="BJ169" s="982">
        <f>0</f>
        <v>0</v>
      </c>
      <c r="BK169" s="982">
        <f>0</f>
        <v>0</v>
      </c>
      <c r="BL169" s="1640">
        <f>0</f>
        <v>0</v>
      </c>
      <c r="BM169" s="982">
        <f>0</f>
        <v>0</v>
      </c>
      <c r="BN169" s="982">
        <f>0</f>
        <v>0</v>
      </c>
      <c r="BO169" s="982">
        <f>0</f>
        <v>0</v>
      </c>
      <c r="BP169" s="1426">
        <f>0</f>
        <v>0</v>
      </c>
      <c r="BQ169" s="2375">
        <f>0</f>
        <v>0</v>
      </c>
      <c r="BR169" s="982">
        <f>0</f>
        <v>0</v>
      </c>
      <c r="BS169" s="982">
        <f>0</f>
        <v>0</v>
      </c>
      <c r="BT169" s="982">
        <f>0</f>
        <v>0</v>
      </c>
      <c r="BU169" s="982">
        <f>0</f>
        <v>0</v>
      </c>
      <c r="BV169" s="982">
        <f>0</f>
        <v>0</v>
      </c>
      <c r="BW169" s="982">
        <f>0</f>
        <v>0</v>
      </c>
      <c r="BX169" s="982">
        <f>0</f>
        <v>0</v>
      </c>
      <c r="BY169" s="982">
        <f>0</f>
        <v>0</v>
      </c>
      <c r="BZ169" s="982">
        <f>0</f>
        <v>0</v>
      </c>
      <c r="CA169" s="982">
        <f>0</f>
        <v>0</v>
      </c>
      <c r="CB169" s="982">
        <f>0</f>
        <v>0</v>
      </c>
      <c r="CC169" s="982">
        <f>0</f>
        <v>0</v>
      </c>
      <c r="CD169" s="1655">
        <f>b_HMETO_T*X_HMETO*(m_tox_aer*M_satSO2_KiO2_HMETO+m_tox_anox*M_satSNOx_KNO3_HMETO*M_inhSO2_KiO2_HMETO)</f>
        <v>0.25679848448969933</v>
      </c>
      <c r="CF169" s="2385">
        <f>E220*E169+F220*F169+G220*G169+H220*H169+I220*I169+J220*J169+K220*K169+L220*L169+M220*M169+N220*N169+O220*O169+P220*P169+Q220*Q169+R220*R169+S220*S169+T220*T169+U220*U169+V220*V169+W220*W169+X220*X169+Y220*Y169+Z220*Z169+AA220*AA169+AB220*AB169+AC220*AC169+AD220*AD169+AE220*AE169+AF220*AF169+AG220*AG169+AH220*AH169+AI220*AI169+AJ220*AJ169+AK220*AK169+AL220*AL169+AM220*AM169+AN220*AN169+AO220*AO169+AP220*AP169+AQ220*AQ169+AR220*AR169+AS220*AS169+AT220*AT169+AU220*AU169+AV220*AV169+AW220*AW169+AX220*AX169+AY220*AY169+AZ220*AZ169+BA220*BA169+BB220*BB169+BC220*BC169+BD220*BD169+BE220*BE169+BF220*BF169+BG220*BG169+BH220*BH169+BI220*BI169+BJ220*BJ169+BK220*BK169+BL220*BL169+BM220*BM169+BN220*BN169+BO220*BO169+BP220*BP169+BQ220*BQ169+BR220*BR169+BS220*BS169+BT220*BT169+BU220*BU169+BV220*BV169+BW220*BW169+BX220*BX169+BY220*BY169+BZ220*BZ169+CA220*CA169+CB220*CB169+CC220*CC169</f>
        <v>0</v>
      </c>
      <c r="CG169" s="2385">
        <f>E221*E169+F221*F169+G221*G169+H221*H169+I221*I169+J221*J169+K221*K169+L221*L169+M221*M169+N221*N169+O221*O169+P221*P169+Q221*Q169+R221*R169+S221*S169+T221*T169+U221*U169+V221*V169+W221*W169+X221*X169+Y221*Y169+Z221*Z169+AA221*AA169+AB221*AB169+AC221*AC169+AD221*AD169+AE221*AE169+AF221*AF169+AG221*AG169+AH221*AH169+AI221*AI169+AJ221*AJ169+AK221*AK169+AL221*AL169+AM221*AM169+AN221*AN169+AO221*AO169+AP221*AP169+AQ221*AQ169+AR221*AR169+AS221*AS169+AT221*AT169+AU221*AU169+AV221*AV169+AW221*AW169+AX221*AX169+AY221*AY169+AZ221*AZ169+BA221*BA169+BB221*BB169+BC221*BC169+BD221*BD169+BE221*BE169+BF221*BF169+BG221*BG169+BH221*BH169+BI221*BI169+BJ221*BJ169+BK221*BK169+BL221*BL169+BM221*BM169+BN221*BN169+BO221*BO169+BP221*BP169+BQ221*BQ169+BR221*BR169+BS221*BS169+BT221*BT169+BU221*BU169+BV221*BV169+BW221*BW169+BX221*BX169+BY221*BY169+BZ221*BZ169+CA221*CA169+CB221*CB169+CC221*CC169</f>
        <v>6.9388939039072284E-18</v>
      </c>
      <c r="CH169" s="2386">
        <f>E222*E169+F222*F169+G222*G169+H222*H169+I222*I169+J222*J169+K222*K169+L222*L169+M222*M169+N222*N169+O222*O169+P222*P169+Q222*Q169+R222*R169+S222*S169+T222*T169+U222*U169+V222*V169+W222*W169+X222*X169+Y222*Y169+Z222*Z169+AA222*AA169+AB222*AB169+AC222*AC169+AD222*AD169+AE222*AE169+AF222*AF169+AG222*AG169+AH222*AH169+AI222*AI169+AJ222*AJ169+AK222*AK169+AL222*AL169+AM222*AM169+AN222*AN169+AO222*AO169+AP222*AP169+AQ222*AQ169+AR222*AR169+AS222*AS169+AT222*AT169+AU222*AU169+AV222*AV169+AW222*AW169+AX222*AX169+AY222*AY169+AZ222*AZ169+BA222*BA169+BB222*BB169+BC222*BC169+BD222*BD169+BE222*BE169+BF222*BF169+BG222*BG169+BH222*BH169+BI222*BI169+BJ222*BJ169+BK222*BK169+BL222*BL169+BM222*BM169+BN222*BN169+BO222*BO169+BP222*BP169+BQ222*BQ169+BR222*BR169+BS222*BS169+BT222*BT169+BU222*BU169+BV222*BV169+BW222*BW169+BX222*BX169+BY222*BY169+BZ222*BZ169+CA222*CA169+CB222*CB169+CC222*CC169</f>
        <v>0</v>
      </c>
      <c r="CI169" s="2387">
        <f>E223*E169+F223*F169+G223*G169+H223*H169+I223*I169+J223*J169+K223*K169+L223*L169+M223*M169+N223*N169+O223*O169+P223*P169+Q223*Q169+R223*R169+S223*S169+T223*T169+U223*U169+V223*V169+W223*W169+X223*X169+Y223*Y169+Z223*Z169+AA223*AA169+AB223*AB169+AC223*AC169+AD223*AD169+AE223*AE169+AF223*AF169+AG223*AG169+AH223*AH169+AI223*AI169+AJ223*AJ169+AK223*AK169+AL223*AL169+AM223*AM169+AN223*AN169+AO223*AO169+AP223*AP169+AQ223*AQ169+AR223*AR169+AS223*AS169+AT223*AT169+AU223*AU169+AV223*AV169+AW223*AW169+AX223*AX169+AY223*AY169+AZ223*AZ169+BA223*BA169+BB223*BB169+BC223*BC169+BD223*BD169+BE223*BE169+BF223*BF169+BG223*BG169+BH223*BH169+BI223*BI169+BJ223*BJ169+BK223*BK169+BL223*BL169+BM223*BM169+BN223*BN169+BO223*BO169+BP223*BP169+BQ223*BQ169+BR223*BR169+BS223*BS169+BT223*BT169+BU223*BU169+BV223*BV169+BW223*BW169+BX223*BX169+BY223*BY169+BZ223*BZ169+CA223*CA169+CB223*CB169+CC223*CC169</f>
        <v>0</v>
      </c>
      <c r="CJ169" s="2387">
        <f>E224*E169+F224*F169+G224*G169+H224*H169+I224*I169+J224*J169+K224*K169+L224*L169+M224*M169+N224*N169+O224*O169+P224*P169+Q224*Q169+R224*R169+S224*S169+T224*T169+U224*U169+V224*V169+W224*W169+X224*X169+Y224*Y169+Z224*Z169+AA224*AA169+AB224*AB169+AC224*AC169+AD224*AD169+AE224*AE169+AF224*AF169+AG224*AG169+AH224*AH169+AI224*AI169+AJ224*AJ169+AK224*AK169+AL224*AL169+AM224*AM169+AN224*AN169+AO224*AO169+AP224*AP169+AQ224*AQ169+AR224*AR169+AS224*AS169+AT224*AT169+AU224*AU169+AV224*AV169+AW224*AW169+AX224*AX169+AY224*AY169+AZ224*AZ169+BA224*BA169+BB224*BB169+BC224*BC169+BD224*BD169+BE224*BE169+BF224*BF169+BG224*BG169+BH224*BH169+BI224*BI169+BJ224*BJ169+BK224*BK169+BL224*BL169+BM224*BM169+BN224*BN169+BO224*BO169+BP224*BP169+BQ224*BQ169+BR224*BR169+BS224*BS169+BT224*BT169+BU224*BU169+BV224*BV169+BW224*BW169+BX224*BX169+BY224*BY169+BZ224*BZ169+CA224*CA169+CB224*CB169+CC224*CC169</f>
        <v>0</v>
      </c>
      <c r="CK169" s="2387">
        <f>E225*E169+F225*F169+G225*G169+H225*H169+I225*I169+J225*J169+K225*K169+L225*L169+M225*M169+N225*N169+O225*O169+P225*P169+Q225*Q169+R225*R169+S225*S169+T225*T169+U225*U169+V225*V169+W225*W169+X225*X169+Y225*Y169+Z225*Z169+AA225*AA169+AB225*AB169+AC225*AC169+AD225*AD169+AE225*AE169+AF225*AF169+AG225*AG169+AH225*AH169+AI225*AI169+AJ225*AJ169+AK225*AK169+AL225*AL169+AM225*AM169+AN225*AN169+AO225*AO169+AP225*AP169+AQ225*AQ169+AR225*AR169+AS225*AS169+AT225*AT169+AU225*AU169+AV225*AV169+AW225*AW169+AX225*AX169+AY225*AY169+AZ225*AZ169+BA225*BA169+BB225*BB169+BC225*BC169+BD225*BD169+BE225*BE169+BF225*BF169+BG225*BG169+BH225*BH169+BI225*BI169+BJ225*BJ169+BK225*BK169+BL225*BL169+BM225*BM169+BN225*BN169+BO225*BO169+BP225*BP169+BQ225*BQ169+BR225*BR169+BS225*BS169+BT225*BT169+BU225*BU169+BV225*BV169+BW225*BW169+BX225*BX169+BY225*BY169+BZ225*BZ169+CA225*CA169+CB225*CB169+CC225*CC169</f>
        <v>0</v>
      </c>
      <c r="CL169" s="2387">
        <f>E226*E169+F226*F169+G226*G169+H226*H169+I226*I169+J226*J169+K226*K169+L226*L169+M226*M169+N226*N169+O226*O169+P226*P169+Q226*Q169+R226*R169+S226*S169+T226*T169+U226*U169+V226*V169+W226*W169+X226*X169+Y226*Y169+Z226*Z169+AA226*AA169+AB226*AB169+AC226*AC169+AD226*AD169+AE226*AE169+AF226*AF169+AG226*AG169+AH226*AH169+AI226*AI169+AJ226*AJ169+AK226*AK169+AL226*AL169+AM226*AM169+AN226*AN169+AO226*AO169+AP226*AP169+AQ226*AQ169+AR226*AR169+AS226*AS169+AT226*AT169+AU226*AU169+AV226*AV169+AW226*AW169+AX226*AX169+AY226*AY169+AZ226*AZ169+BA226*BA169+BB226*BB169+BC226*BC169+BD226*BD169+BE226*BE169+BF226*BF169+BG226*BG169+BH226*BH169+BI226*BI169+BJ226*BJ169+BK226*BK169+BL226*BL169+BM226*BM169+BN226*BN169+BO226*BO169+BP226*BP169+BQ226*BQ169+BR226*BR169+BS226*BS169+BT226*BT169+BU226*BU169+BV226*BV169+BW226*BW169+BX226*BX169+BY226*BY169+BZ226*BZ169+CA226*CA169+CB226*CB169+CC226*CC169</f>
        <v>0</v>
      </c>
      <c r="CM169" s="2387">
        <f>E227*E169+F227*F169+G227*G169+H227*H169+I227*I169+J227*J169+K227*K169+L227*L169+M227*M169+N227*N169+O227*O169+P227*P169+Q227*Q169+R227*R169+S227*S169+T227*T169+U227*U169+V227*V169+W227*W169+X227*X169+Y227*Y169+Z227*Z169+AA227*AA169+AB227*AB169+AC227*AC169+AD227*AD169+AE227*AE169+AF227*AF169+AG227*AG169+AH227*AH169+AI227*AI169+AJ227*AJ169+AK227*AK169+AL227*AL169+AM227*AM169+AN227*AN169+AO227*AO169+AP227*AP169+AQ227*AQ169+AR227*AR169+AS227*AS169+AT227*AT169+AU227*AU169+AV227*AV169+AW227*AW169+AX227*AX169+AY227*AY169+AZ227*AZ169+BA227*BA169+BB227*BB169+BC227*BC169+BD227*BD169+BE227*BE169+BF227*BF169+BG227*BG169+BH227*BH169+BI227*BI169+BJ227*BJ169+BK227*BK169+BL227*BL169+BM227*BM169+BN227*BN169+BO227*BO169+BP227*BP169+BQ227*BQ169+BR227*BR169+BS227*BS169+BT227*BT169+BU227*BU169+BV227*BV169+BW227*BW169+BX227*BX169+BY227*BY169+BZ227*BZ169+CA227*CA169+CB227*CB169+CC227*CC169</f>
        <v>0</v>
      </c>
      <c r="CN169" s="2387">
        <f>E228*E169+F228*F169+G228*G169+H228*H169+I228*I169+J228*J169+K228*K169+L228*L169+M228*M169+N228*N169+O228*O169+P228*P169+Q228*Q169+R228*R169+S228*S169+T228*T169+U228*U169+V228*V169+W228*W169+X228*X169+Y228*Y169+Z228*Z169+AA228*AA169+AB228*AB169+AC228*AC169+AD228*AD169+AE228*AE169+AF228*AF169+AG228*AG169+AH228*AH169+AI228*AI169+AJ228*AJ169+AK228*AK169+AL228*AL169+AM228*AM169+AN228*AN169+AO228*AO169+AP228*AP169+AQ228*AQ169+AR228*AR169+AS228*AS169+AT228*AT169+AU228*AU169+AV228*AV169+AW228*AW169+AX228*AX169+AY228*AY169+AZ228*AZ169+BA228*BA169+BB228*BB169+BC228*BC169+BD228*BD169+BE228*BE169+BF228*BF169+BG228*BG169+BH228*BH169+BI228*BI169+BJ228*BJ169+BK228*BK169+BL228*BL169+BM228*BM169+BN228*BN169+BO228*BO169+BP228*BP169+BQ228*BQ169+BR228*BR169+BS228*BS169+BT228*BT169+BU228*BU169+BV228*BV169+BW228*BW169+BX228*BX169+BY228*BY169+BZ228*BZ169+CA228*CA169+CB228*CB169+CC228*CC169</f>
        <v>0</v>
      </c>
      <c r="CO169" s="2387">
        <f>E229*E169+F229*F169+G229*G169+H229*H169+I229*I169+J229*J169+K229*K169+L229*L169+M229*M169+N229*N169+O229*O169+P229*P169+Q229*Q169+R229*R169+S229*S169+T229*T169+U229*U169+V229*V169+W229*W169+X229*X169+Y229*Y169+Z229*Z169+AA229*AA169+AB229*AB169+AC229*AC169+AD229*AD169+AE229*AE169+AF229*AF169+AG229*AG169+AH229*AH169+AI229*AI169+AJ229*AJ169+AK229*AK169+AL229*AL169+AM229*AM169+AN229*AN169+AO229*AO169+AP229*AP169+AQ229*AQ169+AR229*AR169+AS229*AS169+AT229*AT169+AU229*AU169+AV229*AV169+AW229*AW169+AX229*AX169+AY229*AY169+AZ229*AZ169+BA229*BA169+BB229*BB169+BC229*BC169+BD229*BD169+BE229*BE169+BF229*BF169+BG229*BG169+BH229*BH169+BI229*BI169+BJ229*BJ169+BK229*BK169+BL229*BL169+BM229*BM169+BN229*BN169+BO229*BO169+BP229*BP169+BQ229*BQ169+BR229*BR169+BS229*BS169+BT229*BT169+BU229*BU169+BV229*BV169+BW229*BW169+BX229*BX169+BY229*BY169+BZ229*BZ169+CA229*CA169+CB229*CB169+CC229*CC169</f>
        <v>0</v>
      </c>
      <c r="CP169" s="2387">
        <f>E230*E169+F230*F169+G230*G169+H230*H169+I230*I169+J230*J169+K230*K169+L230*L169+M230*M169+N230*N169+O230*O169+P230*P169+Q230*Q169+R230*R169+S230*S169+T230*T169+U230*U169+V230*V169+W230*W169+X230*X169+Y230*Y169+Z230*Z169+AA230*AA169+AB230*AB169+AC230*AC169+AD230*AD169+AE230*AE169+AF230*AF169+AG230*AG169+AH230*AH169+AI230*AI169+AJ230*AJ169+AK230*AK169+AL230*AL169+AM230*AM169+AN230*AN169+AO230*AO169+AP230*AP169+AQ230*AQ169+AR230*AR169+AS230*AS169+AT230*AT169+AU230*AU169+AV230*AV169+AW230*AW169+AX230*AX169+AY230*AY169+AZ230*AZ169+BA230*BA169+BB230*BB169+BC230*BC169+BD230*BD169+BE230*BE169+BF230*BF169+BG230*BG169+BH230*BH169+BI230*BI169+BJ230*BJ169+BK230*BK169+BL230*BL169+BM230*BM169+BN230*BN169+BO230*BO169+BP230*BP169+BQ230*BQ169+BR230*BR169+BS230*BS169+BT230*BT169+BU230*BU169+BV230*BV169+BW230*BW169+BX230*BX169+BY230*BY169+BZ230*BZ169+CA230*CA169+CB230*CB169+CC230*CC169</f>
        <v>0</v>
      </c>
    </row>
    <row r="170" spans="2:94" x14ac:dyDescent="0.25">
      <c r="B170" s="1590">
        <v>51</v>
      </c>
      <c r="C170" s="1529" t="s">
        <v>2164</v>
      </c>
      <c r="D170" s="655" t="s">
        <v>3085</v>
      </c>
      <c r="E170" s="982">
        <f>0</f>
        <v>0</v>
      </c>
      <c r="F170" s="982">
        <f>0</f>
        <v>0</v>
      </c>
      <c r="G170" s="982">
        <f>0</f>
        <v>0</v>
      </c>
      <c r="H170" s="982">
        <f>0</f>
        <v>0</v>
      </c>
      <c r="I170" s="982">
        <f>1-f_E</f>
        <v>0.92</v>
      </c>
      <c r="J170" s="982">
        <f>0</f>
        <v>0</v>
      </c>
      <c r="K170" s="982">
        <f>0</f>
        <v>0</v>
      </c>
      <c r="L170" s="982">
        <f>0</f>
        <v>0</v>
      </c>
      <c r="M170" s="982">
        <f>0</f>
        <v>0</v>
      </c>
      <c r="N170" s="982">
        <f>0</f>
        <v>0</v>
      </c>
      <c r="O170" s="982">
        <f>0</f>
        <v>0</v>
      </c>
      <c r="P170" s="982">
        <f>f_E</f>
        <v>0.08</v>
      </c>
      <c r="Q170" s="982">
        <f>0</f>
        <v>0</v>
      </c>
      <c r="R170" s="982">
        <f>0</f>
        <v>0</v>
      </c>
      <c r="S170" s="982">
        <f>0</f>
        <v>0</v>
      </c>
      <c r="T170" s="982">
        <f>0</f>
        <v>0</v>
      </c>
      <c r="U170" s="982">
        <f>0</f>
        <v>0</v>
      </c>
      <c r="V170" s="982">
        <f>0</f>
        <v>0</v>
      </c>
      <c r="W170" s="982">
        <f>0</f>
        <v>0</v>
      </c>
      <c r="X170" s="982">
        <f>-1</f>
        <v>-1</v>
      </c>
      <c r="Y170" s="982">
        <f>-f_E*(i_N_XE-i_N_BIO)</f>
        <v>8.0000000000000069E-4</v>
      </c>
      <c r="Z170" s="982">
        <f>0</f>
        <v>0</v>
      </c>
      <c r="AA170" s="982">
        <f>0</f>
        <v>0</v>
      </c>
      <c r="AB170" s="982">
        <f>0</f>
        <v>0</v>
      </c>
      <c r="AC170" s="982">
        <f>0</f>
        <v>0</v>
      </c>
      <c r="AD170" s="982">
        <f>(1-f_E)*i_N_BIO</f>
        <v>6.4400000000000013E-2</v>
      </c>
      <c r="AE170" s="982">
        <f>0</f>
        <v>0</v>
      </c>
      <c r="AF170" s="982">
        <f>0</f>
        <v>0</v>
      </c>
      <c r="AG170" s="982">
        <f>0</f>
        <v>0</v>
      </c>
      <c r="AH170" s="982">
        <f>0</f>
        <v>0</v>
      </c>
      <c r="AI170" s="982">
        <f>(1-f_E)*i_P_BIO</f>
        <v>1.84E-2</v>
      </c>
      <c r="AJ170" s="982">
        <f>0</f>
        <v>0</v>
      </c>
      <c r="AK170" s="982">
        <f>0</f>
        <v>0</v>
      </c>
      <c r="AL170" s="982">
        <f>0</f>
        <v>0</v>
      </c>
      <c r="AM170" s="982">
        <f>0</f>
        <v>0</v>
      </c>
      <c r="AN170" s="982">
        <f>(1-f_E)*(i_CIT_BIO-i_CIT_SB)</f>
        <v>6.0720000000000003E-2</v>
      </c>
      <c r="AO170" s="982">
        <f>-i_INORG</f>
        <v>-0.11</v>
      </c>
      <c r="AP170" s="982">
        <f>i_INORG*(1-i_Ca_INORG*(A_MCa+2*A_MCl)/A_MCa-i_Mg_INORG*(A_MMg+2*A_MCl)/A_MMg)*f_Na</f>
        <v>2.8804303582798466E-2</v>
      </c>
      <c r="AQ170" s="982">
        <f>i_INORG*(i_Ca_INORG*(2*A_MCl)/A_MCa+i_Mg_INORG*(2*A_MCl)/A_MMg)+i_INORG*(1-i_Ca_INORG*(A_MCa+2*A_MCl)/A_MCa-i_Mg_INORG*(A_MMg+2*A_MCl)/A_MMg)*(1-f_Na)</f>
        <v>7.0195696417201539E-2</v>
      </c>
      <c r="AR170" s="982">
        <f>i_INORG*i_Ca_INORG</f>
        <v>5.5000000000000005E-3</v>
      </c>
      <c r="AS170" s="982">
        <f>i_INORG*i_Mg_INORG</f>
        <v>5.5000000000000005E-3</v>
      </c>
      <c r="AT170" s="982">
        <f>0</f>
        <v>0</v>
      </c>
      <c r="AU170" s="982">
        <f>0</f>
        <v>0</v>
      </c>
      <c r="AV170" s="982">
        <f>0</f>
        <v>0</v>
      </c>
      <c r="AW170" s="982">
        <f>0</f>
        <v>0</v>
      </c>
      <c r="AX170" s="982">
        <f>0</f>
        <v>0</v>
      </c>
      <c r="AY170" s="982">
        <f>0</f>
        <v>0</v>
      </c>
      <c r="AZ170" s="982">
        <f>0</f>
        <v>0</v>
      </c>
      <c r="BA170" s="982">
        <f>0</f>
        <v>0</v>
      </c>
      <c r="BB170" s="982">
        <f>0</f>
        <v>0</v>
      </c>
      <c r="BC170" s="982">
        <f>0</f>
        <v>0</v>
      </c>
      <c r="BD170" s="982">
        <f>0</f>
        <v>0</v>
      </c>
      <c r="BE170" s="982">
        <f>0</f>
        <v>0</v>
      </c>
      <c r="BF170" s="982">
        <f>0</f>
        <v>0</v>
      </c>
      <c r="BG170" s="982">
        <f>0</f>
        <v>0</v>
      </c>
      <c r="BH170" s="982">
        <f>0</f>
        <v>0</v>
      </c>
      <c r="BI170" s="982">
        <f>0</f>
        <v>0</v>
      </c>
      <c r="BJ170" s="982">
        <f>0</f>
        <v>0</v>
      </c>
      <c r="BK170" s="982">
        <f>0</f>
        <v>0</v>
      </c>
      <c r="BL170" s="1640">
        <f>0</f>
        <v>0</v>
      </c>
      <c r="BM170" s="982">
        <f>0</f>
        <v>0</v>
      </c>
      <c r="BN170" s="982">
        <f>0</f>
        <v>0</v>
      </c>
      <c r="BO170" s="982">
        <f>0</f>
        <v>0</v>
      </c>
      <c r="BP170" s="1426">
        <f>0</f>
        <v>0</v>
      </c>
      <c r="BQ170" s="2375">
        <f>0</f>
        <v>0</v>
      </c>
      <c r="BR170" s="982">
        <f>0</f>
        <v>0</v>
      </c>
      <c r="BS170" s="982">
        <f>0</f>
        <v>0</v>
      </c>
      <c r="BT170" s="982">
        <f>0</f>
        <v>0</v>
      </c>
      <c r="BU170" s="982">
        <f>0</f>
        <v>0</v>
      </c>
      <c r="BV170" s="982">
        <f>0</f>
        <v>0</v>
      </c>
      <c r="BW170" s="982">
        <f>0</f>
        <v>0</v>
      </c>
      <c r="BX170" s="982">
        <f>0</f>
        <v>0</v>
      </c>
      <c r="BY170" s="982">
        <f>0</f>
        <v>0</v>
      </c>
      <c r="BZ170" s="982">
        <f>0</f>
        <v>0</v>
      </c>
      <c r="CA170" s="982">
        <f>0</f>
        <v>0</v>
      </c>
      <c r="CB170" s="982">
        <f>0</f>
        <v>0</v>
      </c>
      <c r="CC170" s="982">
        <f>0</f>
        <v>0</v>
      </c>
      <c r="CD170" s="1655">
        <f>b_HMETO_T*X_HMETO*(M_inhSNOx_KNO3_HMETO*M_inhSO2_KiO2_HMETO)</f>
        <v>6.1567605967321836E-6</v>
      </c>
      <c r="CF170" s="2385">
        <f>E220*E170+F220*F170+G220*G170+H220*H170+I220*I170+J220*J170+K220*K170+L220*L170+M220*M170+N220*N170+O220*O170+P220*P170+Q220*Q170+R220*R170+S220*S170+T220*T170+U220*U170+V220*V170+W220*W170+X220*X170+Y220*Y170+Z220*Z170+AA220*AA170+AB220*AB170+AC220*AC170+AD220*AD170+AE220*AE170+AF220*AF170+AG220*AG170+AH220*AH170+AI220*AI170+AJ220*AJ170+AK220*AK170+AL220*AL170+AM220*AM170+AN220*AN170+AO220*AO170+AP220*AP170+AQ220*AQ170+AR220*AR170+AS220*AS170+AT220*AT170+AU220*AU170+AV220*AV170+AW220*AW170+AX220*AX170+AY220*AY170+AZ220*AZ170+BA220*BA170+BB220*BB170+BC220*BC170+BD220*BD170+BE220*BE170+BF220*BF170+BG220*BG170+BH220*BH170+BI220*BI170+BJ220*BJ170+BK220*BK170+BL220*BL170+BM220*BM170+BN220*BN170+BO220*BO170+BP220*BP170+BQ220*BQ170+BR220*BR170+BS220*BS170+BT220*BT170+BU220*BU170+BV220*BV170+BW220*BW170+BX220*BX170+BY220*BY170+BZ220*BZ170+CA220*CA170+CB220*CB170+CC220*CC170</f>
        <v>0</v>
      </c>
      <c r="CG170" s="2385">
        <f>E221*E170+F221*F170+G221*G170+H221*H170+I221*I170+J221*J170+K221*K170+L221*L170+M221*M170+N221*N170+O221*O170+P221*P170+Q221*Q170+R221*R170+S221*S170+T221*T170+U221*U170+V221*V170+W221*W170+X221*X170+Y221*Y170+Z221*Z170+AA221*AA170+AB221*AB170+AC221*AC170+AD221*AD170+AE221*AE170+AF221*AF170+AG221*AG170+AH221*AH170+AI221*AI170+AJ221*AJ170+AK221*AK170+AL221*AL170+AM221*AM170+AN221*AN170+AO221*AO170+AP221*AP170+AQ221*AQ170+AR221*AR170+AS221*AS170+AT221*AT170+AU221*AU170+AV221*AV170+AW221*AW170+AX221*AX170+AY221*AY170+AZ221*AZ170+BA221*BA170+BB221*BB170+BC221*BC170+BD221*BD170+BE221*BE170+BF221*BF170+BG221*BG170+BH221*BH170+BI221*BI170+BJ221*BJ170+BK221*BK170+BL221*BL170+BM221*BM170+BN221*BN170+BO221*BO170+BP221*BP170+BQ221*BQ170+BR221*BR170+BS221*BS170+BT221*BT170+BU221*BU170+BV221*BV170+BW221*BW170+BX221*BX170+BY221*BY170+BZ221*BZ170+CA221*CA170+CB221*CB170+CC221*CC170</f>
        <v>6.9388939039072284E-18</v>
      </c>
      <c r="CH170" s="2386">
        <f>E222*E170+F222*F170+G222*G170+H222*H170+I222*I170+J222*J170+K222*K170+L222*L170+M222*M170+N222*N170+O222*O170+P222*P170+Q222*Q170+R222*R170+S222*S170+T222*T170+U222*U170+V222*V170+W222*W170+X222*X170+Y222*Y170+Z222*Z170+AA222*AA170+AB222*AB170+AC222*AC170+AD222*AD170+AE222*AE170+AF222*AF170+AG222*AG170+AH222*AH170+AI222*AI170+AJ222*AJ170+AK222*AK170+AL222*AL170+AM222*AM170+AN222*AN170+AO222*AO170+AP222*AP170+AQ222*AQ170+AR222*AR170+AS222*AS170+AT222*AT170+AU222*AU170+AV222*AV170+AW222*AW170+AX222*AX170+AY222*AY170+AZ222*AZ170+BA222*BA170+BB222*BB170+BC222*BC170+BD222*BD170+BE222*BE170+BF222*BF170+BG222*BG170+BH222*BH170+BI222*BI170+BJ222*BJ170+BK222*BK170+BL222*BL170+BM222*BM170+BN222*BN170+BO222*BO170+BP222*BP170+BQ222*BQ170+BR222*BR170+BS222*BS170+BT222*BT170+BU222*BU170+BV222*BV170+BW222*BW170+BX222*BX170+BY222*BY170+BZ222*BZ170+CA222*CA170+CB222*CB170+CC222*CC170</f>
        <v>0</v>
      </c>
      <c r="CI170" s="2387">
        <f>E223*E170+F223*F170+G223*G170+H223*H170+I223*I170+J223*J170+K223*K170+L223*L170+M223*M170+N223*N170+O223*O170+P223*P170+Q223*Q170+R223*R170+S223*S170+T223*T170+U223*U170+V223*V170+W223*W170+X223*X170+Y223*Y170+Z223*Z170+AA223*AA170+AB223*AB170+AC223*AC170+AD223*AD170+AE223*AE170+AF223*AF170+AG223*AG170+AH223*AH170+AI223*AI170+AJ223*AJ170+AK223*AK170+AL223*AL170+AM223*AM170+AN223*AN170+AO223*AO170+AP223*AP170+AQ223*AQ170+AR223*AR170+AS223*AS170+AT223*AT170+AU223*AU170+AV223*AV170+AW223*AW170+AX223*AX170+AY223*AY170+AZ223*AZ170+BA223*BA170+BB223*BB170+BC223*BC170+BD223*BD170+BE223*BE170+BF223*BF170+BG223*BG170+BH223*BH170+BI223*BI170+BJ223*BJ170+BK223*BK170+BL223*BL170+BM223*BM170+BN223*BN170+BO223*BO170+BP223*BP170+BQ223*BQ170+BR223*BR170+BS223*BS170+BT223*BT170+BU223*BU170+BV223*BV170+BW223*BW170+BX223*BX170+BY223*BY170+BZ223*BZ170+CA223*CA170+CB223*CB170+CC223*CC170</f>
        <v>0</v>
      </c>
      <c r="CJ170" s="2387">
        <f>E224*E170+F224*F170+G224*G170+H224*H170+I224*I170+J224*J170+K224*K170+L224*L170+M224*M170+N224*N170+O224*O170+P224*P170+Q224*Q170+R224*R170+S224*S170+T224*T170+U224*U170+V224*V170+W224*W170+X224*X170+Y224*Y170+Z224*Z170+AA224*AA170+AB224*AB170+AC224*AC170+AD224*AD170+AE224*AE170+AF224*AF170+AG224*AG170+AH224*AH170+AI224*AI170+AJ224*AJ170+AK224*AK170+AL224*AL170+AM224*AM170+AN224*AN170+AO224*AO170+AP224*AP170+AQ224*AQ170+AR224*AR170+AS224*AS170+AT224*AT170+AU224*AU170+AV224*AV170+AW224*AW170+AX224*AX170+AY224*AY170+AZ224*AZ170+BA224*BA170+BB224*BB170+BC224*BC170+BD224*BD170+BE224*BE170+BF224*BF170+BG224*BG170+BH224*BH170+BI224*BI170+BJ224*BJ170+BK224*BK170+BL224*BL170+BM224*BM170+BN224*BN170+BO224*BO170+BP224*BP170+BQ224*BQ170+BR224*BR170+BS224*BS170+BT224*BT170+BU224*BU170+BV224*BV170+BW224*BW170+BX224*BX170+BY224*BY170+BZ224*BZ170+CA224*CA170+CB224*CB170+CC224*CC170</f>
        <v>0</v>
      </c>
      <c r="CK170" s="2387">
        <f>E225*E170+F225*F170+G225*G170+H225*H170+I225*I170+J225*J170+K225*K170+L225*L170+M225*M170+N225*N170+O225*O170+P225*P170+Q225*Q170+R225*R170+S225*S170+T225*T170+U225*U170+V225*V170+W225*W170+X225*X170+Y225*Y170+Z225*Z170+AA225*AA170+AB225*AB170+AC225*AC170+AD225*AD170+AE225*AE170+AF225*AF170+AG225*AG170+AH225*AH170+AI225*AI170+AJ225*AJ170+AK225*AK170+AL225*AL170+AM225*AM170+AN225*AN170+AO225*AO170+AP225*AP170+AQ225*AQ170+AR225*AR170+AS225*AS170+AT225*AT170+AU225*AU170+AV225*AV170+AW225*AW170+AX225*AX170+AY225*AY170+AZ225*AZ170+BA225*BA170+BB225*BB170+BC225*BC170+BD225*BD170+BE225*BE170+BF225*BF170+BG225*BG170+BH225*BH170+BI225*BI170+BJ225*BJ170+BK225*BK170+BL225*BL170+BM225*BM170+BN225*BN170+BO225*BO170+BP225*BP170+BQ225*BQ170+BR225*BR170+BS225*BS170+BT225*BT170+BU225*BU170+BV225*BV170+BW225*BW170+BX225*BX170+BY225*BY170+BZ225*BZ170+CA225*CA170+CB225*CB170+CC225*CC170</f>
        <v>0</v>
      </c>
      <c r="CL170" s="2387">
        <f>E226*E170+F226*F170+G226*G170+H226*H170+I226*I170+J226*J170+K226*K170+L226*L170+M226*M170+N226*N170+O226*O170+P226*P170+Q226*Q170+R226*R170+S226*S170+T226*T170+U226*U170+V226*V170+W226*W170+X226*X170+Y226*Y170+Z226*Z170+AA226*AA170+AB226*AB170+AC226*AC170+AD226*AD170+AE226*AE170+AF226*AF170+AG226*AG170+AH226*AH170+AI226*AI170+AJ226*AJ170+AK226*AK170+AL226*AL170+AM226*AM170+AN226*AN170+AO226*AO170+AP226*AP170+AQ226*AQ170+AR226*AR170+AS226*AS170+AT226*AT170+AU226*AU170+AV226*AV170+AW226*AW170+AX226*AX170+AY226*AY170+AZ226*AZ170+BA226*BA170+BB226*BB170+BC226*BC170+BD226*BD170+BE226*BE170+BF226*BF170+BG226*BG170+BH226*BH170+BI226*BI170+BJ226*BJ170+BK226*BK170+BL226*BL170+BM226*BM170+BN226*BN170+BO226*BO170+BP226*BP170+BQ226*BQ170+BR226*BR170+BS226*BS170+BT226*BT170+BU226*BU170+BV226*BV170+BW226*BW170+BX226*BX170+BY226*BY170+BZ226*BZ170+CA226*CA170+CB226*CB170+CC226*CC170</f>
        <v>0</v>
      </c>
      <c r="CM170" s="2387">
        <f>E227*E170+F227*F170+G227*G170+H227*H170+I227*I170+J227*J170+K227*K170+L227*L170+M227*M170+N227*N170+O227*O170+P227*P170+Q227*Q170+R227*R170+S227*S170+T227*T170+U227*U170+V227*V170+W227*W170+X227*X170+Y227*Y170+Z227*Z170+AA227*AA170+AB227*AB170+AC227*AC170+AD227*AD170+AE227*AE170+AF227*AF170+AG227*AG170+AH227*AH170+AI227*AI170+AJ227*AJ170+AK227*AK170+AL227*AL170+AM227*AM170+AN227*AN170+AO227*AO170+AP227*AP170+AQ227*AQ170+AR227*AR170+AS227*AS170+AT227*AT170+AU227*AU170+AV227*AV170+AW227*AW170+AX227*AX170+AY227*AY170+AZ227*AZ170+BA227*BA170+BB227*BB170+BC227*BC170+BD227*BD170+BE227*BE170+BF227*BF170+BG227*BG170+BH227*BH170+BI227*BI170+BJ227*BJ170+BK227*BK170+BL227*BL170+BM227*BM170+BN227*BN170+BO227*BO170+BP227*BP170+BQ227*BQ170+BR227*BR170+BS227*BS170+BT227*BT170+BU227*BU170+BV227*BV170+BW227*BW170+BX227*BX170+BY227*BY170+BZ227*BZ170+CA227*CA170+CB227*CB170+CC227*CC170</f>
        <v>0</v>
      </c>
      <c r="CN170" s="2387">
        <f>E228*E170+F228*F170+G228*G170+H228*H170+I228*I170+J228*J170+K228*K170+L228*L170+M228*M170+N228*N170+O228*O170+P228*P170+Q228*Q170+R228*R170+S228*S170+T228*T170+U228*U170+V228*V170+W228*W170+X228*X170+Y228*Y170+Z228*Z170+AA228*AA170+AB228*AB170+AC228*AC170+AD228*AD170+AE228*AE170+AF228*AF170+AG228*AG170+AH228*AH170+AI228*AI170+AJ228*AJ170+AK228*AK170+AL228*AL170+AM228*AM170+AN228*AN170+AO228*AO170+AP228*AP170+AQ228*AQ170+AR228*AR170+AS228*AS170+AT228*AT170+AU228*AU170+AV228*AV170+AW228*AW170+AX228*AX170+AY228*AY170+AZ228*AZ170+BA228*BA170+BB228*BB170+BC228*BC170+BD228*BD170+BE228*BE170+BF228*BF170+BG228*BG170+BH228*BH170+BI228*BI170+BJ228*BJ170+BK228*BK170+BL228*BL170+BM228*BM170+BN228*BN170+BO228*BO170+BP228*BP170+BQ228*BQ170+BR228*BR170+BS228*BS170+BT228*BT170+BU228*BU170+BV228*BV170+BW228*BW170+BX228*BX170+BY228*BY170+BZ228*BZ170+CA228*CA170+CB228*CB170+CC228*CC170</f>
        <v>0</v>
      </c>
      <c r="CO170" s="2387">
        <f>E229*E170+F229*F170+G229*G170+H229*H170+I229*I170+J229*J170+K229*K170+L229*L170+M229*M170+N229*N170+O229*O170+P229*P170+Q229*Q170+R229*R170+S229*S170+T229*T170+U229*U170+V229*V170+W229*W170+X229*X170+Y229*Y170+Z229*Z170+AA229*AA170+AB229*AB170+AC229*AC170+AD229*AD170+AE229*AE170+AF229*AF170+AG229*AG170+AH229*AH170+AI229*AI170+AJ229*AJ170+AK229*AK170+AL229*AL170+AM229*AM170+AN229*AN170+AO229*AO170+AP229*AP170+AQ229*AQ170+AR229*AR170+AS229*AS170+AT229*AT170+AU229*AU170+AV229*AV170+AW229*AW170+AX229*AX170+AY229*AY170+AZ229*AZ170+BA229*BA170+BB229*BB170+BC229*BC170+BD229*BD170+BE229*BE170+BF229*BF170+BG229*BG170+BH229*BH170+BI229*BI170+BJ229*BJ170+BK229*BK170+BL229*BL170+BM229*BM170+BN229*BN170+BO229*BO170+BP229*BP170+BQ229*BQ170+BR229*BR170+BS229*BS170+BT229*BT170+BU229*BU170+BV229*BV170+BW229*BW170+BX229*BX170+BY229*BY170+BZ229*BZ170+CA229*CA170+CB229*CB170+CC229*CC170</f>
        <v>0</v>
      </c>
      <c r="CP170" s="2387">
        <f>E230*E170+F230*F170+G230*G170+H230*H170+I230*I170+J230*J170+K230*K170+L230*L170+M230*M170+N230*N170+O230*O170+P230*P170+Q230*Q170+R230*R170+S230*S170+T230*T170+U230*U170+V230*V170+W230*W170+X230*X170+Y230*Y170+Z230*Z170+AA230*AA170+AB230*AB170+AC230*AC170+AD230*AD170+AE230*AE170+AF230*AF170+AG230*AG170+AH230*AH170+AI230*AI170+AJ230*AJ170+AK230*AK170+AL230*AL170+AM230*AM170+AN230*AN170+AO230*AO170+AP230*AP170+AQ230*AQ170+AR230*AR170+AS230*AS170+AT230*AT170+AU230*AU170+AV230*AV170+AW230*AW170+AX230*AX170+AY230*AY170+AZ230*AZ170+BA230*BA170+BB230*BB170+BC230*BC170+BD230*BD170+BE230*BE170+BF230*BF170+BG230*BG170+BH230*BH170+BI230*BI170+BJ230*BJ170+BK230*BK170+BL230*BL170+BM230*BM170+BN230*BN170+BO230*BO170+BP230*BP170+BQ230*BQ170+BR230*BR170+BS230*BS170+BT230*BT170+BU230*BU170+BV230*BV170+BW230*BW170+BX230*BX170+BY230*BY170+BZ230*BZ170+CA230*CA170+CB230*CB170+CC230*CC170</f>
        <v>0</v>
      </c>
    </row>
    <row r="171" spans="2:94" x14ac:dyDescent="0.25">
      <c r="B171" s="1591">
        <v>52</v>
      </c>
      <c r="C171" s="1530" t="s">
        <v>2165</v>
      </c>
      <c r="D171" s="658" t="s">
        <v>1683</v>
      </c>
      <c r="E171" s="983">
        <f>0</f>
        <v>0</v>
      </c>
      <c r="F171" s="983">
        <f>0</f>
        <v>0</v>
      </c>
      <c r="G171" s="983">
        <f>0</f>
        <v>0</v>
      </c>
      <c r="H171" s="983">
        <f>-1</f>
        <v>-1</v>
      </c>
      <c r="I171" s="983">
        <f>1</f>
        <v>1</v>
      </c>
      <c r="J171" s="983">
        <f>0</f>
        <v>0</v>
      </c>
      <c r="K171" s="983">
        <f>0</f>
        <v>0</v>
      </c>
      <c r="L171" s="983">
        <f>0</f>
        <v>0</v>
      </c>
      <c r="M171" s="983">
        <f>0</f>
        <v>0</v>
      </c>
      <c r="N171" s="983">
        <f>0</f>
        <v>0</v>
      </c>
      <c r="O171" s="983">
        <f>0</f>
        <v>0</v>
      </c>
      <c r="P171" s="983">
        <f>0</f>
        <v>0</v>
      </c>
      <c r="Q171" s="983">
        <f>0</f>
        <v>0</v>
      </c>
      <c r="R171" s="983">
        <f>0</f>
        <v>0</v>
      </c>
      <c r="S171" s="983">
        <f>0</f>
        <v>0</v>
      </c>
      <c r="T171" s="983">
        <f>0</f>
        <v>0</v>
      </c>
      <c r="U171" s="983">
        <f>0</f>
        <v>0</v>
      </c>
      <c r="V171" s="983">
        <f>0</f>
        <v>0</v>
      </c>
      <c r="W171" s="983">
        <f>0</f>
        <v>0</v>
      </c>
      <c r="X171" s="983">
        <f>0</f>
        <v>0</v>
      </c>
      <c r="Y171" s="983">
        <f>0</f>
        <v>0</v>
      </c>
      <c r="Z171" s="983">
        <f>0</f>
        <v>0</v>
      </c>
      <c r="AA171" s="983">
        <f>0</f>
        <v>0</v>
      </c>
      <c r="AB171" s="983">
        <f>0</f>
        <v>0</v>
      </c>
      <c r="AC171" s="983">
        <f>0</f>
        <v>0</v>
      </c>
      <c r="AD171" s="983">
        <f>i_N_CB</f>
        <v>0.01</v>
      </c>
      <c r="AE171" s="983">
        <f>0</f>
        <v>0</v>
      </c>
      <c r="AF171" s="983">
        <f>0</f>
        <v>0</v>
      </c>
      <c r="AG171" s="983">
        <f>0</f>
        <v>0</v>
      </c>
      <c r="AH171" s="983">
        <f>0</f>
        <v>0</v>
      </c>
      <c r="AI171" s="983">
        <f>i_P_CB</f>
        <v>2E-3</v>
      </c>
      <c r="AJ171" s="983">
        <f>0</f>
        <v>0</v>
      </c>
      <c r="AK171" s="983">
        <f>0</f>
        <v>0</v>
      </c>
      <c r="AL171" s="983">
        <f>0</f>
        <v>0</v>
      </c>
      <c r="AM171" s="983">
        <f>0</f>
        <v>0</v>
      </c>
      <c r="AN171" s="983">
        <f>0</f>
        <v>0</v>
      </c>
      <c r="AO171" s="983">
        <f>0</f>
        <v>0</v>
      </c>
      <c r="AP171" s="983">
        <f>0</f>
        <v>0</v>
      </c>
      <c r="AQ171" s="983">
        <f>0</f>
        <v>0</v>
      </c>
      <c r="AR171" s="983">
        <f>0</f>
        <v>0</v>
      </c>
      <c r="AS171" s="983">
        <f>0</f>
        <v>0</v>
      </c>
      <c r="AT171" s="983">
        <f>0</f>
        <v>0</v>
      </c>
      <c r="AU171" s="983">
        <f>0</f>
        <v>0</v>
      </c>
      <c r="AV171" s="983">
        <f>0</f>
        <v>0</v>
      </c>
      <c r="AW171" s="983">
        <f>0</f>
        <v>0</v>
      </c>
      <c r="AX171" s="983">
        <f>0</f>
        <v>0</v>
      </c>
      <c r="AY171" s="983">
        <f>0</f>
        <v>0</v>
      </c>
      <c r="AZ171" s="983">
        <f>0</f>
        <v>0</v>
      </c>
      <c r="BA171" s="983">
        <f>0</f>
        <v>0</v>
      </c>
      <c r="BB171" s="983">
        <f>0</f>
        <v>0</v>
      </c>
      <c r="BC171" s="983">
        <f>0</f>
        <v>0</v>
      </c>
      <c r="BD171" s="983">
        <f>0</f>
        <v>0</v>
      </c>
      <c r="BE171" s="983">
        <f>0</f>
        <v>0</v>
      </c>
      <c r="BF171" s="983">
        <f>0</f>
        <v>0</v>
      </c>
      <c r="BG171" s="983">
        <f>0</f>
        <v>0</v>
      </c>
      <c r="BH171" s="983">
        <f>0</f>
        <v>0</v>
      </c>
      <c r="BI171" s="983">
        <f>0</f>
        <v>0</v>
      </c>
      <c r="BJ171" s="983">
        <f>0</f>
        <v>0</v>
      </c>
      <c r="BK171" s="983">
        <f>0</f>
        <v>0</v>
      </c>
      <c r="BL171" s="1622">
        <f>0</f>
        <v>0</v>
      </c>
      <c r="BM171" s="983">
        <f>0</f>
        <v>0</v>
      </c>
      <c r="BN171" s="983">
        <f>0</f>
        <v>0</v>
      </c>
      <c r="BO171" s="983">
        <f>0</f>
        <v>0</v>
      </c>
      <c r="BP171" s="1427">
        <f>0</f>
        <v>0</v>
      </c>
      <c r="BQ171" s="2376">
        <f>0</f>
        <v>0</v>
      </c>
      <c r="BR171" s="983">
        <f>0</f>
        <v>0</v>
      </c>
      <c r="BS171" s="983">
        <f>0</f>
        <v>0</v>
      </c>
      <c r="BT171" s="983">
        <f>0</f>
        <v>0</v>
      </c>
      <c r="BU171" s="983">
        <f>0</f>
        <v>0</v>
      </c>
      <c r="BV171" s="983">
        <f>0</f>
        <v>0</v>
      </c>
      <c r="BW171" s="983">
        <f>0</f>
        <v>0</v>
      </c>
      <c r="BX171" s="983">
        <f>0</f>
        <v>0</v>
      </c>
      <c r="BY171" s="983">
        <f>0</f>
        <v>0</v>
      </c>
      <c r="BZ171" s="983">
        <f>0</f>
        <v>0</v>
      </c>
      <c r="CA171" s="983">
        <f>0</f>
        <v>0</v>
      </c>
      <c r="CB171" s="983">
        <f>0</f>
        <v>0</v>
      </c>
      <c r="CC171" s="983">
        <f>0</f>
        <v>0</v>
      </c>
      <c r="CD171" s="1656">
        <f>q_FLOC_T*X_BIO*M_RsatCB_XBIO_KFLOC</f>
        <v>495.30736743313008</v>
      </c>
      <c r="CF171" s="2385">
        <f>E220*E171+F220*F171+G220*G171+H220*H171+I220*I171+J220*J171+K220*K171+L220*L171+M220*M171+N220*N171+O220*O171+P220*P171+Q220*Q171+R220*R171+S220*S171+T220*T171+U220*U171+V220*V171+W220*W171+X220*X171+Y220*Y171+Z220*Z171+AA220*AA171+AB220*AB171+AC220*AC171+AD220*AD171+AE220*AE171+AF220*AF171+AG220*AG171+AH220*AH171+AI220*AI171+AJ220*AJ171+AK220*AK171+AL220*AL171+AM220*AM171+AN220*AN171+AO220*AO171+AP220*AP171+AQ220*AQ171+AR220*AR171+AS220*AS171+AT220*AT171+AU220*AU171+AV220*AV171+AW220*AW171+AX220*AX171+AY220*AY171+AZ220*AZ171+BA220*BA171+BB220*BB171+BC220*BC171+BD220*BD171+BE220*BE171+BF220*BF171+BG220*BG171+BH220*BH171+BI220*BI171+BJ220*BJ171+BK220*BK171+BL220*BL171+BM220*BM171+BN220*BN171+BO220*BO171+BP220*BP171+BQ220*BQ171+BR220*BR171+BS220*BS171+BT220*BT171+BU220*BU171+BV220*BV171+BW220*BW171+BX220*BX171+BY220*BY171+BZ220*BZ171+CA220*CA171+CB220*CB171+CC220*CC171</f>
        <v>0</v>
      </c>
      <c r="CG171" s="2385">
        <f>E221*E171+F221*F171+G221*G171+H221*H171+I221*I171+J221*J171+K221*K171+L221*L171+M221*M171+N221*N171+O221*O171+P221*P171+Q221*Q171+R221*R171+S221*S171+T221*T171+U221*U171+V221*V171+W221*W171+X221*X171+Y221*Y171+Z221*Z171+AA221*AA171+AB221*AB171+AC221*AC171+AD221*AD171+AE221*AE171+AF221*AF171+AG221*AG171+AH221*AH171+AI221*AI171+AJ221*AJ171+AK221*AK171+AL221*AL171+AM221*AM171+AN221*AN171+AO221*AO171+AP221*AP171+AQ221*AQ171+AR221*AR171+AS221*AS171+AT221*AT171+AU221*AU171+AV221*AV171+AW221*AW171+AX221*AX171+AY221*AY171+AZ221*AZ171+BA221*BA171+BB221*BB171+BC221*BC171+BD221*BD171+BE221*BE171+BF221*BF171+BG221*BG171+BH221*BH171+BI221*BI171+BJ221*BJ171+BK221*BK171+BL221*BL171+BM221*BM171+BN221*BN171+BO221*BO171+BP221*BP171+BQ221*BQ171+BR221*BR171+BS221*BS171+BT221*BT171+BU221*BU171+BV221*BV171+BW221*BW171+BX221*BX171+BY221*BY171+BZ221*BZ171+CA221*CA171+CB221*CB171+CC221*CC171</f>
        <v>0</v>
      </c>
      <c r="CH171" s="2386">
        <f>E222*E171+F222*F171+G222*G171+H222*H171+I222*I171+J222*J171+K222*K171+L222*L171+M222*M171+N222*N171+O222*O171+P222*P171+Q222*Q171+R222*R171+S222*S171+T222*T171+U222*U171+V222*V171+W222*W171+X222*X171+Y222*Y171+Z222*Z171+AA222*AA171+AB222*AB171+AC222*AC171+AD222*AD171+AE222*AE171+AF222*AF171+AG222*AG171+AH222*AH171+AI222*AI171+AJ222*AJ171+AK222*AK171+AL222*AL171+AM222*AM171+AN222*AN171+AO222*AO171+AP222*AP171+AQ222*AQ171+AR222*AR171+AS222*AS171+AT222*AT171+AU222*AU171+AV222*AV171+AW222*AW171+AX222*AX171+AY222*AY171+AZ222*AZ171+BA222*BA171+BB222*BB171+BC222*BC171+BD222*BD171+BE222*BE171+BF222*BF171+BG222*BG171+BH222*BH171+BI222*BI171+BJ222*BJ171+BK222*BK171+BL222*BL171+BM222*BM171+BN222*BN171+BO222*BO171+BP222*BP171+BQ222*BQ171+BR222*BR171+BS222*BS171+BT222*BT171+BU222*BU171+BV222*BV171+BW222*BW171+BX222*BX171+BY222*BY171+BZ222*BZ171+CA222*CA171+CB222*CB171+CC222*CC171</f>
        <v>0</v>
      </c>
      <c r="CI171" s="2387">
        <f>E223*E171+F223*F171+G223*G171+H223*H171+I223*I171+J223*J171+K223*K171+L223*L171+M223*M171+N223*N171+O223*O171+P223*P171+Q223*Q171+R223*R171+S223*S171+T223*T171+U223*U171+V223*V171+W223*W171+X223*X171+Y223*Y171+Z223*Z171+AA223*AA171+AB223*AB171+AC223*AC171+AD223*AD171+AE223*AE171+AF223*AF171+AG223*AG171+AH223*AH171+AI223*AI171+AJ223*AJ171+AK223*AK171+AL223*AL171+AM223*AM171+AN223*AN171+AO223*AO171+AP223*AP171+AQ223*AQ171+AR223*AR171+AS223*AS171+AT223*AT171+AU223*AU171+AV223*AV171+AW223*AW171+AX223*AX171+AY223*AY171+AZ223*AZ171+BA223*BA171+BB223*BB171+BC223*BC171+BD223*BD171+BE223*BE171+BF223*BF171+BG223*BG171+BH223*BH171+BI223*BI171+BJ223*BJ171+BK223*BK171+BL223*BL171+BM223*BM171+BN223*BN171+BO223*BO171+BP223*BP171+BQ223*BQ171+BR223*BR171+BS223*BS171+BT223*BT171+BU223*BU171+BV223*BV171+BW223*BW171+BX223*BX171+BY223*BY171+BZ223*BZ171+CA223*CA171+CB223*CB171+CC223*CC171</f>
        <v>0</v>
      </c>
      <c r="CJ171" s="2387">
        <f>E224*E171+F224*F171+G224*G171+H224*H171+I224*I171+J224*J171+K224*K171+L224*L171+M224*M171+N224*N171+O224*O171+P224*P171+Q224*Q171+R224*R171+S224*S171+T224*T171+U224*U171+V224*V171+W224*W171+X224*X171+Y224*Y171+Z224*Z171+AA224*AA171+AB224*AB171+AC224*AC171+AD224*AD171+AE224*AE171+AF224*AF171+AG224*AG171+AH224*AH171+AI224*AI171+AJ224*AJ171+AK224*AK171+AL224*AL171+AM224*AM171+AN224*AN171+AO224*AO171+AP224*AP171+AQ224*AQ171+AR224*AR171+AS224*AS171+AT224*AT171+AU224*AU171+AV224*AV171+AW224*AW171+AX224*AX171+AY224*AY171+AZ224*AZ171+BA224*BA171+BB224*BB171+BC224*BC171+BD224*BD171+BE224*BE171+BF224*BF171+BG224*BG171+BH224*BH171+BI224*BI171+BJ224*BJ171+BK224*BK171+BL224*BL171+BM224*BM171+BN224*BN171+BO224*BO171+BP224*BP171+BQ224*BQ171+BR224*BR171+BS224*BS171+BT224*BT171+BU224*BU171+BV224*BV171+BW224*BW171+BX224*BX171+BY224*BY171+BZ224*BZ171+CA224*CA171+CB224*CB171+CC224*CC171</f>
        <v>0</v>
      </c>
      <c r="CK171" s="2387">
        <f>E225*E171+F225*F171+G225*G171+H225*H171+I225*I171+J225*J171+K225*K171+L225*L171+M225*M171+N225*N171+O225*O171+P225*P171+Q225*Q171+R225*R171+S225*S171+T225*T171+U225*U171+V225*V171+W225*W171+X225*X171+Y225*Y171+Z225*Z171+AA225*AA171+AB225*AB171+AC225*AC171+AD225*AD171+AE225*AE171+AF225*AF171+AG225*AG171+AH225*AH171+AI225*AI171+AJ225*AJ171+AK225*AK171+AL225*AL171+AM225*AM171+AN225*AN171+AO225*AO171+AP225*AP171+AQ225*AQ171+AR225*AR171+AS225*AS171+AT225*AT171+AU225*AU171+AV225*AV171+AW225*AW171+AX225*AX171+AY225*AY171+AZ225*AZ171+BA225*BA171+BB225*BB171+BC225*BC171+BD225*BD171+BE225*BE171+BF225*BF171+BG225*BG171+BH225*BH171+BI225*BI171+BJ225*BJ171+BK225*BK171+BL225*BL171+BM225*BM171+BN225*BN171+BO225*BO171+BP225*BP171+BQ225*BQ171+BR225*BR171+BS225*BS171+BT225*BT171+BU225*BU171+BV225*BV171+BW225*BW171+BX225*BX171+BY225*BY171+BZ225*BZ171+CA225*CA171+CB225*CB171+CC225*CC171</f>
        <v>0</v>
      </c>
      <c r="CL171" s="2387">
        <f>E226*E171+F226*F171+G226*G171+H226*H171+I226*I171+J226*J171+K226*K171+L226*L171+M226*M171+N226*N171+O226*O171+P226*P171+Q226*Q171+R226*R171+S226*S171+T226*T171+U226*U171+V226*V171+W226*W171+X226*X171+Y226*Y171+Z226*Z171+AA226*AA171+AB226*AB171+AC226*AC171+AD226*AD171+AE226*AE171+AF226*AF171+AG226*AG171+AH226*AH171+AI226*AI171+AJ226*AJ171+AK226*AK171+AL226*AL171+AM226*AM171+AN226*AN171+AO226*AO171+AP226*AP171+AQ226*AQ171+AR226*AR171+AS226*AS171+AT226*AT171+AU226*AU171+AV226*AV171+AW226*AW171+AX226*AX171+AY226*AY171+AZ226*AZ171+BA226*BA171+BB226*BB171+BC226*BC171+BD226*BD171+BE226*BE171+BF226*BF171+BG226*BG171+BH226*BH171+BI226*BI171+BJ226*BJ171+BK226*BK171+BL226*BL171+BM226*BM171+BN226*BN171+BO226*BO171+BP226*BP171+BQ226*BQ171+BR226*BR171+BS226*BS171+BT226*BT171+BU226*BU171+BV226*BV171+BW226*BW171+BX226*BX171+BY226*BY171+BZ226*BZ171+CA226*CA171+CB226*CB171+CC226*CC171</f>
        <v>0</v>
      </c>
      <c r="CM171" s="2387">
        <f>E227*E171+F227*F171+G227*G171+H227*H171+I227*I171+J227*J171+K227*K171+L227*L171+M227*M171+N227*N171+O227*O171+P227*P171+Q227*Q171+R227*R171+S227*S171+T227*T171+U227*U171+V227*V171+W227*W171+X227*X171+Y227*Y171+Z227*Z171+AA227*AA171+AB227*AB171+AC227*AC171+AD227*AD171+AE227*AE171+AF227*AF171+AG227*AG171+AH227*AH171+AI227*AI171+AJ227*AJ171+AK227*AK171+AL227*AL171+AM227*AM171+AN227*AN171+AO227*AO171+AP227*AP171+AQ227*AQ171+AR227*AR171+AS227*AS171+AT227*AT171+AU227*AU171+AV227*AV171+AW227*AW171+AX227*AX171+AY227*AY171+AZ227*AZ171+BA227*BA171+BB227*BB171+BC227*BC171+BD227*BD171+BE227*BE171+BF227*BF171+BG227*BG171+BH227*BH171+BI227*BI171+BJ227*BJ171+BK227*BK171+BL227*BL171+BM227*BM171+BN227*BN171+BO227*BO171+BP227*BP171+BQ227*BQ171+BR227*BR171+BS227*BS171+BT227*BT171+BU227*BU171+BV227*BV171+BW227*BW171+BX227*BX171+BY227*BY171+BZ227*BZ171+CA227*CA171+CB227*CB171+CC227*CC171</f>
        <v>0</v>
      </c>
      <c r="CN171" s="2387">
        <f>E228*E171+F228*F171+G228*G171+H228*H171+I228*I171+J228*J171+K228*K171+L228*L171+M228*M171+N228*N171+O228*O171+P228*P171+Q228*Q171+R228*R171+S228*S171+T228*T171+U228*U171+V228*V171+W228*W171+X228*X171+Y228*Y171+Z228*Z171+AA228*AA171+AB228*AB171+AC228*AC171+AD228*AD171+AE228*AE171+AF228*AF171+AG228*AG171+AH228*AH171+AI228*AI171+AJ228*AJ171+AK228*AK171+AL228*AL171+AM228*AM171+AN228*AN171+AO228*AO171+AP228*AP171+AQ228*AQ171+AR228*AR171+AS228*AS171+AT228*AT171+AU228*AU171+AV228*AV171+AW228*AW171+AX228*AX171+AY228*AY171+AZ228*AZ171+BA228*BA171+BB228*BB171+BC228*BC171+BD228*BD171+BE228*BE171+BF228*BF171+BG228*BG171+BH228*BH171+BI228*BI171+BJ228*BJ171+BK228*BK171+BL228*BL171+BM228*BM171+BN228*BN171+BO228*BO171+BP228*BP171+BQ228*BQ171+BR228*BR171+BS228*BS171+BT228*BT171+BU228*BU171+BV228*BV171+BW228*BW171+BX228*BX171+BY228*BY171+BZ228*BZ171+CA228*CA171+CB228*CB171+CC228*CC171</f>
        <v>0</v>
      </c>
      <c r="CO171" s="2387">
        <f>E229*E171+F229*F171+G229*G171+H229*H171+I229*I171+J229*J171+K229*K171+L229*L171+M229*M171+N229*N171+O229*O171+P229*P171+Q229*Q171+R229*R171+S229*S171+T229*T171+U229*U171+V229*V171+W229*W171+X229*X171+Y229*Y171+Z229*Z171+AA229*AA171+AB229*AB171+AC229*AC171+AD229*AD171+AE229*AE171+AF229*AF171+AG229*AG171+AH229*AH171+AI229*AI171+AJ229*AJ171+AK229*AK171+AL229*AL171+AM229*AM171+AN229*AN171+AO229*AO171+AP229*AP171+AQ229*AQ171+AR229*AR171+AS229*AS171+AT229*AT171+AU229*AU171+AV229*AV171+AW229*AW171+AX229*AX171+AY229*AY171+AZ229*AZ171+BA229*BA171+BB229*BB171+BC229*BC171+BD229*BD171+BE229*BE171+BF229*BF171+BG229*BG171+BH229*BH171+BI229*BI171+BJ229*BJ171+BK229*BK171+BL229*BL171+BM229*BM171+BN229*BN171+BO229*BO171+BP229*BP171+BQ229*BQ171+BR229*BR171+BS229*BS171+BT229*BT171+BU229*BU171+BV229*BV171+BW229*BW171+BX229*BX171+BY229*BY171+BZ229*BZ171+CA229*CA171+CB229*CB171+CC229*CC171</f>
        <v>0</v>
      </c>
      <c r="CP171" s="2387">
        <f>E230*E171+F230*F171+G230*G171+H230*H171+I230*I171+J230*J171+K230*K171+L230*L171+M230*M171+N230*N171+O230*O171+P230*P171+Q230*Q171+R230*R171+S230*S171+T230*T171+U230*U171+V230*V171+W230*W171+X230*X171+Y230*Y171+Z230*Z171+AA230*AA171+AB230*AB171+AC230*AC171+AD230*AD171+AE230*AE171+AF230*AF171+AG230*AG171+AH230*AH171+AI230*AI171+AJ230*AJ171+AK230*AK171+AL230*AL171+AM230*AM171+AN230*AN171+AO230*AO171+AP230*AP171+AQ230*AQ171+AR230*AR171+AS230*AS171+AT230*AT171+AU230*AU171+AV230*AV171+AW230*AW171+AX230*AX171+AY230*AY171+AZ230*AZ171+BA230*BA171+BB230*BB171+BC230*BC171+BD230*BD171+BE230*BE171+BF230*BF171+BG230*BG171+BH230*BH171+BI230*BI171+BJ230*BJ171+BK230*BK171+BL230*BL171+BM230*BM171+BN230*BN171+BO230*BO171+BP230*BP171+BQ230*BQ171+BR230*BR171+BS230*BS171+BT230*BT171+BU230*BU171+BV230*BV171+BW230*BW171+BX230*BX171+BY230*BY171+BZ230*BZ171+CA230*CA171+CB230*CB171+CC230*CC171</f>
        <v>0</v>
      </c>
    </row>
    <row r="172" spans="2:94" x14ac:dyDescent="0.25">
      <c r="B172" s="1591">
        <v>53</v>
      </c>
      <c r="C172" s="1530" t="s">
        <v>2166</v>
      </c>
      <c r="D172" s="658" t="s">
        <v>1686</v>
      </c>
      <c r="E172" s="983">
        <f>0</f>
        <v>0</v>
      </c>
      <c r="F172" s="983">
        <f>0</f>
        <v>0</v>
      </c>
      <c r="G172" s="983">
        <f>0</f>
        <v>0</v>
      </c>
      <c r="H172" s="983">
        <f>0</f>
        <v>0</v>
      </c>
      <c r="I172" s="983">
        <f>0</f>
        <v>0</v>
      </c>
      <c r="J172" s="983">
        <f>0</f>
        <v>0</v>
      </c>
      <c r="K172" s="983">
        <f>-1</f>
        <v>-1</v>
      </c>
      <c r="L172" s="983">
        <f>1</f>
        <v>1</v>
      </c>
      <c r="M172" s="983">
        <f>0</f>
        <v>0</v>
      </c>
      <c r="N172" s="983">
        <f>0</f>
        <v>0</v>
      </c>
      <c r="O172" s="983">
        <f>0</f>
        <v>0</v>
      </c>
      <c r="P172" s="983">
        <f>0</f>
        <v>0</v>
      </c>
      <c r="Q172" s="983">
        <f>0</f>
        <v>0</v>
      </c>
      <c r="R172" s="983">
        <f>0</f>
        <v>0</v>
      </c>
      <c r="S172" s="983">
        <f>0</f>
        <v>0</v>
      </c>
      <c r="T172" s="983">
        <f>0</f>
        <v>0</v>
      </c>
      <c r="U172" s="983">
        <f>0</f>
        <v>0</v>
      </c>
      <c r="V172" s="983">
        <f>0</f>
        <v>0</v>
      </c>
      <c r="W172" s="983">
        <f>0</f>
        <v>0</v>
      </c>
      <c r="X172" s="983">
        <f>0</f>
        <v>0</v>
      </c>
      <c r="Y172" s="983">
        <f>0</f>
        <v>0</v>
      </c>
      <c r="Z172" s="983">
        <f>0</f>
        <v>0</v>
      </c>
      <c r="AA172" s="983">
        <f>0</f>
        <v>0</v>
      </c>
      <c r="AB172" s="983">
        <f>0</f>
        <v>0</v>
      </c>
      <c r="AC172" s="983">
        <f>0</f>
        <v>0</v>
      </c>
      <c r="AD172" s="983">
        <f>0</f>
        <v>0</v>
      </c>
      <c r="AE172" s="983">
        <f>i_N_CU</f>
        <v>0.01</v>
      </c>
      <c r="AF172" s="983">
        <f>0</f>
        <v>0</v>
      </c>
      <c r="AG172" s="983">
        <f>0</f>
        <v>0</v>
      </c>
      <c r="AH172" s="983">
        <f>0</f>
        <v>0</v>
      </c>
      <c r="AI172" s="983">
        <f>0</f>
        <v>0</v>
      </c>
      <c r="AJ172" s="983">
        <f>i_P_CU</f>
        <v>2E-3</v>
      </c>
      <c r="AK172" s="983">
        <f>0</f>
        <v>0</v>
      </c>
      <c r="AL172" s="983">
        <f>0</f>
        <v>0</v>
      </c>
      <c r="AM172" s="983">
        <f>0</f>
        <v>0</v>
      </c>
      <c r="AN172" s="983">
        <f>0</f>
        <v>0</v>
      </c>
      <c r="AO172" s="983">
        <f>0</f>
        <v>0</v>
      </c>
      <c r="AP172" s="983">
        <f>0</f>
        <v>0</v>
      </c>
      <c r="AQ172" s="983">
        <f>0</f>
        <v>0</v>
      </c>
      <c r="AR172" s="983">
        <f>0</f>
        <v>0</v>
      </c>
      <c r="AS172" s="983">
        <f>0</f>
        <v>0</v>
      </c>
      <c r="AT172" s="983">
        <f>0</f>
        <v>0</v>
      </c>
      <c r="AU172" s="983">
        <f>0</f>
        <v>0</v>
      </c>
      <c r="AV172" s="983">
        <f>0</f>
        <v>0</v>
      </c>
      <c r="AW172" s="983">
        <f>0</f>
        <v>0</v>
      </c>
      <c r="AX172" s="983">
        <f>0</f>
        <v>0</v>
      </c>
      <c r="AY172" s="983">
        <f>0</f>
        <v>0</v>
      </c>
      <c r="AZ172" s="983">
        <f>0</f>
        <v>0</v>
      </c>
      <c r="BA172" s="983">
        <f>0</f>
        <v>0</v>
      </c>
      <c r="BB172" s="983">
        <f>0</f>
        <v>0</v>
      </c>
      <c r="BC172" s="983">
        <f>0</f>
        <v>0</v>
      </c>
      <c r="BD172" s="983">
        <f>0</f>
        <v>0</v>
      </c>
      <c r="BE172" s="983">
        <f>0</f>
        <v>0</v>
      </c>
      <c r="BF172" s="983">
        <f>0</f>
        <v>0</v>
      </c>
      <c r="BG172" s="983">
        <f>0</f>
        <v>0</v>
      </c>
      <c r="BH172" s="983">
        <f>0</f>
        <v>0</v>
      </c>
      <c r="BI172" s="983">
        <f>0</f>
        <v>0</v>
      </c>
      <c r="BJ172" s="983">
        <f>0</f>
        <v>0</v>
      </c>
      <c r="BK172" s="983">
        <f>0</f>
        <v>0</v>
      </c>
      <c r="BL172" s="1622">
        <f>0</f>
        <v>0</v>
      </c>
      <c r="BM172" s="983">
        <f>0</f>
        <v>0</v>
      </c>
      <c r="BN172" s="983">
        <f>0</f>
        <v>0</v>
      </c>
      <c r="BO172" s="983">
        <f>0</f>
        <v>0</v>
      </c>
      <c r="BP172" s="1427">
        <f>0</f>
        <v>0</v>
      </c>
      <c r="BQ172" s="2376">
        <f>0</f>
        <v>0</v>
      </c>
      <c r="BR172" s="983">
        <f>0</f>
        <v>0</v>
      </c>
      <c r="BS172" s="983">
        <f>0</f>
        <v>0</v>
      </c>
      <c r="BT172" s="983">
        <f>0</f>
        <v>0</v>
      </c>
      <c r="BU172" s="983">
        <f>0</f>
        <v>0</v>
      </c>
      <c r="BV172" s="983">
        <f>0</f>
        <v>0</v>
      </c>
      <c r="BW172" s="983">
        <f>0</f>
        <v>0</v>
      </c>
      <c r="BX172" s="983">
        <f>0</f>
        <v>0</v>
      </c>
      <c r="BY172" s="983">
        <f>0</f>
        <v>0</v>
      </c>
      <c r="BZ172" s="983">
        <f>0</f>
        <v>0</v>
      </c>
      <c r="CA172" s="983">
        <f>0</f>
        <v>0</v>
      </c>
      <c r="CB172" s="983">
        <f>0</f>
        <v>0</v>
      </c>
      <c r="CC172" s="983">
        <f>0</f>
        <v>0</v>
      </c>
      <c r="CD172" s="1656">
        <f>q_FLOC_T*X_BIO*M_RsatCU_XBIO_KFLOC</f>
        <v>495.30736743313008</v>
      </c>
      <c r="CF172" s="2385">
        <f>E220*E172+F220*F172+G220*G172+H220*H172+I220*I172+J220*J172+K220*K172+L220*L172+M220*M172+N220*N172+O220*O172+P220*P172+Q220*Q172+R220*R172+S220*S172+T220*T172+U220*U172+V220*V172+W220*W172+X220*X172+Y220*Y172+Z220*Z172+AA220*AA172+AB220*AB172+AC220*AC172+AD220*AD172+AE220*AE172+AF220*AF172+AG220*AG172+AH220*AH172+AI220*AI172+AJ220*AJ172+AK220*AK172+AL220*AL172+AM220*AM172+AN220*AN172+AO220*AO172+AP220*AP172+AQ220*AQ172+AR220*AR172+AS220*AS172+AT220*AT172+AU220*AU172+AV220*AV172+AW220*AW172+AX220*AX172+AY220*AY172+AZ220*AZ172+BA220*BA172+BB220*BB172+BC220*BC172+BD220*BD172+BE220*BE172+BF220*BF172+BG220*BG172+BH220*BH172+BI220*BI172+BJ220*BJ172+BK220*BK172+BL220*BL172+BM220*BM172+BN220*BN172+BO220*BO172+BP220*BP172+BQ220*BQ172+BR220*BR172+BS220*BS172+BT220*BT172+BU220*BU172+BV220*BV172+BW220*BW172+BX220*BX172+BY220*BY172+BZ220*BZ172+CA220*CA172+CB220*CB172+CC220*CC172</f>
        <v>0</v>
      </c>
      <c r="CG172" s="2385">
        <f>E221*E172+F221*F172+G221*G172+H221*H172+I221*I172+J221*J172+K221*K172+L221*L172+M221*M172+N221*N172+O221*O172+P221*P172+Q221*Q172+R221*R172+S221*S172+T221*T172+U221*U172+V221*V172+W221*W172+X221*X172+Y221*Y172+Z221*Z172+AA221*AA172+AB221*AB172+AC221*AC172+AD221*AD172+AE221*AE172+AF221*AF172+AG221*AG172+AH221*AH172+AI221*AI172+AJ221*AJ172+AK221*AK172+AL221*AL172+AM221*AM172+AN221*AN172+AO221*AO172+AP221*AP172+AQ221*AQ172+AR221*AR172+AS221*AS172+AT221*AT172+AU221*AU172+AV221*AV172+AW221*AW172+AX221*AX172+AY221*AY172+AZ221*AZ172+BA221*BA172+BB221*BB172+BC221*BC172+BD221*BD172+BE221*BE172+BF221*BF172+BG221*BG172+BH221*BH172+BI221*BI172+BJ221*BJ172+BK221*BK172+BL221*BL172+BM221*BM172+BN221*BN172+BO221*BO172+BP221*BP172+BQ221*BQ172+BR221*BR172+BS221*BS172+BT221*BT172+BU221*BU172+BV221*BV172+BW221*BW172+BX221*BX172+BY221*BY172+BZ221*BZ172+CA221*CA172+CB221*CB172+CC221*CC172</f>
        <v>0</v>
      </c>
      <c r="CH172" s="2386">
        <f>E222*E172+F222*F172+G222*G172+H222*H172+I222*I172+J222*J172+K222*K172+L222*L172+M222*M172+N222*N172+O222*O172+P222*P172+Q222*Q172+R222*R172+S222*S172+T222*T172+U222*U172+V222*V172+W222*W172+X222*X172+Y222*Y172+Z222*Z172+AA222*AA172+AB222*AB172+AC222*AC172+AD222*AD172+AE222*AE172+AF222*AF172+AG222*AG172+AH222*AH172+AI222*AI172+AJ222*AJ172+AK222*AK172+AL222*AL172+AM222*AM172+AN222*AN172+AO222*AO172+AP222*AP172+AQ222*AQ172+AR222*AR172+AS222*AS172+AT222*AT172+AU222*AU172+AV222*AV172+AW222*AW172+AX222*AX172+AY222*AY172+AZ222*AZ172+BA222*BA172+BB222*BB172+BC222*BC172+BD222*BD172+BE222*BE172+BF222*BF172+BG222*BG172+BH222*BH172+BI222*BI172+BJ222*BJ172+BK222*BK172+BL222*BL172+BM222*BM172+BN222*BN172+BO222*BO172+BP222*BP172+BQ222*BQ172+BR222*BR172+BS222*BS172+BT222*BT172+BU222*BU172+BV222*BV172+BW222*BW172+BX222*BX172+BY222*BY172+BZ222*BZ172+CA222*CA172+CB222*CB172+CC222*CC172</f>
        <v>0</v>
      </c>
      <c r="CI172" s="2387">
        <f>E223*E172+F223*F172+G223*G172+H223*H172+I223*I172+J223*J172+K223*K172+L223*L172+M223*M172+N223*N172+O223*O172+P223*P172+Q223*Q172+R223*R172+S223*S172+T223*T172+U223*U172+V223*V172+W223*W172+X223*X172+Y223*Y172+Z223*Z172+AA223*AA172+AB223*AB172+AC223*AC172+AD223*AD172+AE223*AE172+AF223*AF172+AG223*AG172+AH223*AH172+AI223*AI172+AJ223*AJ172+AK223*AK172+AL223*AL172+AM223*AM172+AN223*AN172+AO223*AO172+AP223*AP172+AQ223*AQ172+AR223*AR172+AS223*AS172+AT223*AT172+AU223*AU172+AV223*AV172+AW223*AW172+AX223*AX172+AY223*AY172+AZ223*AZ172+BA223*BA172+BB223*BB172+BC223*BC172+BD223*BD172+BE223*BE172+BF223*BF172+BG223*BG172+BH223*BH172+BI223*BI172+BJ223*BJ172+BK223*BK172+BL223*BL172+BM223*BM172+BN223*BN172+BO223*BO172+BP223*BP172+BQ223*BQ172+BR223*BR172+BS223*BS172+BT223*BT172+BU223*BU172+BV223*BV172+BW223*BW172+BX223*BX172+BY223*BY172+BZ223*BZ172+CA223*CA172+CB223*CB172+CC223*CC172</f>
        <v>0</v>
      </c>
      <c r="CJ172" s="2387">
        <f>E224*E172+F224*F172+G224*G172+H224*H172+I224*I172+J224*J172+K224*K172+L224*L172+M224*M172+N224*N172+O224*O172+P224*P172+Q224*Q172+R224*R172+S224*S172+T224*T172+U224*U172+V224*V172+W224*W172+X224*X172+Y224*Y172+Z224*Z172+AA224*AA172+AB224*AB172+AC224*AC172+AD224*AD172+AE224*AE172+AF224*AF172+AG224*AG172+AH224*AH172+AI224*AI172+AJ224*AJ172+AK224*AK172+AL224*AL172+AM224*AM172+AN224*AN172+AO224*AO172+AP224*AP172+AQ224*AQ172+AR224*AR172+AS224*AS172+AT224*AT172+AU224*AU172+AV224*AV172+AW224*AW172+AX224*AX172+AY224*AY172+AZ224*AZ172+BA224*BA172+BB224*BB172+BC224*BC172+BD224*BD172+BE224*BE172+BF224*BF172+BG224*BG172+BH224*BH172+BI224*BI172+BJ224*BJ172+BK224*BK172+BL224*BL172+BM224*BM172+BN224*BN172+BO224*BO172+BP224*BP172+BQ224*BQ172+BR224*BR172+BS224*BS172+BT224*BT172+BU224*BU172+BV224*BV172+BW224*BW172+BX224*BX172+BY224*BY172+BZ224*BZ172+CA224*CA172+CB224*CB172+CC224*CC172</f>
        <v>0</v>
      </c>
      <c r="CK172" s="2387">
        <f>E225*E172+F225*F172+G225*G172+H225*H172+I225*I172+J225*J172+K225*K172+L225*L172+M225*M172+N225*N172+O225*O172+P225*P172+Q225*Q172+R225*R172+S225*S172+T225*T172+U225*U172+V225*V172+W225*W172+X225*X172+Y225*Y172+Z225*Z172+AA225*AA172+AB225*AB172+AC225*AC172+AD225*AD172+AE225*AE172+AF225*AF172+AG225*AG172+AH225*AH172+AI225*AI172+AJ225*AJ172+AK225*AK172+AL225*AL172+AM225*AM172+AN225*AN172+AO225*AO172+AP225*AP172+AQ225*AQ172+AR225*AR172+AS225*AS172+AT225*AT172+AU225*AU172+AV225*AV172+AW225*AW172+AX225*AX172+AY225*AY172+AZ225*AZ172+BA225*BA172+BB225*BB172+BC225*BC172+BD225*BD172+BE225*BE172+BF225*BF172+BG225*BG172+BH225*BH172+BI225*BI172+BJ225*BJ172+BK225*BK172+BL225*BL172+BM225*BM172+BN225*BN172+BO225*BO172+BP225*BP172+BQ225*BQ172+BR225*BR172+BS225*BS172+BT225*BT172+BU225*BU172+BV225*BV172+BW225*BW172+BX225*BX172+BY225*BY172+BZ225*BZ172+CA225*CA172+CB225*CB172+CC225*CC172</f>
        <v>0</v>
      </c>
      <c r="CL172" s="2387">
        <f>E226*E172+F226*F172+G226*G172+H226*H172+I226*I172+J226*J172+K226*K172+L226*L172+M226*M172+N226*N172+O226*O172+P226*P172+Q226*Q172+R226*R172+S226*S172+T226*T172+U226*U172+V226*V172+W226*W172+X226*X172+Y226*Y172+Z226*Z172+AA226*AA172+AB226*AB172+AC226*AC172+AD226*AD172+AE226*AE172+AF226*AF172+AG226*AG172+AH226*AH172+AI226*AI172+AJ226*AJ172+AK226*AK172+AL226*AL172+AM226*AM172+AN226*AN172+AO226*AO172+AP226*AP172+AQ226*AQ172+AR226*AR172+AS226*AS172+AT226*AT172+AU226*AU172+AV226*AV172+AW226*AW172+AX226*AX172+AY226*AY172+AZ226*AZ172+BA226*BA172+BB226*BB172+BC226*BC172+BD226*BD172+BE226*BE172+BF226*BF172+BG226*BG172+BH226*BH172+BI226*BI172+BJ226*BJ172+BK226*BK172+BL226*BL172+BM226*BM172+BN226*BN172+BO226*BO172+BP226*BP172+BQ226*BQ172+BR226*BR172+BS226*BS172+BT226*BT172+BU226*BU172+BV226*BV172+BW226*BW172+BX226*BX172+BY226*BY172+BZ226*BZ172+CA226*CA172+CB226*CB172+CC226*CC172</f>
        <v>0</v>
      </c>
      <c r="CM172" s="2387">
        <f>E227*E172+F227*F172+G227*G172+H227*H172+I227*I172+J227*J172+K227*K172+L227*L172+M227*M172+N227*N172+O227*O172+P227*P172+Q227*Q172+R227*R172+S227*S172+T227*T172+U227*U172+V227*V172+W227*W172+X227*X172+Y227*Y172+Z227*Z172+AA227*AA172+AB227*AB172+AC227*AC172+AD227*AD172+AE227*AE172+AF227*AF172+AG227*AG172+AH227*AH172+AI227*AI172+AJ227*AJ172+AK227*AK172+AL227*AL172+AM227*AM172+AN227*AN172+AO227*AO172+AP227*AP172+AQ227*AQ172+AR227*AR172+AS227*AS172+AT227*AT172+AU227*AU172+AV227*AV172+AW227*AW172+AX227*AX172+AY227*AY172+AZ227*AZ172+BA227*BA172+BB227*BB172+BC227*BC172+BD227*BD172+BE227*BE172+BF227*BF172+BG227*BG172+BH227*BH172+BI227*BI172+BJ227*BJ172+BK227*BK172+BL227*BL172+BM227*BM172+BN227*BN172+BO227*BO172+BP227*BP172+BQ227*BQ172+BR227*BR172+BS227*BS172+BT227*BT172+BU227*BU172+BV227*BV172+BW227*BW172+BX227*BX172+BY227*BY172+BZ227*BZ172+CA227*CA172+CB227*CB172+CC227*CC172</f>
        <v>0</v>
      </c>
      <c r="CN172" s="2387">
        <f>E228*E172+F228*F172+G228*G172+H228*H172+I228*I172+J228*J172+K228*K172+L228*L172+M228*M172+N228*N172+O228*O172+P228*P172+Q228*Q172+R228*R172+S228*S172+T228*T172+U228*U172+V228*V172+W228*W172+X228*X172+Y228*Y172+Z228*Z172+AA228*AA172+AB228*AB172+AC228*AC172+AD228*AD172+AE228*AE172+AF228*AF172+AG228*AG172+AH228*AH172+AI228*AI172+AJ228*AJ172+AK228*AK172+AL228*AL172+AM228*AM172+AN228*AN172+AO228*AO172+AP228*AP172+AQ228*AQ172+AR228*AR172+AS228*AS172+AT228*AT172+AU228*AU172+AV228*AV172+AW228*AW172+AX228*AX172+AY228*AY172+AZ228*AZ172+BA228*BA172+BB228*BB172+BC228*BC172+BD228*BD172+BE228*BE172+BF228*BF172+BG228*BG172+BH228*BH172+BI228*BI172+BJ228*BJ172+BK228*BK172+BL228*BL172+BM228*BM172+BN228*BN172+BO228*BO172+BP228*BP172+BQ228*BQ172+BR228*BR172+BS228*BS172+BT228*BT172+BU228*BU172+BV228*BV172+BW228*BW172+BX228*BX172+BY228*BY172+BZ228*BZ172+CA228*CA172+CB228*CB172+CC228*CC172</f>
        <v>0</v>
      </c>
      <c r="CO172" s="2387">
        <f>E229*E172+F229*F172+G229*G172+H229*H172+I229*I172+J229*J172+K229*K172+L229*L172+M229*M172+N229*N172+O229*O172+P229*P172+Q229*Q172+R229*R172+S229*S172+T229*T172+U229*U172+V229*V172+W229*W172+X229*X172+Y229*Y172+Z229*Z172+AA229*AA172+AB229*AB172+AC229*AC172+AD229*AD172+AE229*AE172+AF229*AF172+AG229*AG172+AH229*AH172+AI229*AI172+AJ229*AJ172+AK229*AK172+AL229*AL172+AM229*AM172+AN229*AN172+AO229*AO172+AP229*AP172+AQ229*AQ172+AR229*AR172+AS229*AS172+AT229*AT172+AU229*AU172+AV229*AV172+AW229*AW172+AX229*AX172+AY229*AY172+AZ229*AZ172+BA229*BA172+BB229*BB172+BC229*BC172+BD229*BD172+BE229*BE172+BF229*BF172+BG229*BG172+BH229*BH172+BI229*BI172+BJ229*BJ172+BK229*BK172+BL229*BL172+BM229*BM172+BN229*BN172+BO229*BO172+BP229*BP172+BQ229*BQ172+BR229*BR172+BS229*BS172+BT229*BT172+BU229*BU172+BV229*BV172+BW229*BW172+BX229*BX172+BY229*BY172+BZ229*BZ172+CA229*CA172+CB229*CB172+CC229*CC172</f>
        <v>0</v>
      </c>
      <c r="CP172" s="2387">
        <f>E230*E172+F230*F172+G230*G172+H230*H172+I230*I172+J230*J172+K230*K172+L230*L172+M230*M172+N230*N172+O230*O172+P230*P172+Q230*Q172+R230*R172+S230*S172+T230*T172+U230*U172+V230*V172+W230*W172+X230*X172+Y230*Y172+Z230*Z172+AA230*AA172+AB230*AB172+AC230*AC172+AD230*AD172+AE230*AE172+AF230*AF172+AG230*AG172+AH230*AH172+AI230*AI172+AJ230*AJ172+AK230*AK172+AL230*AL172+AM230*AM172+AN230*AN172+AO230*AO172+AP230*AP172+AQ230*AQ172+AR230*AR172+AS230*AS172+AT230*AT172+AU230*AU172+AV230*AV172+AW230*AW172+AX230*AX172+AY230*AY172+AZ230*AZ172+BA230*BA172+BB230*BB172+BC230*BC172+BD230*BD172+BE230*BE172+BF230*BF172+BG230*BG172+BH230*BH172+BI230*BI172+BJ230*BJ172+BK230*BK172+BL230*BL172+BM230*BM172+BN230*BN172+BO230*BO172+BP230*BP172+BQ230*BQ172+BR230*BR172+BS230*BS172+BT230*BT172+BU230*BU172+BV230*BV172+BW230*BW172+BX230*BX172+BY230*BY172+BZ230*BZ172+CA230*CA172+CB230*CB172+CC230*CC172</f>
        <v>0</v>
      </c>
    </row>
    <row r="173" spans="2:94" x14ac:dyDescent="0.25">
      <c r="B173" s="1591">
        <v>54</v>
      </c>
      <c r="C173" s="1531" t="s">
        <v>2167</v>
      </c>
      <c r="D173" s="771" t="s">
        <v>3435</v>
      </c>
      <c r="E173" s="983">
        <f>0</f>
        <v>0</v>
      </c>
      <c r="F173" s="983">
        <f>0</f>
        <v>0</v>
      </c>
      <c r="G173" s="983">
        <f>0</f>
        <v>0</v>
      </c>
      <c r="H173" s="983">
        <f>-1</f>
        <v>-1</v>
      </c>
      <c r="I173" s="983">
        <f>1</f>
        <v>1</v>
      </c>
      <c r="J173" s="983">
        <f>0</f>
        <v>0</v>
      </c>
      <c r="K173" s="983">
        <f>0</f>
        <v>0</v>
      </c>
      <c r="L173" s="983">
        <f>0</f>
        <v>0</v>
      </c>
      <c r="M173" s="983">
        <f>0</f>
        <v>0</v>
      </c>
      <c r="N173" s="983">
        <f>0</f>
        <v>0</v>
      </c>
      <c r="O173" s="983">
        <f>0</f>
        <v>0</v>
      </c>
      <c r="P173" s="983">
        <f>0</f>
        <v>0</v>
      </c>
      <c r="Q173" s="983">
        <f>0</f>
        <v>0</v>
      </c>
      <c r="R173" s="983">
        <f>0</f>
        <v>0</v>
      </c>
      <c r="S173" s="983">
        <f>0</f>
        <v>0</v>
      </c>
      <c r="T173" s="983">
        <f>0</f>
        <v>0</v>
      </c>
      <c r="U173" s="983">
        <f>0</f>
        <v>0</v>
      </c>
      <c r="V173" s="983">
        <f>0</f>
        <v>0</v>
      </c>
      <c r="W173" s="983">
        <f>0</f>
        <v>0</v>
      </c>
      <c r="X173" s="983">
        <f>0</f>
        <v>0</v>
      </c>
      <c r="Y173" s="983">
        <f>0</f>
        <v>0</v>
      </c>
      <c r="Z173" s="983">
        <f>0</f>
        <v>0</v>
      </c>
      <c r="AA173" s="983">
        <f>0</f>
        <v>0</v>
      </c>
      <c r="AB173" s="983">
        <f>0</f>
        <v>0</v>
      </c>
      <c r="AC173" s="983">
        <f>0</f>
        <v>0</v>
      </c>
      <c r="AD173" s="983">
        <f>i_N_CB</f>
        <v>0.01</v>
      </c>
      <c r="AE173" s="983">
        <f>0</f>
        <v>0</v>
      </c>
      <c r="AF173" s="983">
        <f>0</f>
        <v>0</v>
      </c>
      <c r="AG173" s="983">
        <f>0</f>
        <v>0</v>
      </c>
      <c r="AH173" s="983">
        <f>0</f>
        <v>0</v>
      </c>
      <c r="AI173" s="983">
        <f>i_P_CB</f>
        <v>2E-3</v>
      </c>
      <c r="AJ173" s="983">
        <f>0</f>
        <v>0</v>
      </c>
      <c r="AK173" s="983">
        <f>0</f>
        <v>0</v>
      </c>
      <c r="AL173" s="983">
        <f>0</f>
        <v>0</v>
      </c>
      <c r="AM173" s="983">
        <f>0</f>
        <v>0</v>
      </c>
      <c r="AN173" s="983">
        <f>0</f>
        <v>0</v>
      </c>
      <c r="AO173" s="983">
        <f>0</f>
        <v>0</v>
      </c>
      <c r="AP173" s="983">
        <f>0</f>
        <v>0</v>
      </c>
      <c r="AQ173" s="983">
        <f>0</f>
        <v>0</v>
      </c>
      <c r="AR173" s="983">
        <f>0</f>
        <v>0</v>
      </c>
      <c r="AS173" s="983">
        <f>0</f>
        <v>0</v>
      </c>
      <c r="AT173" s="983">
        <f>0</f>
        <v>0</v>
      </c>
      <c r="AU173" s="983">
        <f>0</f>
        <v>0</v>
      </c>
      <c r="AV173" s="983">
        <f>0</f>
        <v>0</v>
      </c>
      <c r="AW173" s="983">
        <f>0</f>
        <v>0</v>
      </c>
      <c r="AX173" s="983">
        <f>0</f>
        <v>0</v>
      </c>
      <c r="AY173" s="983">
        <f>0</f>
        <v>0</v>
      </c>
      <c r="AZ173" s="983">
        <f>0</f>
        <v>0</v>
      </c>
      <c r="BA173" s="983">
        <f>0</f>
        <v>0</v>
      </c>
      <c r="BB173" s="983">
        <f>0</f>
        <v>0</v>
      </c>
      <c r="BC173" s="983">
        <f>0</f>
        <v>0</v>
      </c>
      <c r="BD173" s="983">
        <f>0</f>
        <v>0</v>
      </c>
      <c r="BE173" s="983">
        <f>0</f>
        <v>0</v>
      </c>
      <c r="BF173" s="983">
        <f>0</f>
        <v>0</v>
      </c>
      <c r="BG173" s="983">
        <f>0</f>
        <v>0</v>
      </c>
      <c r="BH173" s="983">
        <f>0</f>
        <v>0</v>
      </c>
      <c r="BI173" s="983">
        <f>0</f>
        <v>0</v>
      </c>
      <c r="BJ173" s="983">
        <f>0</f>
        <v>0</v>
      </c>
      <c r="BK173" s="983">
        <f>0</f>
        <v>0</v>
      </c>
      <c r="BL173" s="1622">
        <f>0</f>
        <v>0</v>
      </c>
      <c r="BM173" s="983">
        <f>0</f>
        <v>0</v>
      </c>
      <c r="BN173" s="983">
        <f>0</f>
        <v>0</v>
      </c>
      <c r="BO173" s="983">
        <f>0</f>
        <v>0</v>
      </c>
      <c r="BP173" s="1427">
        <f>0</f>
        <v>0</v>
      </c>
      <c r="BQ173" s="2376">
        <f>0</f>
        <v>0</v>
      </c>
      <c r="BR173" s="983">
        <f>0</f>
        <v>0</v>
      </c>
      <c r="BS173" s="983">
        <f>0</f>
        <v>0</v>
      </c>
      <c r="BT173" s="983">
        <f>0</f>
        <v>0</v>
      </c>
      <c r="BU173" s="983">
        <f>0</f>
        <v>0</v>
      </c>
      <c r="BV173" s="983">
        <f>0</f>
        <v>0</v>
      </c>
      <c r="BW173" s="983">
        <f>0</f>
        <v>0</v>
      </c>
      <c r="BX173" s="983">
        <f>0</f>
        <v>0</v>
      </c>
      <c r="BY173" s="983">
        <f>0</f>
        <v>0</v>
      </c>
      <c r="BZ173" s="983">
        <f>0</f>
        <v>0</v>
      </c>
      <c r="CA173" s="983">
        <f>0</f>
        <v>0</v>
      </c>
      <c r="CB173" s="983">
        <f>0</f>
        <v>0</v>
      </c>
      <c r="CC173" s="983">
        <f>0</f>
        <v>0</v>
      </c>
      <c r="CD173" s="1657">
        <f>r_ateFLOC_CB_polymer</f>
        <v>0</v>
      </c>
      <c r="CF173" s="2385">
        <f>E220*E173+F220*F173+G220*G173+H220*H173+I220*I173+J220*J173+K220*K173+L220*L173+M220*M173+N220*N173+O220*O173+P220*P173+Q220*Q173+R220*R173+S220*S173+T220*T173+U220*U173+V220*V173+W220*W173+X220*X173+Y220*Y173+Z220*Z173+AA220*AA173+AB220*AB173+AC220*AC173+AD220*AD173+AE220*AE173+AF220*AF173+AG220*AG173+AH220*AH173+AI220*AI173+AJ220*AJ173+AK220*AK173+AL220*AL173+AM220*AM173+AN220*AN173+AO220*AO173+AP220*AP173+AQ220*AQ173+AR220*AR173+AS220*AS173+AT220*AT173+AU220*AU173+AV220*AV173+AW220*AW173+AX220*AX173+AY220*AY173+AZ220*AZ173+BA220*BA173+BB220*BB173+BC220*BC173+BD220*BD173+BE220*BE173+BF220*BF173+BG220*BG173+BH220*BH173+BI220*BI173+BJ220*BJ173+BK220*BK173+BL220*BL173+BM220*BM173+BN220*BN173+BO220*BO173+BP220*BP173+BQ220*BQ173+BR220*BR173+BS220*BS173+BT220*BT173+BU220*BU173+BV220*BV173+BW220*BW173+BX220*BX173+BY220*BY173+BZ220*BZ173+CA220*CA173+CB220*CB173+CC220*CC173</f>
        <v>0</v>
      </c>
      <c r="CG173" s="2385">
        <f>E221*E173+F221*F173+G221*G173+H221*H173+I221*I173+J221*J173+K221*K173+L221*L173+M221*M173+N221*N173+O221*O173+P221*P173+Q221*Q173+R221*R173+S221*S173+T221*T173+U221*U173+V221*V173+W221*W173+X221*X173+Y221*Y173+Z221*Z173+AA221*AA173+AB221*AB173+AC221*AC173+AD221*AD173+AE221*AE173+AF221*AF173+AG221*AG173+AH221*AH173+AI221*AI173+AJ221*AJ173+AK221*AK173+AL221*AL173+AM221*AM173+AN221*AN173+AO221*AO173+AP221*AP173+AQ221*AQ173+AR221*AR173+AS221*AS173+AT221*AT173+AU221*AU173+AV221*AV173+AW221*AW173+AX221*AX173+AY221*AY173+AZ221*AZ173+BA221*BA173+BB221*BB173+BC221*BC173+BD221*BD173+BE221*BE173+BF221*BF173+BG221*BG173+BH221*BH173+BI221*BI173+BJ221*BJ173+BK221*BK173+BL221*BL173+BM221*BM173+BN221*BN173+BO221*BO173+BP221*BP173+BQ221*BQ173+BR221*BR173+BS221*BS173+BT221*BT173+BU221*BU173+BV221*BV173+BW221*BW173+BX221*BX173+BY221*BY173+BZ221*BZ173+CA221*CA173+CB221*CB173+CC221*CC173</f>
        <v>0</v>
      </c>
      <c r="CH173" s="2386">
        <f>E222*E173+F222*F173+G222*G173+H222*H173+I222*I173+J222*J173+K222*K173+L222*L173+M222*M173+N222*N173+O222*O173+P222*P173+Q222*Q173+R222*R173+S222*S173+T222*T173+U222*U173+V222*V173+W222*W173+X222*X173+Y222*Y173+Z222*Z173+AA222*AA173+AB222*AB173+AC222*AC173+AD222*AD173+AE222*AE173+AF222*AF173+AG222*AG173+AH222*AH173+AI222*AI173+AJ222*AJ173+AK222*AK173+AL222*AL173+AM222*AM173+AN222*AN173+AO222*AO173+AP222*AP173+AQ222*AQ173+AR222*AR173+AS222*AS173+AT222*AT173+AU222*AU173+AV222*AV173+AW222*AW173+AX222*AX173+AY222*AY173+AZ222*AZ173+BA222*BA173+BB222*BB173+BC222*BC173+BD222*BD173+BE222*BE173+BF222*BF173+BG222*BG173+BH222*BH173+BI222*BI173+BJ222*BJ173+BK222*BK173+BL222*BL173+BM222*BM173+BN222*BN173+BO222*BO173+BP222*BP173+BQ222*BQ173+BR222*BR173+BS222*BS173+BT222*BT173+BU222*BU173+BV222*BV173+BW222*BW173+BX222*BX173+BY222*BY173+BZ222*BZ173+CA222*CA173+CB222*CB173+CC222*CC173</f>
        <v>0</v>
      </c>
      <c r="CI173" s="2387">
        <f>E223*E173+F223*F173+G223*G173+H223*H173+I223*I173+J223*J173+K223*K173+L223*L173+M223*M173+N223*N173+O223*O173+P223*P173+Q223*Q173+R223*R173+S223*S173+T223*T173+U223*U173+V223*V173+W223*W173+X223*X173+Y223*Y173+Z223*Z173+AA223*AA173+AB223*AB173+AC223*AC173+AD223*AD173+AE223*AE173+AF223*AF173+AG223*AG173+AH223*AH173+AI223*AI173+AJ223*AJ173+AK223*AK173+AL223*AL173+AM223*AM173+AN223*AN173+AO223*AO173+AP223*AP173+AQ223*AQ173+AR223*AR173+AS223*AS173+AT223*AT173+AU223*AU173+AV223*AV173+AW223*AW173+AX223*AX173+AY223*AY173+AZ223*AZ173+BA223*BA173+BB223*BB173+BC223*BC173+BD223*BD173+BE223*BE173+BF223*BF173+BG223*BG173+BH223*BH173+BI223*BI173+BJ223*BJ173+BK223*BK173+BL223*BL173+BM223*BM173+BN223*BN173+BO223*BO173+BP223*BP173+BQ223*BQ173+BR223*BR173+BS223*BS173+BT223*BT173+BU223*BU173+BV223*BV173+BW223*BW173+BX223*BX173+BY223*BY173+BZ223*BZ173+CA223*CA173+CB223*CB173+CC223*CC173</f>
        <v>0</v>
      </c>
      <c r="CJ173" s="2387">
        <f>E224*E173+F224*F173+G224*G173+H224*H173+I224*I173+J224*J173+K224*K173+L224*L173+M224*M173+N224*N173+O224*O173+P224*P173+Q224*Q173+R224*R173+S224*S173+T224*T173+U224*U173+V224*V173+W224*W173+X224*X173+Y224*Y173+Z224*Z173+AA224*AA173+AB224*AB173+AC224*AC173+AD224*AD173+AE224*AE173+AF224*AF173+AG224*AG173+AH224*AH173+AI224*AI173+AJ224*AJ173+AK224*AK173+AL224*AL173+AM224*AM173+AN224*AN173+AO224*AO173+AP224*AP173+AQ224*AQ173+AR224*AR173+AS224*AS173+AT224*AT173+AU224*AU173+AV224*AV173+AW224*AW173+AX224*AX173+AY224*AY173+AZ224*AZ173+BA224*BA173+BB224*BB173+BC224*BC173+BD224*BD173+BE224*BE173+BF224*BF173+BG224*BG173+BH224*BH173+BI224*BI173+BJ224*BJ173+BK224*BK173+BL224*BL173+BM224*BM173+BN224*BN173+BO224*BO173+BP224*BP173+BQ224*BQ173+BR224*BR173+BS224*BS173+BT224*BT173+BU224*BU173+BV224*BV173+BW224*BW173+BX224*BX173+BY224*BY173+BZ224*BZ173+CA224*CA173+CB224*CB173+CC224*CC173</f>
        <v>0</v>
      </c>
      <c r="CK173" s="2387">
        <f>E225*E173+F225*F173+G225*G173+H225*H173+I225*I173+J225*J173+K225*K173+L225*L173+M225*M173+N225*N173+O225*O173+P225*P173+Q225*Q173+R225*R173+S225*S173+T225*T173+U225*U173+V225*V173+W225*W173+X225*X173+Y225*Y173+Z225*Z173+AA225*AA173+AB225*AB173+AC225*AC173+AD225*AD173+AE225*AE173+AF225*AF173+AG225*AG173+AH225*AH173+AI225*AI173+AJ225*AJ173+AK225*AK173+AL225*AL173+AM225*AM173+AN225*AN173+AO225*AO173+AP225*AP173+AQ225*AQ173+AR225*AR173+AS225*AS173+AT225*AT173+AU225*AU173+AV225*AV173+AW225*AW173+AX225*AX173+AY225*AY173+AZ225*AZ173+BA225*BA173+BB225*BB173+BC225*BC173+BD225*BD173+BE225*BE173+BF225*BF173+BG225*BG173+BH225*BH173+BI225*BI173+BJ225*BJ173+BK225*BK173+BL225*BL173+BM225*BM173+BN225*BN173+BO225*BO173+BP225*BP173+BQ225*BQ173+BR225*BR173+BS225*BS173+BT225*BT173+BU225*BU173+BV225*BV173+BW225*BW173+BX225*BX173+BY225*BY173+BZ225*BZ173+CA225*CA173+CB225*CB173+CC225*CC173</f>
        <v>0</v>
      </c>
      <c r="CL173" s="2387">
        <f>E226*E173+F226*F173+G226*G173+H226*H173+I226*I173+J226*J173+K226*K173+L226*L173+M226*M173+N226*N173+O226*O173+P226*P173+Q226*Q173+R226*R173+S226*S173+T226*T173+U226*U173+V226*V173+W226*W173+X226*X173+Y226*Y173+Z226*Z173+AA226*AA173+AB226*AB173+AC226*AC173+AD226*AD173+AE226*AE173+AF226*AF173+AG226*AG173+AH226*AH173+AI226*AI173+AJ226*AJ173+AK226*AK173+AL226*AL173+AM226*AM173+AN226*AN173+AO226*AO173+AP226*AP173+AQ226*AQ173+AR226*AR173+AS226*AS173+AT226*AT173+AU226*AU173+AV226*AV173+AW226*AW173+AX226*AX173+AY226*AY173+AZ226*AZ173+BA226*BA173+BB226*BB173+BC226*BC173+BD226*BD173+BE226*BE173+BF226*BF173+BG226*BG173+BH226*BH173+BI226*BI173+BJ226*BJ173+BK226*BK173+BL226*BL173+BM226*BM173+BN226*BN173+BO226*BO173+BP226*BP173+BQ226*BQ173+BR226*BR173+BS226*BS173+BT226*BT173+BU226*BU173+BV226*BV173+BW226*BW173+BX226*BX173+BY226*BY173+BZ226*BZ173+CA226*CA173+CB226*CB173+CC226*CC173</f>
        <v>0</v>
      </c>
      <c r="CM173" s="2387">
        <f>E227*E173+F227*F173+G227*G173+H227*H173+I227*I173+J227*J173+K227*K173+L227*L173+M227*M173+N227*N173+O227*O173+P227*P173+Q227*Q173+R227*R173+S227*S173+T227*T173+U227*U173+V227*V173+W227*W173+X227*X173+Y227*Y173+Z227*Z173+AA227*AA173+AB227*AB173+AC227*AC173+AD227*AD173+AE227*AE173+AF227*AF173+AG227*AG173+AH227*AH173+AI227*AI173+AJ227*AJ173+AK227*AK173+AL227*AL173+AM227*AM173+AN227*AN173+AO227*AO173+AP227*AP173+AQ227*AQ173+AR227*AR173+AS227*AS173+AT227*AT173+AU227*AU173+AV227*AV173+AW227*AW173+AX227*AX173+AY227*AY173+AZ227*AZ173+BA227*BA173+BB227*BB173+BC227*BC173+BD227*BD173+BE227*BE173+BF227*BF173+BG227*BG173+BH227*BH173+BI227*BI173+BJ227*BJ173+BK227*BK173+BL227*BL173+BM227*BM173+BN227*BN173+BO227*BO173+BP227*BP173+BQ227*BQ173+BR227*BR173+BS227*BS173+BT227*BT173+BU227*BU173+BV227*BV173+BW227*BW173+BX227*BX173+BY227*BY173+BZ227*BZ173+CA227*CA173+CB227*CB173+CC227*CC173</f>
        <v>0</v>
      </c>
      <c r="CN173" s="2387">
        <f>E228*E173+F228*F173+G228*G173+H228*H173+I228*I173+J228*J173+K228*K173+L228*L173+M228*M173+N228*N173+O228*O173+P228*P173+Q228*Q173+R228*R173+S228*S173+T228*T173+U228*U173+V228*V173+W228*W173+X228*X173+Y228*Y173+Z228*Z173+AA228*AA173+AB228*AB173+AC228*AC173+AD228*AD173+AE228*AE173+AF228*AF173+AG228*AG173+AH228*AH173+AI228*AI173+AJ228*AJ173+AK228*AK173+AL228*AL173+AM228*AM173+AN228*AN173+AO228*AO173+AP228*AP173+AQ228*AQ173+AR228*AR173+AS228*AS173+AT228*AT173+AU228*AU173+AV228*AV173+AW228*AW173+AX228*AX173+AY228*AY173+AZ228*AZ173+BA228*BA173+BB228*BB173+BC228*BC173+BD228*BD173+BE228*BE173+BF228*BF173+BG228*BG173+BH228*BH173+BI228*BI173+BJ228*BJ173+BK228*BK173+BL228*BL173+BM228*BM173+BN228*BN173+BO228*BO173+BP228*BP173+BQ228*BQ173+BR228*BR173+BS228*BS173+BT228*BT173+BU228*BU173+BV228*BV173+BW228*BW173+BX228*BX173+BY228*BY173+BZ228*BZ173+CA228*CA173+CB228*CB173+CC228*CC173</f>
        <v>0</v>
      </c>
      <c r="CO173" s="2387">
        <f>E229*E173+F229*F173+G229*G173+H229*H173+I229*I173+J229*J173+K229*K173+L229*L173+M229*M173+N229*N173+O229*O173+P229*P173+Q229*Q173+R229*R173+S229*S173+T229*T173+U229*U173+V229*V173+W229*W173+X229*X173+Y229*Y173+Z229*Z173+AA229*AA173+AB229*AB173+AC229*AC173+AD229*AD173+AE229*AE173+AF229*AF173+AG229*AG173+AH229*AH173+AI229*AI173+AJ229*AJ173+AK229*AK173+AL229*AL173+AM229*AM173+AN229*AN173+AO229*AO173+AP229*AP173+AQ229*AQ173+AR229*AR173+AS229*AS173+AT229*AT173+AU229*AU173+AV229*AV173+AW229*AW173+AX229*AX173+AY229*AY173+AZ229*AZ173+BA229*BA173+BB229*BB173+BC229*BC173+BD229*BD173+BE229*BE173+BF229*BF173+BG229*BG173+BH229*BH173+BI229*BI173+BJ229*BJ173+BK229*BK173+BL229*BL173+BM229*BM173+BN229*BN173+BO229*BO173+BP229*BP173+BQ229*BQ173+BR229*BR173+BS229*BS173+BT229*BT173+BU229*BU173+BV229*BV173+BW229*BW173+BX229*BX173+BY229*BY173+BZ229*BZ173+CA229*CA173+CB229*CB173+CC229*CC173</f>
        <v>0</v>
      </c>
      <c r="CP173" s="2387">
        <f>E230*E173+F230*F173+G230*G173+H230*H173+I230*I173+J230*J173+K230*K173+L230*L173+M230*M173+N230*N173+O230*O173+P230*P173+Q230*Q173+R230*R173+S230*S173+T230*T173+U230*U173+V230*V173+W230*W173+X230*X173+Y230*Y173+Z230*Z173+AA230*AA173+AB230*AB173+AC230*AC173+AD230*AD173+AE230*AE173+AF230*AF173+AG230*AG173+AH230*AH173+AI230*AI173+AJ230*AJ173+AK230*AK173+AL230*AL173+AM230*AM173+AN230*AN173+AO230*AO173+AP230*AP173+AQ230*AQ173+AR230*AR173+AS230*AS173+AT230*AT173+AU230*AU173+AV230*AV173+AW230*AW173+AX230*AX173+AY230*AY173+AZ230*AZ173+BA230*BA173+BB230*BB173+BC230*BC173+BD230*BD173+BE230*BE173+BF230*BF173+BG230*BG173+BH230*BH173+BI230*BI173+BJ230*BJ173+BK230*BK173+BL230*BL173+BM230*BM173+BN230*BN173+BO230*BO173+BP230*BP173+BQ230*BQ173+BR230*BR173+BS230*BS173+BT230*BT173+BU230*BU173+BV230*BV173+BW230*BW173+BX230*BX173+BY230*BY173+BZ230*BZ173+CA230*CA173+CB230*CB173+CC230*CC173</f>
        <v>0</v>
      </c>
    </row>
    <row r="174" spans="2:94" x14ac:dyDescent="0.25">
      <c r="B174" s="1591">
        <v>55</v>
      </c>
      <c r="C174" s="1531" t="s">
        <v>2168</v>
      </c>
      <c r="D174" s="771" t="s">
        <v>3436</v>
      </c>
      <c r="E174" s="983">
        <f>0</f>
        <v>0</v>
      </c>
      <c r="F174" s="983">
        <f>0</f>
        <v>0</v>
      </c>
      <c r="G174" s="983">
        <f>0</f>
        <v>0</v>
      </c>
      <c r="H174" s="983">
        <f>0</f>
        <v>0</v>
      </c>
      <c r="I174" s="983">
        <f>0</f>
        <v>0</v>
      </c>
      <c r="J174" s="983">
        <f>0</f>
        <v>0</v>
      </c>
      <c r="K174" s="983">
        <f>-1</f>
        <v>-1</v>
      </c>
      <c r="L174" s="983">
        <f>1</f>
        <v>1</v>
      </c>
      <c r="M174" s="983">
        <f>0</f>
        <v>0</v>
      </c>
      <c r="N174" s="983">
        <f>0</f>
        <v>0</v>
      </c>
      <c r="O174" s="983">
        <f>0</f>
        <v>0</v>
      </c>
      <c r="P174" s="983">
        <f>0</f>
        <v>0</v>
      </c>
      <c r="Q174" s="983">
        <f>0</f>
        <v>0</v>
      </c>
      <c r="R174" s="983">
        <f>0</f>
        <v>0</v>
      </c>
      <c r="S174" s="983">
        <f>0</f>
        <v>0</v>
      </c>
      <c r="T174" s="983">
        <f>0</f>
        <v>0</v>
      </c>
      <c r="U174" s="983">
        <f>0</f>
        <v>0</v>
      </c>
      <c r="V174" s="983">
        <f>0</f>
        <v>0</v>
      </c>
      <c r="W174" s="983">
        <f>0</f>
        <v>0</v>
      </c>
      <c r="X174" s="983">
        <f>0</f>
        <v>0</v>
      </c>
      <c r="Y174" s="983">
        <f>0</f>
        <v>0</v>
      </c>
      <c r="Z174" s="983">
        <f>0</f>
        <v>0</v>
      </c>
      <c r="AA174" s="983">
        <f>0</f>
        <v>0</v>
      </c>
      <c r="AB174" s="983">
        <f>0</f>
        <v>0</v>
      </c>
      <c r="AC174" s="983">
        <f>0</f>
        <v>0</v>
      </c>
      <c r="AD174" s="983">
        <f>0</f>
        <v>0</v>
      </c>
      <c r="AE174" s="983">
        <f>i_N_CU</f>
        <v>0.01</v>
      </c>
      <c r="AF174" s="983">
        <f>0</f>
        <v>0</v>
      </c>
      <c r="AG174" s="983">
        <f>0</f>
        <v>0</v>
      </c>
      <c r="AH174" s="983">
        <f>0</f>
        <v>0</v>
      </c>
      <c r="AI174" s="983">
        <f>0</f>
        <v>0</v>
      </c>
      <c r="AJ174" s="983">
        <f>i_P_CU</f>
        <v>2E-3</v>
      </c>
      <c r="AK174" s="983">
        <f>0</f>
        <v>0</v>
      </c>
      <c r="AL174" s="983">
        <f>0</f>
        <v>0</v>
      </c>
      <c r="AM174" s="983">
        <f>0</f>
        <v>0</v>
      </c>
      <c r="AN174" s="983">
        <f>0</f>
        <v>0</v>
      </c>
      <c r="AO174" s="983">
        <f>0</f>
        <v>0</v>
      </c>
      <c r="AP174" s="983">
        <f>0</f>
        <v>0</v>
      </c>
      <c r="AQ174" s="983">
        <f>0</f>
        <v>0</v>
      </c>
      <c r="AR174" s="983">
        <f>0</f>
        <v>0</v>
      </c>
      <c r="AS174" s="983">
        <f>0</f>
        <v>0</v>
      </c>
      <c r="AT174" s="983">
        <f>0</f>
        <v>0</v>
      </c>
      <c r="AU174" s="983">
        <f>0</f>
        <v>0</v>
      </c>
      <c r="AV174" s="983">
        <f>0</f>
        <v>0</v>
      </c>
      <c r="AW174" s="983">
        <f>0</f>
        <v>0</v>
      </c>
      <c r="AX174" s="983">
        <f>0</f>
        <v>0</v>
      </c>
      <c r="AY174" s="983">
        <f>0</f>
        <v>0</v>
      </c>
      <c r="AZ174" s="983">
        <f>0</f>
        <v>0</v>
      </c>
      <c r="BA174" s="983">
        <f>0</f>
        <v>0</v>
      </c>
      <c r="BB174" s="983">
        <f>0</f>
        <v>0</v>
      </c>
      <c r="BC174" s="983">
        <f>0</f>
        <v>0</v>
      </c>
      <c r="BD174" s="983">
        <f>0</f>
        <v>0</v>
      </c>
      <c r="BE174" s="983">
        <f>0</f>
        <v>0</v>
      </c>
      <c r="BF174" s="983">
        <f>0</f>
        <v>0</v>
      </c>
      <c r="BG174" s="983">
        <f>0</f>
        <v>0</v>
      </c>
      <c r="BH174" s="983">
        <f>0</f>
        <v>0</v>
      </c>
      <c r="BI174" s="983">
        <f>0</f>
        <v>0</v>
      </c>
      <c r="BJ174" s="983">
        <f>0</f>
        <v>0</v>
      </c>
      <c r="BK174" s="983">
        <f>0</f>
        <v>0</v>
      </c>
      <c r="BL174" s="1622">
        <f>0</f>
        <v>0</v>
      </c>
      <c r="BM174" s="983">
        <f>0</f>
        <v>0</v>
      </c>
      <c r="BN174" s="983">
        <f>0</f>
        <v>0</v>
      </c>
      <c r="BO174" s="983">
        <f>0</f>
        <v>0</v>
      </c>
      <c r="BP174" s="1427">
        <f>0</f>
        <v>0</v>
      </c>
      <c r="BQ174" s="2376">
        <f>0</f>
        <v>0</v>
      </c>
      <c r="BR174" s="983">
        <f>0</f>
        <v>0</v>
      </c>
      <c r="BS174" s="983">
        <f>0</f>
        <v>0</v>
      </c>
      <c r="BT174" s="983">
        <f>0</f>
        <v>0</v>
      </c>
      <c r="BU174" s="983">
        <f>0</f>
        <v>0</v>
      </c>
      <c r="BV174" s="983">
        <f>0</f>
        <v>0</v>
      </c>
      <c r="BW174" s="983">
        <f>0</f>
        <v>0</v>
      </c>
      <c r="BX174" s="983">
        <f>0</f>
        <v>0</v>
      </c>
      <c r="BY174" s="983">
        <f>0</f>
        <v>0</v>
      </c>
      <c r="BZ174" s="983">
        <f>0</f>
        <v>0</v>
      </c>
      <c r="CA174" s="983">
        <f>0</f>
        <v>0</v>
      </c>
      <c r="CB174" s="983">
        <f>0</f>
        <v>0</v>
      </c>
      <c r="CC174" s="983">
        <f>0</f>
        <v>0</v>
      </c>
      <c r="CD174" s="1657">
        <f>r_ateFLOC_CU_polymer</f>
        <v>0</v>
      </c>
      <c r="CF174" s="2385">
        <f>E220*E174+F220*F174+G220*G174+H220*H174+I220*I174+J220*J174+K220*K174+L220*L174+M220*M174+N220*N174+O220*O174+P220*P174+Q220*Q174+R220*R174+S220*S174+T220*T174+U220*U174+V220*V174+W220*W174+X220*X174+Y220*Y174+Z220*Z174+AA220*AA174+AB220*AB174+AC220*AC174+AD220*AD174+AE220*AE174+AF220*AF174+AG220*AG174+AH220*AH174+AI220*AI174+AJ220*AJ174+AK220*AK174+AL220*AL174+AM220*AM174+AN220*AN174+AO220*AO174+AP220*AP174+AQ220*AQ174+AR220*AR174+AS220*AS174+AT220*AT174+AU220*AU174+AV220*AV174+AW220*AW174+AX220*AX174+AY220*AY174+AZ220*AZ174+BA220*BA174+BB220*BB174+BC220*BC174+BD220*BD174+BE220*BE174+BF220*BF174+BG220*BG174+BH220*BH174+BI220*BI174+BJ220*BJ174+BK220*BK174+BL220*BL174+BM220*BM174+BN220*BN174+BO220*BO174+BP220*BP174+BQ220*BQ174+BR220*BR174+BS220*BS174+BT220*BT174+BU220*BU174+BV220*BV174+BW220*BW174+BX220*BX174+BY220*BY174+BZ220*BZ174+CA220*CA174+CB220*CB174+CC220*CC174</f>
        <v>0</v>
      </c>
      <c r="CG174" s="2385">
        <f>E221*E174+F221*F174+G221*G174+H221*H174+I221*I174+J221*J174+K221*K174+L221*L174+M221*M174+N221*N174+O221*O174+P221*P174+Q221*Q174+R221*R174+S221*S174+T221*T174+U221*U174+V221*V174+W221*W174+X221*X174+Y221*Y174+Z221*Z174+AA221*AA174+AB221*AB174+AC221*AC174+AD221*AD174+AE221*AE174+AF221*AF174+AG221*AG174+AH221*AH174+AI221*AI174+AJ221*AJ174+AK221*AK174+AL221*AL174+AM221*AM174+AN221*AN174+AO221*AO174+AP221*AP174+AQ221*AQ174+AR221*AR174+AS221*AS174+AT221*AT174+AU221*AU174+AV221*AV174+AW221*AW174+AX221*AX174+AY221*AY174+AZ221*AZ174+BA221*BA174+BB221*BB174+BC221*BC174+BD221*BD174+BE221*BE174+BF221*BF174+BG221*BG174+BH221*BH174+BI221*BI174+BJ221*BJ174+BK221*BK174+BL221*BL174+BM221*BM174+BN221*BN174+BO221*BO174+BP221*BP174+BQ221*BQ174+BR221*BR174+BS221*BS174+BT221*BT174+BU221*BU174+BV221*BV174+BW221*BW174+BX221*BX174+BY221*BY174+BZ221*BZ174+CA221*CA174+CB221*CB174+CC221*CC174</f>
        <v>0</v>
      </c>
      <c r="CH174" s="2386">
        <f>E222*E174+F222*F174+G222*G174+H222*H174+I222*I174+J222*J174+K222*K174+L222*L174+M222*M174+N222*N174+O222*O174+P222*P174+Q222*Q174+R222*R174+S222*S174+T222*T174+U222*U174+V222*V174+W222*W174+X222*X174+Y222*Y174+Z222*Z174+AA222*AA174+AB222*AB174+AC222*AC174+AD222*AD174+AE222*AE174+AF222*AF174+AG222*AG174+AH222*AH174+AI222*AI174+AJ222*AJ174+AK222*AK174+AL222*AL174+AM222*AM174+AN222*AN174+AO222*AO174+AP222*AP174+AQ222*AQ174+AR222*AR174+AS222*AS174+AT222*AT174+AU222*AU174+AV222*AV174+AW222*AW174+AX222*AX174+AY222*AY174+AZ222*AZ174+BA222*BA174+BB222*BB174+BC222*BC174+BD222*BD174+BE222*BE174+BF222*BF174+BG222*BG174+BH222*BH174+BI222*BI174+BJ222*BJ174+BK222*BK174+BL222*BL174+BM222*BM174+BN222*BN174+BO222*BO174+BP222*BP174+BQ222*BQ174+BR222*BR174+BS222*BS174+BT222*BT174+BU222*BU174+BV222*BV174+BW222*BW174+BX222*BX174+BY222*BY174+BZ222*BZ174+CA222*CA174+CB222*CB174+CC222*CC174</f>
        <v>0</v>
      </c>
      <c r="CI174" s="2387">
        <f>E223*E174+F223*F174+G223*G174+H223*H174+I223*I174+J223*J174+K223*K174+L223*L174+M223*M174+N223*N174+O223*O174+P223*P174+Q223*Q174+R223*R174+S223*S174+T223*T174+U223*U174+V223*V174+W223*W174+X223*X174+Y223*Y174+Z223*Z174+AA223*AA174+AB223*AB174+AC223*AC174+AD223*AD174+AE223*AE174+AF223*AF174+AG223*AG174+AH223*AH174+AI223*AI174+AJ223*AJ174+AK223*AK174+AL223*AL174+AM223*AM174+AN223*AN174+AO223*AO174+AP223*AP174+AQ223*AQ174+AR223*AR174+AS223*AS174+AT223*AT174+AU223*AU174+AV223*AV174+AW223*AW174+AX223*AX174+AY223*AY174+AZ223*AZ174+BA223*BA174+BB223*BB174+BC223*BC174+BD223*BD174+BE223*BE174+BF223*BF174+BG223*BG174+BH223*BH174+BI223*BI174+BJ223*BJ174+BK223*BK174+BL223*BL174+BM223*BM174+BN223*BN174+BO223*BO174+BP223*BP174+BQ223*BQ174+BR223*BR174+BS223*BS174+BT223*BT174+BU223*BU174+BV223*BV174+BW223*BW174+BX223*BX174+BY223*BY174+BZ223*BZ174+CA223*CA174+CB223*CB174+CC223*CC174</f>
        <v>0</v>
      </c>
      <c r="CJ174" s="2387">
        <f>E224*E174+F224*F174+G224*G174+H224*H174+I224*I174+J224*J174+K224*K174+L224*L174+M224*M174+N224*N174+O224*O174+P224*P174+Q224*Q174+R224*R174+S224*S174+T224*T174+U224*U174+V224*V174+W224*W174+X224*X174+Y224*Y174+Z224*Z174+AA224*AA174+AB224*AB174+AC224*AC174+AD224*AD174+AE224*AE174+AF224*AF174+AG224*AG174+AH224*AH174+AI224*AI174+AJ224*AJ174+AK224*AK174+AL224*AL174+AM224*AM174+AN224*AN174+AO224*AO174+AP224*AP174+AQ224*AQ174+AR224*AR174+AS224*AS174+AT224*AT174+AU224*AU174+AV224*AV174+AW224*AW174+AX224*AX174+AY224*AY174+AZ224*AZ174+BA224*BA174+BB224*BB174+BC224*BC174+BD224*BD174+BE224*BE174+BF224*BF174+BG224*BG174+BH224*BH174+BI224*BI174+BJ224*BJ174+BK224*BK174+BL224*BL174+BM224*BM174+BN224*BN174+BO224*BO174+BP224*BP174+BQ224*BQ174+BR224*BR174+BS224*BS174+BT224*BT174+BU224*BU174+BV224*BV174+BW224*BW174+BX224*BX174+BY224*BY174+BZ224*BZ174+CA224*CA174+CB224*CB174+CC224*CC174</f>
        <v>0</v>
      </c>
      <c r="CK174" s="2387">
        <f>E225*E174+F225*F174+G225*G174+H225*H174+I225*I174+J225*J174+K225*K174+L225*L174+M225*M174+N225*N174+O225*O174+P225*P174+Q225*Q174+R225*R174+S225*S174+T225*T174+U225*U174+V225*V174+W225*W174+X225*X174+Y225*Y174+Z225*Z174+AA225*AA174+AB225*AB174+AC225*AC174+AD225*AD174+AE225*AE174+AF225*AF174+AG225*AG174+AH225*AH174+AI225*AI174+AJ225*AJ174+AK225*AK174+AL225*AL174+AM225*AM174+AN225*AN174+AO225*AO174+AP225*AP174+AQ225*AQ174+AR225*AR174+AS225*AS174+AT225*AT174+AU225*AU174+AV225*AV174+AW225*AW174+AX225*AX174+AY225*AY174+AZ225*AZ174+BA225*BA174+BB225*BB174+BC225*BC174+BD225*BD174+BE225*BE174+BF225*BF174+BG225*BG174+BH225*BH174+BI225*BI174+BJ225*BJ174+BK225*BK174+BL225*BL174+BM225*BM174+BN225*BN174+BO225*BO174+BP225*BP174+BQ225*BQ174+BR225*BR174+BS225*BS174+BT225*BT174+BU225*BU174+BV225*BV174+BW225*BW174+BX225*BX174+BY225*BY174+BZ225*BZ174+CA225*CA174+CB225*CB174+CC225*CC174</f>
        <v>0</v>
      </c>
      <c r="CL174" s="2387">
        <f>E226*E174+F226*F174+G226*G174+H226*H174+I226*I174+J226*J174+K226*K174+L226*L174+M226*M174+N226*N174+O226*O174+P226*P174+Q226*Q174+R226*R174+S226*S174+T226*T174+U226*U174+V226*V174+W226*W174+X226*X174+Y226*Y174+Z226*Z174+AA226*AA174+AB226*AB174+AC226*AC174+AD226*AD174+AE226*AE174+AF226*AF174+AG226*AG174+AH226*AH174+AI226*AI174+AJ226*AJ174+AK226*AK174+AL226*AL174+AM226*AM174+AN226*AN174+AO226*AO174+AP226*AP174+AQ226*AQ174+AR226*AR174+AS226*AS174+AT226*AT174+AU226*AU174+AV226*AV174+AW226*AW174+AX226*AX174+AY226*AY174+AZ226*AZ174+BA226*BA174+BB226*BB174+BC226*BC174+BD226*BD174+BE226*BE174+BF226*BF174+BG226*BG174+BH226*BH174+BI226*BI174+BJ226*BJ174+BK226*BK174+BL226*BL174+BM226*BM174+BN226*BN174+BO226*BO174+BP226*BP174+BQ226*BQ174+BR226*BR174+BS226*BS174+BT226*BT174+BU226*BU174+BV226*BV174+BW226*BW174+BX226*BX174+BY226*BY174+BZ226*BZ174+CA226*CA174+CB226*CB174+CC226*CC174</f>
        <v>0</v>
      </c>
      <c r="CM174" s="2387">
        <f>E227*E174+F227*F174+G227*G174+H227*H174+I227*I174+J227*J174+K227*K174+L227*L174+M227*M174+N227*N174+O227*O174+P227*P174+Q227*Q174+R227*R174+S227*S174+T227*T174+U227*U174+V227*V174+W227*W174+X227*X174+Y227*Y174+Z227*Z174+AA227*AA174+AB227*AB174+AC227*AC174+AD227*AD174+AE227*AE174+AF227*AF174+AG227*AG174+AH227*AH174+AI227*AI174+AJ227*AJ174+AK227*AK174+AL227*AL174+AM227*AM174+AN227*AN174+AO227*AO174+AP227*AP174+AQ227*AQ174+AR227*AR174+AS227*AS174+AT227*AT174+AU227*AU174+AV227*AV174+AW227*AW174+AX227*AX174+AY227*AY174+AZ227*AZ174+BA227*BA174+BB227*BB174+BC227*BC174+BD227*BD174+BE227*BE174+BF227*BF174+BG227*BG174+BH227*BH174+BI227*BI174+BJ227*BJ174+BK227*BK174+BL227*BL174+BM227*BM174+BN227*BN174+BO227*BO174+BP227*BP174+BQ227*BQ174+BR227*BR174+BS227*BS174+BT227*BT174+BU227*BU174+BV227*BV174+BW227*BW174+BX227*BX174+BY227*BY174+BZ227*BZ174+CA227*CA174+CB227*CB174+CC227*CC174</f>
        <v>0</v>
      </c>
      <c r="CN174" s="2387">
        <f>E228*E174+F228*F174+G228*G174+H228*H174+I228*I174+J228*J174+K228*K174+L228*L174+M228*M174+N228*N174+O228*O174+P228*P174+Q228*Q174+R228*R174+S228*S174+T228*T174+U228*U174+V228*V174+W228*W174+X228*X174+Y228*Y174+Z228*Z174+AA228*AA174+AB228*AB174+AC228*AC174+AD228*AD174+AE228*AE174+AF228*AF174+AG228*AG174+AH228*AH174+AI228*AI174+AJ228*AJ174+AK228*AK174+AL228*AL174+AM228*AM174+AN228*AN174+AO228*AO174+AP228*AP174+AQ228*AQ174+AR228*AR174+AS228*AS174+AT228*AT174+AU228*AU174+AV228*AV174+AW228*AW174+AX228*AX174+AY228*AY174+AZ228*AZ174+BA228*BA174+BB228*BB174+BC228*BC174+BD228*BD174+BE228*BE174+BF228*BF174+BG228*BG174+BH228*BH174+BI228*BI174+BJ228*BJ174+BK228*BK174+BL228*BL174+BM228*BM174+BN228*BN174+BO228*BO174+BP228*BP174+BQ228*BQ174+BR228*BR174+BS228*BS174+BT228*BT174+BU228*BU174+BV228*BV174+BW228*BW174+BX228*BX174+BY228*BY174+BZ228*BZ174+CA228*CA174+CB228*CB174+CC228*CC174</f>
        <v>0</v>
      </c>
      <c r="CO174" s="2387">
        <f>E229*E174+F229*F174+G229*G174+H229*H174+I229*I174+J229*J174+K229*K174+L229*L174+M229*M174+N229*N174+O229*O174+P229*P174+Q229*Q174+R229*R174+S229*S174+T229*T174+U229*U174+V229*V174+W229*W174+X229*X174+Y229*Y174+Z229*Z174+AA229*AA174+AB229*AB174+AC229*AC174+AD229*AD174+AE229*AE174+AF229*AF174+AG229*AG174+AH229*AH174+AI229*AI174+AJ229*AJ174+AK229*AK174+AL229*AL174+AM229*AM174+AN229*AN174+AO229*AO174+AP229*AP174+AQ229*AQ174+AR229*AR174+AS229*AS174+AT229*AT174+AU229*AU174+AV229*AV174+AW229*AW174+AX229*AX174+AY229*AY174+AZ229*AZ174+BA229*BA174+BB229*BB174+BC229*BC174+BD229*BD174+BE229*BE174+BF229*BF174+BG229*BG174+BH229*BH174+BI229*BI174+BJ229*BJ174+BK229*BK174+BL229*BL174+BM229*BM174+BN229*BN174+BO229*BO174+BP229*BP174+BQ229*BQ174+BR229*BR174+BS229*BS174+BT229*BT174+BU229*BU174+BV229*BV174+BW229*BW174+BX229*BX174+BY229*BY174+BZ229*BZ174+CA229*CA174+CB229*CB174+CC229*CC174</f>
        <v>0</v>
      </c>
      <c r="CP174" s="2387">
        <f>E230*E174+F230*F174+G230*G174+H230*H174+I230*I174+J230*J174+K230*K174+L230*L174+M230*M174+N230*N174+O230*O174+P230*P174+Q230*Q174+R230*R174+S230*S174+T230*T174+U230*U174+V230*V174+W230*W174+X230*X174+Y230*Y174+Z230*Z174+AA230*AA174+AB230*AB174+AC230*AC174+AD230*AD174+AE230*AE174+AF230*AF174+AG230*AG174+AH230*AH174+AI230*AI174+AJ230*AJ174+AK230*AK174+AL230*AL174+AM230*AM174+AN230*AN174+AO230*AO174+AP230*AP174+AQ230*AQ174+AR230*AR174+AS230*AS174+AT230*AT174+AU230*AU174+AV230*AV174+AW230*AW174+AX230*AX174+AY230*AY174+AZ230*AZ174+BA230*BA174+BB230*BB174+BC230*BC174+BD230*BD174+BE230*BE174+BF230*BF174+BG230*BG174+BH230*BH174+BI230*BI174+BJ230*BJ174+BK230*BK174+BL230*BL174+BM230*BM174+BN230*BN174+BO230*BO174+BP230*BP174+BQ230*BQ174+BR230*BR174+BS230*BS174+BT230*BT174+BU230*BU174+BV230*BV174+BW230*BW174+BX230*BX174+BY230*BY174+BZ230*BZ174+CA230*CA174+CB230*CB174+CC230*CC174</f>
        <v>0</v>
      </c>
    </row>
    <row r="175" spans="2:94" x14ac:dyDescent="0.25">
      <c r="B175" s="1591">
        <v>56</v>
      </c>
      <c r="C175" s="1530" t="s">
        <v>2169</v>
      </c>
      <c r="D175" s="658" t="s">
        <v>1689</v>
      </c>
      <c r="E175" s="983">
        <f>0</f>
        <v>0</v>
      </c>
      <c r="F175" s="983">
        <f>1</f>
        <v>1</v>
      </c>
      <c r="G175" s="983">
        <f>0</f>
        <v>0</v>
      </c>
      <c r="H175" s="983">
        <f>0</f>
        <v>0</v>
      </c>
      <c r="I175" s="983">
        <f>-1</f>
        <v>-1</v>
      </c>
      <c r="J175" s="983">
        <f>0</f>
        <v>0</v>
      </c>
      <c r="K175" s="983">
        <f>0</f>
        <v>0</v>
      </c>
      <c r="L175" s="983">
        <f>0</f>
        <v>0</v>
      </c>
      <c r="M175" s="983">
        <f>0</f>
        <v>0</v>
      </c>
      <c r="N175" s="983">
        <f>0</f>
        <v>0</v>
      </c>
      <c r="O175" s="983">
        <f>0</f>
        <v>0</v>
      </c>
      <c r="P175" s="983">
        <f>0</f>
        <v>0</v>
      </c>
      <c r="Q175" s="983">
        <f>0</f>
        <v>0</v>
      </c>
      <c r="R175" s="983">
        <f>0</f>
        <v>0</v>
      </c>
      <c r="S175" s="983">
        <f>0</f>
        <v>0</v>
      </c>
      <c r="T175" s="983">
        <f>0</f>
        <v>0</v>
      </c>
      <c r="U175" s="983">
        <f>0</f>
        <v>0</v>
      </c>
      <c r="V175" s="983">
        <f>0</f>
        <v>0</v>
      </c>
      <c r="W175" s="983">
        <f>0</f>
        <v>0</v>
      </c>
      <c r="X175" s="983">
        <f>0</f>
        <v>0</v>
      </c>
      <c r="Y175" s="983">
        <f>0</f>
        <v>0</v>
      </c>
      <c r="Z175" s="983">
        <f>0</f>
        <v>0</v>
      </c>
      <c r="AA175" s="983">
        <f>0</f>
        <v>0</v>
      </c>
      <c r="AB175" s="983">
        <f>0</f>
        <v>0</v>
      </c>
      <c r="AC175" s="984">
        <f>X_N_B/X_B</f>
        <v>7.1428571428571425E-2</v>
      </c>
      <c r="AD175" s="984">
        <f>-X_N_B/X_B</f>
        <v>-7.1428571428571425E-2</v>
      </c>
      <c r="AE175" s="983">
        <f>0</f>
        <v>0</v>
      </c>
      <c r="AF175" s="983">
        <f>0</f>
        <v>0</v>
      </c>
      <c r="AG175" s="983">
        <f>0</f>
        <v>0</v>
      </c>
      <c r="AH175" s="984">
        <f>X_P_B/X_B</f>
        <v>3.5714285714285712E-2</v>
      </c>
      <c r="AI175" s="984">
        <f>-X_P_B/X_B</f>
        <v>-3.5714285714285712E-2</v>
      </c>
      <c r="AJ175" s="983">
        <f>0</f>
        <v>0</v>
      </c>
      <c r="AK175" s="983">
        <f>0</f>
        <v>0</v>
      </c>
      <c r="AL175" s="983">
        <f>0</f>
        <v>0</v>
      </c>
      <c r="AM175" s="983">
        <f>0</f>
        <v>0</v>
      </c>
      <c r="AN175" s="983">
        <f>0</f>
        <v>0</v>
      </c>
      <c r="AO175" s="983">
        <f>0</f>
        <v>0</v>
      </c>
      <c r="AP175" s="983">
        <f>0</f>
        <v>0</v>
      </c>
      <c r="AQ175" s="983">
        <f>0</f>
        <v>0</v>
      </c>
      <c r="AR175" s="983">
        <f>0</f>
        <v>0</v>
      </c>
      <c r="AS175" s="983">
        <f>0</f>
        <v>0</v>
      </c>
      <c r="AT175" s="983">
        <f>0</f>
        <v>0</v>
      </c>
      <c r="AU175" s="983">
        <f>0</f>
        <v>0</v>
      </c>
      <c r="AV175" s="983">
        <f>0</f>
        <v>0</v>
      </c>
      <c r="AW175" s="983">
        <f>0</f>
        <v>0</v>
      </c>
      <c r="AX175" s="983">
        <f>0</f>
        <v>0</v>
      </c>
      <c r="AY175" s="983">
        <f>0</f>
        <v>0</v>
      </c>
      <c r="AZ175" s="983">
        <f>0</f>
        <v>0</v>
      </c>
      <c r="BA175" s="983">
        <f>0</f>
        <v>0</v>
      </c>
      <c r="BB175" s="983">
        <f>0</f>
        <v>0</v>
      </c>
      <c r="BC175" s="983">
        <f>0</f>
        <v>0</v>
      </c>
      <c r="BD175" s="983">
        <f>0</f>
        <v>0</v>
      </c>
      <c r="BE175" s="983">
        <f>0</f>
        <v>0</v>
      </c>
      <c r="BF175" s="983">
        <f>0</f>
        <v>0</v>
      </c>
      <c r="BG175" s="983">
        <f>0</f>
        <v>0</v>
      </c>
      <c r="BH175" s="983">
        <f>0</f>
        <v>0</v>
      </c>
      <c r="BI175" s="983">
        <f>0</f>
        <v>0</v>
      </c>
      <c r="BJ175" s="983">
        <f>0</f>
        <v>0</v>
      </c>
      <c r="BK175" s="983">
        <f>0</f>
        <v>0</v>
      </c>
      <c r="BL175" s="1622">
        <f>0</f>
        <v>0</v>
      </c>
      <c r="BM175" s="983">
        <f>0</f>
        <v>0</v>
      </c>
      <c r="BN175" s="983">
        <f>0</f>
        <v>0</v>
      </c>
      <c r="BO175" s="983">
        <f>0</f>
        <v>0</v>
      </c>
      <c r="BP175" s="1427">
        <f>0</f>
        <v>0</v>
      </c>
      <c r="BQ175" s="2376">
        <f>0</f>
        <v>0</v>
      </c>
      <c r="BR175" s="983">
        <f>0</f>
        <v>0</v>
      </c>
      <c r="BS175" s="983">
        <f>0</f>
        <v>0</v>
      </c>
      <c r="BT175" s="983">
        <f>0</f>
        <v>0</v>
      </c>
      <c r="BU175" s="983">
        <f>0</f>
        <v>0</v>
      </c>
      <c r="BV175" s="983">
        <f>0</f>
        <v>0</v>
      </c>
      <c r="BW175" s="983">
        <f>0</f>
        <v>0</v>
      </c>
      <c r="BX175" s="983">
        <f>0</f>
        <v>0</v>
      </c>
      <c r="BY175" s="983">
        <f>0</f>
        <v>0</v>
      </c>
      <c r="BZ175" s="983">
        <f>0</f>
        <v>0</v>
      </c>
      <c r="CA175" s="983">
        <f>0</f>
        <v>0</v>
      </c>
      <c r="CB175" s="983">
        <f>0</f>
        <v>0</v>
      </c>
      <c r="CC175" s="983">
        <f>0</f>
        <v>0</v>
      </c>
      <c r="CD175" s="1656">
        <f>q_HYD_T*X_BIO*M_RsatXB_XBIO_KHYD*(M_satSO2_KO2_OHO+η_HYD_anox*(M_satSNO2_KNO2_OHO+M_satSNO3_KNO3_OHO*M_inhSNO2_KNO2_OHO)*M_inhSO2_KO2_OHO+η_HYD_ana*M_inhSNO3_KNO3_OHO*M_inhSNO2_KNO2_OHO*M_inhSO2_KO2_OHO)</f>
        <v>427.15157636282908</v>
      </c>
      <c r="CF175" s="2385">
        <f>E220*E175+F220*F175+G220*G175+H220*H175+I220*I175+J220*J175+K220*K175+L220*L175+M220*M175+N220*N175+O220*O175+P220*P175+Q220*Q175+R220*R175+S220*S175+T220*T175+U220*U175+V220*V175+W220*W175+X220*X175+Y220*Y175+Z220*Z175+AA220*AA175+AB220*AB175+AC220*AC175+AD220*AD175+AE220*AE175+AF220*AF175+AG220*AG175+AH220*AH175+AI220*AI175+AJ220*AJ175+AK220*AK175+AL220*AL175+AM220*AM175+AN220*AN175+AO220*AO175+AP220*AP175+AQ220*AQ175+AR220*AR175+AS220*AS175+AT220*AT175+AU220*AU175+AV220*AV175+AW220*AW175+AX220*AX175+AY220*AY175+AZ220*AZ175+BA220*BA175+BB220*BB175+BC220*BC175+BD220*BD175+BE220*BE175+BF220*BF175+BG220*BG175+BH220*BH175+BI220*BI175+BJ220*BJ175+BK220*BK175+BL220*BL175+BM220*BM175+BN220*BN175+BO220*BO175+BP220*BP175+BQ220*BQ175+BR220*BR175+BS220*BS175+BT220*BT175+BU220*BU175+BV220*BV175+BW220*BW175+BX220*BX175+BY220*BY175+BZ220*BZ175+CA220*CA175+CB220*CB175+CC220*CC175</f>
        <v>0</v>
      </c>
      <c r="CG175" s="2385">
        <f>E221*E175+F221*F175+G221*G175+H221*H175+I221*I175+J221*J175+K221*K175+L221*L175+M221*M175+N221*N175+O221*O175+P221*P175+Q221*Q175+R221*R175+S221*S175+T221*T175+U221*U175+V221*V175+W221*W175+X221*X175+Y221*Y175+Z221*Z175+AA221*AA175+AB221*AB175+AC221*AC175+AD221*AD175+AE221*AE175+AF221*AF175+AG221*AG175+AH221*AH175+AI221*AI175+AJ221*AJ175+AK221*AK175+AL221*AL175+AM221*AM175+AN221*AN175+AO221*AO175+AP221*AP175+AQ221*AQ175+AR221*AR175+AS221*AS175+AT221*AT175+AU221*AU175+AV221*AV175+AW221*AW175+AX221*AX175+AY221*AY175+AZ221*AZ175+BA221*BA175+BB221*BB175+BC221*BC175+BD221*BD175+BE221*BE175+BF221*BF175+BG221*BG175+BH221*BH175+BI221*BI175+BJ221*BJ175+BK221*BK175+BL221*BL175+BM221*BM175+BN221*BN175+BO221*BO175+BP221*BP175+BQ221*BQ175+BR221*BR175+BS221*BS175+BT221*BT175+BU221*BU175+BV221*BV175+BW221*BW175+BX221*BX175+BY221*BY175+BZ221*BZ175+CA221*CA175+CB221*CB175+CC221*CC175</f>
        <v>0</v>
      </c>
      <c r="CH175" s="2386">
        <f>E222*E175+F222*F175+G222*G175+H222*H175+I222*I175+J222*J175+K222*K175+L222*L175+M222*M175+N222*N175+O222*O175+P222*P175+Q222*Q175+R222*R175+S222*S175+T222*T175+U222*U175+V222*V175+W222*W175+X222*X175+Y222*Y175+Z222*Z175+AA222*AA175+AB222*AB175+AC222*AC175+AD222*AD175+AE222*AE175+AF222*AF175+AG222*AG175+AH222*AH175+AI222*AI175+AJ222*AJ175+AK222*AK175+AL222*AL175+AM222*AM175+AN222*AN175+AO222*AO175+AP222*AP175+AQ222*AQ175+AR222*AR175+AS222*AS175+AT222*AT175+AU222*AU175+AV222*AV175+AW222*AW175+AX222*AX175+AY222*AY175+AZ222*AZ175+BA222*BA175+BB222*BB175+BC222*BC175+BD222*BD175+BE222*BE175+BF222*BF175+BG222*BG175+BH222*BH175+BI222*BI175+BJ222*BJ175+BK222*BK175+BL222*BL175+BM222*BM175+BN222*BN175+BO222*BO175+BP222*BP175+BQ222*BQ175+BR222*BR175+BS222*BS175+BT222*BT175+BU222*BU175+BV222*BV175+BW222*BW175+BX222*BX175+BY222*BY175+BZ222*BZ175+CA222*CA175+CB222*CB175+CC222*CC175</f>
        <v>0</v>
      </c>
      <c r="CI175" s="2387">
        <f>E223*E175+F223*F175+G223*G175+H223*H175+I223*I175+J223*J175+K223*K175+L223*L175+M223*M175+N223*N175+O223*O175+P223*P175+Q223*Q175+R223*R175+S223*S175+T223*T175+U223*U175+V223*V175+W223*W175+X223*X175+Y223*Y175+Z223*Z175+AA223*AA175+AB223*AB175+AC223*AC175+AD223*AD175+AE223*AE175+AF223*AF175+AG223*AG175+AH223*AH175+AI223*AI175+AJ223*AJ175+AK223*AK175+AL223*AL175+AM223*AM175+AN223*AN175+AO223*AO175+AP223*AP175+AQ223*AQ175+AR223*AR175+AS223*AS175+AT223*AT175+AU223*AU175+AV223*AV175+AW223*AW175+AX223*AX175+AY223*AY175+AZ223*AZ175+BA223*BA175+BB223*BB175+BC223*BC175+BD223*BD175+BE223*BE175+BF223*BF175+BG223*BG175+BH223*BH175+BI223*BI175+BJ223*BJ175+BK223*BK175+BL223*BL175+BM223*BM175+BN223*BN175+BO223*BO175+BP223*BP175+BQ223*BQ175+BR223*BR175+BS223*BS175+BT223*BT175+BU223*BU175+BV223*BV175+BW223*BW175+BX223*BX175+BY223*BY175+BZ223*BZ175+CA223*CA175+CB223*CB175+CC223*CC175</f>
        <v>0</v>
      </c>
      <c r="CJ175" s="2387">
        <f>E224*E175+F224*F175+G224*G175+H224*H175+I224*I175+J224*J175+K224*K175+L224*L175+M224*M175+N224*N175+O224*O175+P224*P175+Q224*Q175+R224*R175+S224*S175+T224*T175+U224*U175+V224*V175+W224*W175+X224*X175+Y224*Y175+Z224*Z175+AA224*AA175+AB224*AB175+AC224*AC175+AD224*AD175+AE224*AE175+AF224*AF175+AG224*AG175+AH224*AH175+AI224*AI175+AJ224*AJ175+AK224*AK175+AL224*AL175+AM224*AM175+AN224*AN175+AO224*AO175+AP224*AP175+AQ224*AQ175+AR224*AR175+AS224*AS175+AT224*AT175+AU224*AU175+AV224*AV175+AW224*AW175+AX224*AX175+AY224*AY175+AZ224*AZ175+BA224*BA175+BB224*BB175+BC224*BC175+BD224*BD175+BE224*BE175+BF224*BF175+BG224*BG175+BH224*BH175+BI224*BI175+BJ224*BJ175+BK224*BK175+BL224*BL175+BM224*BM175+BN224*BN175+BO224*BO175+BP224*BP175+BQ224*BQ175+BR224*BR175+BS224*BS175+BT224*BT175+BU224*BU175+BV224*BV175+BW224*BW175+BX224*BX175+BY224*BY175+BZ224*BZ175+CA224*CA175+CB224*CB175+CC224*CC175</f>
        <v>0</v>
      </c>
      <c r="CK175" s="2387">
        <f>E225*E175+F225*F175+G225*G175+H225*H175+I225*I175+J225*J175+K225*K175+L225*L175+M225*M175+N225*N175+O225*O175+P225*P175+Q225*Q175+R225*R175+S225*S175+T225*T175+U225*U175+V225*V175+W225*W175+X225*X175+Y225*Y175+Z225*Z175+AA225*AA175+AB225*AB175+AC225*AC175+AD225*AD175+AE225*AE175+AF225*AF175+AG225*AG175+AH225*AH175+AI225*AI175+AJ225*AJ175+AK225*AK175+AL225*AL175+AM225*AM175+AN225*AN175+AO225*AO175+AP225*AP175+AQ225*AQ175+AR225*AR175+AS225*AS175+AT225*AT175+AU225*AU175+AV225*AV175+AW225*AW175+AX225*AX175+AY225*AY175+AZ225*AZ175+BA225*BA175+BB225*BB175+BC225*BC175+BD225*BD175+BE225*BE175+BF225*BF175+BG225*BG175+BH225*BH175+BI225*BI175+BJ225*BJ175+BK225*BK175+BL225*BL175+BM225*BM175+BN225*BN175+BO225*BO175+BP225*BP175+BQ225*BQ175+BR225*BR175+BS225*BS175+BT225*BT175+BU225*BU175+BV225*BV175+BW225*BW175+BX225*BX175+BY225*BY175+BZ225*BZ175+CA225*CA175+CB225*CB175+CC225*CC175</f>
        <v>0</v>
      </c>
      <c r="CL175" s="2387">
        <f>E226*E175+F226*F175+G226*G175+H226*H175+I226*I175+J226*J175+K226*K175+L226*L175+M226*M175+N226*N175+O226*O175+P226*P175+Q226*Q175+R226*R175+S226*S175+T226*T175+U226*U175+V226*V175+W226*W175+X226*X175+Y226*Y175+Z226*Z175+AA226*AA175+AB226*AB175+AC226*AC175+AD226*AD175+AE226*AE175+AF226*AF175+AG226*AG175+AH226*AH175+AI226*AI175+AJ226*AJ175+AK226*AK175+AL226*AL175+AM226*AM175+AN226*AN175+AO226*AO175+AP226*AP175+AQ226*AQ175+AR226*AR175+AS226*AS175+AT226*AT175+AU226*AU175+AV226*AV175+AW226*AW175+AX226*AX175+AY226*AY175+AZ226*AZ175+BA226*BA175+BB226*BB175+BC226*BC175+BD226*BD175+BE226*BE175+BF226*BF175+BG226*BG175+BH226*BH175+BI226*BI175+BJ226*BJ175+BK226*BK175+BL226*BL175+BM226*BM175+BN226*BN175+BO226*BO175+BP226*BP175+BQ226*BQ175+BR226*BR175+BS226*BS175+BT226*BT175+BU226*BU175+BV226*BV175+BW226*BW175+BX226*BX175+BY226*BY175+BZ226*BZ175+CA226*CA175+CB226*CB175+CC226*CC175</f>
        <v>0</v>
      </c>
      <c r="CM175" s="2387">
        <f>E227*E175+F227*F175+G227*G175+H227*H175+I227*I175+J227*J175+K227*K175+L227*L175+M227*M175+N227*N175+O227*O175+P227*P175+Q227*Q175+R227*R175+S227*S175+T227*T175+U227*U175+V227*V175+W227*W175+X227*X175+Y227*Y175+Z227*Z175+AA227*AA175+AB227*AB175+AC227*AC175+AD227*AD175+AE227*AE175+AF227*AF175+AG227*AG175+AH227*AH175+AI227*AI175+AJ227*AJ175+AK227*AK175+AL227*AL175+AM227*AM175+AN227*AN175+AO227*AO175+AP227*AP175+AQ227*AQ175+AR227*AR175+AS227*AS175+AT227*AT175+AU227*AU175+AV227*AV175+AW227*AW175+AX227*AX175+AY227*AY175+AZ227*AZ175+BA227*BA175+BB227*BB175+BC227*BC175+BD227*BD175+BE227*BE175+BF227*BF175+BG227*BG175+BH227*BH175+BI227*BI175+BJ227*BJ175+BK227*BK175+BL227*BL175+BM227*BM175+BN227*BN175+BO227*BO175+BP227*BP175+BQ227*BQ175+BR227*BR175+BS227*BS175+BT227*BT175+BU227*BU175+BV227*BV175+BW227*BW175+BX227*BX175+BY227*BY175+BZ227*BZ175+CA227*CA175+CB227*CB175+CC227*CC175</f>
        <v>0</v>
      </c>
      <c r="CN175" s="2387">
        <f>E228*E175+F228*F175+G228*G175+H228*H175+I228*I175+J228*J175+K228*K175+L228*L175+M228*M175+N228*N175+O228*O175+P228*P175+Q228*Q175+R228*R175+S228*S175+T228*T175+U228*U175+V228*V175+W228*W175+X228*X175+Y228*Y175+Z228*Z175+AA228*AA175+AB228*AB175+AC228*AC175+AD228*AD175+AE228*AE175+AF228*AF175+AG228*AG175+AH228*AH175+AI228*AI175+AJ228*AJ175+AK228*AK175+AL228*AL175+AM228*AM175+AN228*AN175+AO228*AO175+AP228*AP175+AQ228*AQ175+AR228*AR175+AS228*AS175+AT228*AT175+AU228*AU175+AV228*AV175+AW228*AW175+AX228*AX175+AY228*AY175+AZ228*AZ175+BA228*BA175+BB228*BB175+BC228*BC175+BD228*BD175+BE228*BE175+BF228*BF175+BG228*BG175+BH228*BH175+BI228*BI175+BJ228*BJ175+BK228*BK175+BL228*BL175+BM228*BM175+BN228*BN175+BO228*BO175+BP228*BP175+BQ228*BQ175+BR228*BR175+BS228*BS175+BT228*BT175+BU228*BU175+BV228*BV175+BW228*BW175+BX228*BX175+BY228*BY175+BZ228*BZ175+CA228*CA175+CB228*CB175+CC228*CC175</f>
        <v>0</v>
      </c>
      <c r="CO175" s="2387">
        <f>E229*E175+F229*F175+G229*G175+H229*H175+I229*I175+J229*J175+K229*K175+L229*L175+M229*M175+N229*N175+O229*O175+P229*P175+Q229*Q175+R229*R175+S229*S175+T229*T175+U229*U175+V229*V175+W229*W175+X229*X175+Y229*Y175+Z229*Z175+AA229*AA175+AB229*AB175+AC229*AC175+AD229*AD175+AE229*AE175+AF229*AF175+AG229*AG175+AH229*AH175+AI229*AI175+AJ229*AJ175+AK229*AK175+AL229*AL175+AM229*AM175+AN229*AN175+AO229*AO175+AP229*AP175+AQ229*AQ175+AR229*AR175+AS229*AS175+AT229*AT175+AU229*AU175+AV229*AV175+AW229*AW175+AX229*AX175+AY229*AY175+AZ229*AZ175+BA229*BA175+BB229*BB175+BC229*BC175+BD229*BD175+BE229*BE175+BF229*BF175+BG229*BG175+BH229*BH175+BI229*BI175+BJ229*BJ175+BK229*BK175+BL229*BL175+BM229*BM175+BN229*BN175+BO229*BO175+BP229*BP175+BQ229*BQ175+BR229*BR175+BS229*BS175+BT229*BT175+BU229*BU175+BV229*BV175+BW229*BW175+BX229*BX175+BY229*BY175+BZ229*BZ175+CA229*CA175+CB229*CB175+CC229*CC175</f>
        <v>0</v>
      </c>
      <c r="CP175" s="2387">
        <f>E230*E175+F230*F175+G230*G175+H230*H175+I230*I175+J230*J175+K230*K175+L230*L175+M230*M175+N230*N175+O230*O175+P230*P175+Q230*Q175+R230*R175+S230*S175+T230*T175+U230*U175+V230*V175+W230*W175+X230*X175+Y230*Y175+Z230*Z175+AA230*AA175+AB230*AB175+AC230*AC175+AD230*AD175+AE230*AE175+AF230*AF175+AG230*AG175+AH230*AH175+AI230*AI175+AJ230*AJ175+AK230*AK175+AL230*AL175+AM230*AM175+AN230*AN175+AO230*AO175+AP230*AP175+AQ230*AQ175+AR230*AR175+AS230*AS175+AT230*AT175+AU230*AU175+AV230*AV175+AW230*AW175+AX230*AX175+AY230*AY175+AZ230*AZ175+BA230*BA175+BB230*BB175+BC230*BC175+BD230*BD175+BE230*BE175+BF230*BF175+BG230*BG175+BH230*BH175+BI230*BI175+BJ230*BJ175+BK230*BK175+BL230*BL175+BM230*BM175+BN230*BN175+BO230*BO175+BP230*BP175+BQ230*BQ175+BR230*BR175+BS230*BS175+BT230*BT175+BU230*BU175+BV230*BV175+BW230*BW175+BX230*BX175+BY230*BY175+BZ230*BZ175+CA230*CA175+CB230*CB175+CC230*CC175</f>
        <v>0</v>
      </c>
    </row>
    <row r="176" spans="2:94" x14ac:dyDescent="0.25">
      <c r="B176" s="1591">
        <v>57</v>
      </c>
      <c r="C176" s="1530" t="s">
        <v>2170</v>
      </c>
      <c r="D176" s="658" t="s">
        <v>1694</v>
      </c>
      <c r="E176" s="983">
        <f>0</f>
        <v>0</v>
      </c>
      <c r="F176" s="983">
        <f>0</f>
        <v>0</v>
      </c>
      <c r="G176" s="983">
        <f>0</f>
        <v>0</v>
      </c>
      <c r="H176" s="983">
        <f>0</f>
        <v>0</v>
      </c>
      <c r="I176" s="983">
        <f>0</f>
        <v>0</v>
      </c>
      <c r="J176" s="983">
        <f>0</f>
        <v>0</v>
      </c>
      <c r="K176" s="983">
        <f>0</f>
        <v>0</v>
      </c>
      <c r="L176" s="983">
        <f>0</f>
        <v>0</v>
      </c>
      <c r="M176" s="983">
        <f>0</f>
        <v>0</v>
      </c>
      <c r="N176" s="983">
        <f>0</f>
        <v>0</v>
      </c>
      <c r="O176" s="983">
        <f>0</f>
        <v>0</v>
      </c>
      <c r="P176" s="983">
        <f>0</f>
        <v>0</v>
      </c>
      <c r="Q176" s="983">
        <f>0</f>
        <v>0</v>
      </c>
      <c r="R176" s="983">
        <f>0</f>
        <v>0</v>
      </c>
      <c r="S176" s="983">
        <f>0</f>
        <v>0</v>
      </c>
      <c r="T176" s="983">
        <f>0</f>
        <v>0</v>
      </c>
      <c r="U176" s="983">
        <f>0</f>
        <v>0</v>
      </c>
      <c r="V176" s="983">
        <f>0</f>
        <v>0</v>
      </c>
      <c r="W176" s="983">
        <f>0</f>
        <v>0</v>
      </c>
      <c r="X176" s="983">
        <f>0</f>
        <v>0</v>
      </c>
      <c r="Y176" s="983">
        <f>1</f>
        <v>1</v>
      </c>
      <c r="Z176" s="983">
        <f>0</f>
        <v>0</v>
      </c>
      <c r="AA176" s="983">
        <f>0</f>
        <v>0</v>
      </c>
      <c r="AB176" s="983">
        <f>0</f>
        <v>0</v>
      </c>
      <c r="AC176" s="983">
        <f>-1</f>
        <v>-1</v>
      </c>
      <c r="AD176" s="983">
        <f>0</f>
        <v>0</v>
      </c>
      <c r="AE176" s="983">
        <f>0</f>
        <v>0</v>
      </c>
      <c r="AF176" s="983">
        <f>0</f>
        <v>0</v>
      </c>
      <c r="AG176" s="983">
        <f>0</f>
        <v>0</v>
      </c>
      <c r="AH176" s="983">
        <f>0</f>
        <v>0</v>
      </c>
      <c r="AI176" s="983">
        <f>0</f>
        <v>0</v>
      </c>
      <c r="AJ176" s="983">
        <f>0</f>
        <v>0</v>
      </c>
      <c r="AK176" s="983">
        <f>0</f>
        <v>0</v>
      </c>
      <c r="AL176" s="983">
        <f>0</f>
        <v>0</v>
      </c>
      <c r="AM176" s="983">
        <f>0</f>
        <v>0</v>
      </c>
      <c r="AN176" s="983">
        <f>0</f>
        <v>0</v>
      </c>
      <c r="AO176" s="983">
        <f>0</f>
        <v>0</v>
      </c>
      <c r="AP176" s="983">
        <f>0</f>
        <v>0</v>
      </c>
      <c r="AQ176" s="983">
        <f>0</f>
        <v>0</v>
      </c>
      <c r="AR176" s="983">
        <f>0</f>
        <v>0</v>
      </c>
      <c r="AS176" s="983">
        <f>0</f>
        <v>0</v>
      </c>
      <c r="AT176" s="983">
        <f>0</f>
        <v>0</v>
      </c>
      <c r="AU176" s="983">
        <f>0</f>
        <v>0</v>
      </c>
      <c r="AV176" s="983">
        <f>0</f>
        <v>0</v>
      </c>
      <c r="AW176" s="983">
        <f>0</f>
        <v>0</v>
      </c>
      <c r="AX176" s="983">
        <f>0</f>
        <v>0</v>
      </c>
      <c r="AY176" s="983">
        <f>0</f>
        <v>0</v>
      </c>
      <c r="AZ176" s="983">
        <f>0</f>
        <v>0</v>
      </c>
      <c r="BA176" s="983">
        <f>0</f>
        <v>0</v>
      </c>
      <c r="BB176" s="983">
        <f>0</f>
        <v>0</v>
      </c>
      <c r="BC176" s="983">
        <f>0</f>
        <v>0</v>
      </c>
      <c r="BD176" s="983">
        <f>0</f>
        <v>0</v>
      </c>
      <c r="BE176" s="983">
        <f>0</f>
        <v>0</v>
      </c>
      <c r="BF176" s="983">
        <f>0</f>
        <v>0</v>
      </c>
      <c r="BG176" s="983">
        <f>0</f>
        <v>0</v>
      </c>
      <c r="BH176" s="983">
        <f>0</f>
        <v>0</v>
      </c>
      <c r="BI176" s="983">
        <f>0</f>
        <v>0</v>
      </c>
      <c r="BJ176" s="983">
        <f>0</f>
        <v>0</v>
      </c>
      <c r="BK176" s="983">
        <f>0</f>
        <v>0</v>
      </c>
      <c r="BL176" s="1622">
        <f>0</f>
        <v>0</v>
      </c>
      <c r="BM176" s="983">
        <f>0</f>
        <v>0</v>
      </c>
      <c r="BN176" s="983">
        <f>0</f>
        <v>0</v>
      </c>
      <c r="BO176" s="983">
        <f>0</f>
        <v>0</v>
      </c>
      <c r="BP176" s="1427">
        <f>0</f>
        <v>0</v>
      </c>
      <c r="BQ176" s="2376">
        <f>0</f>
        <v>0</v>
      </c>
      <c r="BR176" s="983">
        <f>0</f>
        <v>0</v>
      </c>
      <c r="BS176" s="983">
        <f>0</f>
        <v>0</v>
      </c>
      <c r="BT176" s="983">
        <f>0</f>
        <v>0</v>
      </c>
      <c r="BU176" s="983">
        <f>0</f>
        <v>0</v>
      </c>
      <c r="BV176" s="983">
        <f>0</f>
        <v>0</v>
      </c>
      <c r="BW176" s="983">
        <f>0</f>
        <v>0</v>
      </c>
      <c r="BX176" s="983">
        <f>0</f>
        <v>0</v>
      </c>
      <c r="BY176" s="983">
        <f>0</f>
        <v>0</v>
      </c>
      <c r="BZ176" s="983">
        <f>0</f>
        <v>0</v>
      </c>
      <c r="CA176" s="983">
        <f>0</f>
        <v>0</v>
      </c>
      <c r="CB176" s="983">
        <f>0</f>
        <v>0</v>
      </c>
      <c r="CC176" s="983">
        <f>0</f>
        <v>0</v>
      </c>
      <c r="CD176" s="1656">
        <f>q_AMMON_T*S_N_B*X_BIO</f>
        <v>26.387500000000003</v>
      </c>
      <c r="CF176" s="2385">
        <f>E220*E176+F220*F176+G220*G176+H220*H176+I220*I176+J220*J176+K220*K176+L220*L176+M220*M176+N220*N176+O220*O176+P220*P176+Q220*Q176+R220*R176+S220*S176+T220*T176+U220*U176+V220*V176+W220*W176+X220*X176+Y220*Y176+Z220*Z176+AA220*AA176+AB220*AB176+AC220*AC176+AD220*AD176+AE220*AE176+AF220*AF176+AG220*AG176+AH220*AH176+AI220*AI176+AJ220*AJ176+AK220*AK176+AL220*AL176+AM220*AM176+AN220*AN176+AO220*AO176+AP220*AP176+AQ220*AQ176+AR220*AR176+AS220*AS176+AT220*AT176+AU220*AU176+AV220*AV176+AW220*AW176+AX220*AX176+AY220*AY176+AZ220*AZ176+BA220*BA176+BB220*BB176+BC220*BC176+BD220*BD176+BE220*BE176+BF220*BF176+BG220*BG176+BH220*BH176+BI220*BI176+BJ220*BJ176+BK220*BK176+BL220*BL176+BM220*BM176+BN220*BN176+BO220*BO176+BP220*BP176+BQ220*BQ176+BR220*BR176+BS220*BS176+BT220*BT176+BU220*BU176+BV220*BV176+BW220*BW176+BX220*BX176+BY220*BY176+BZ220*BZ176+CA220*CA176+CB220*CB176+CC220*CC176</f>
        <v>0</v>
      </c>
      <c r="CG176" s="2385">
        <f>E221*E176+F221*F176+G221*G176+H221*H176+I221*I176+J221*J176+K221*K176+L221*L176+M221*M176+N221*N176+O221*O176+P221*P176+Q221*Q176+R221*R176+S221*S176+T221*T176+U221*U176+V221*V176+W221*W176+X221*X176+Y221*Y176+Z221*Z176+AA221*AA176+AB221*AB176+AC221*AC176+AD221*AD176+AE221*AE176+AF221*AF176+AG221*AG176+AH221*AH176+AI221*AI176+AJ221*AJ176+AK221*AK176+AL221*AL176+AM221*AM176+AN221*AN176+AO221*AO176+AP221*AP176+AQ221*AQ176+AR221*AR176+AS221*AS176+AT221*AT176+AU221*AU176+AV221*AV176+AW221*AW176+AX221*AX176+AY221*AY176+AZ221*AZ176+BA221*BA176+BB221*BB176+BC221*BC176+BD221*BD176+BE221*BE176+BF221*BF176+BG221*BG176+BH221*BH176+BI221*BI176+BJ221*BJ176+BK221*BK176+BL221*BL176+BM221*BM176+BN221*BN176+BO221*BO176+BP221*BP176+BQ221*BQ176+BR221*BR176+BS221*BS176+BT221*BT176+BU221*BU176+BV221*BV176+BW221*BW176+BX221*BX176+BY221*BY176+BZ221*BZ176+CA221*CA176+CB221*CB176+CC221*CC176</f>
        <v>0</v>
      </c>
      <c r="CH176" s="2386">
        <f>E222*E176+F222*F176+G222*G176+H222*H176+I222*I176+J222*J176+K222*K176+L222*L176+M222*M176+N222*N176+O222*O176+P222*P176+Q222*Q176+R222*R176+S222*S176+T222*T176+U222*U176+V222*V176+W222*W176+X222*X176+Y222*Y176+Z222*Z176+AA222*AA176+AB222*AB176+AC222*AC176+AD222*AD176+AE222*AE176+AF222*AF176+AG222*AG176+AH222*AH176+AI222*AI176+AJ222*AJ176+AK222*AK176+AL222*AL176+AM222*AM176+AN222*AN176+AO222*AO176+AP222*AP176+AQ222*AQ176+AR222*AR176+AS222*AS176+AT222*AT176+AU222*AU176+AV222*AV176+AW222*AW176+AX222*AX176+AY222*AY176+AZ222*AZ176+BA222*BA176+BB222*BB176+BC222*BC176+BD222*BD176+BE222*BE176+BF222*BF176+BG222*BG176+BH222*BH176+BI222*BI176+BJ222*BJ176+BK222*BK176+BL222*BL176+BM222*BM176+BN222*BN176+BO222*BO176+BP222*BP176+BQ222*BQ176+BR222*BR176+BS222*BS176+BT222*BT176+BU222*BU176+BV222*BV176+BW222*BW176+BX222*BX176+BY222*BY176+BZ222*BZ176+CA222*CA176+CB222*CB176+CC222*CC176</f>
        <v>0</v>
      </c>
      <c r="CI176" s="2387">
        <f>E223*E176+F223*F176+G223*G176+H223*H176+I223*I176+J223*J176+K223*K176+L223*L176+M223*M176+N223*N176+O223*O176+P223*P176+Q223*Q176+R223*R176+S223*S176+T223*T176+U223*U176+V223*V176+W223*W176+X223*X176+Y223*Y176+Z223*Z176+AA223*AA176+AB223*AB176+AC223*AC176+AD223*AD176+AE223*AE176+AF223*AF176+AG223*AG176+AH223*AH176+AI223*AI176+AJ223*AJ176+AK223*AK176+AL223*AL176+AM223*AM176+AN223*AN176+AO223*AO176+AP223*AP176+AQ223*AQ176+AR223*AR176+AS223*AS176+AT223*AT176+AU223*AU176+AV223*AV176+AW223*AW176+AX223*AX176+AY223*AY176+AZ223*AZ176+BA223*BA176+BB223*BB176+BC223*BC176+BD223*BD176+BE223*BE176+BF223*BF176+BG223*BG176+BH223*BH176+BI223*BI176+BJ223*BJ176+BK223*BK176+BL223*BL176+BM223*BM176+BN223*BN176+BO223*BO176+BP223*BP176+BQ223*BQ176+BR223*BR176+BS223*BS176+BT223*BT176+BU223*BU176+BV223*BV176+BW223*BW176+BX223*BX176+BY223*BY176+BZ223*BZ176+CA223*CA176+CB223*CB176+CC223*CC176</f>
        <v>0</v>
      </c>
      <c r="CJ176" s="2387">
        <f>E224*E176+F224*F176+G224*G176+H224*H176+I224*I176+J224*J176+K224*K176+L224*L176+M224*M176+N224*N176+O224*O176+P224*P176+Q224*Q176+R224*R176+S224*S176+T224*T176+U224*U176+V224*V176+W224*W176+X224*X176+Y224*Y176+Z224*Z176+AA224*AA176+AB224*AB176+AC224*AC176+AD224*AD176+AE224*AE176+AF224*AF176+AG224*AG176+AH224*AH176+AI224*AI176+AJ224*AJ176+AK224*AK176+AL224*AL176+AM224*AM176+AN224*AN176+AO224*AO176+AP224*AP176+AQ224*AQ176+AR224*AR176+AS224*AS176+AT224*AT176+AU224*AU176+AV224*AV176+AW224*AW176+AX224*AX176+AY224*AY176+AZ224*AZ176+BA224*BA176+BB224*BB176+BC224*BC176+BD224*BD176+BE224*BE176+BF224*BF176+BG224*BG176+BH224*BH176+BI224*BI176+BJ224*BJ176+BK224*BK176+BL224*BL176+BM224*BM176+BN224*BN176+BO224*BO176+BP224*BP176+BQ224*BQ176+BR224*BR176+BS224*BS176+BT224*BT176+BU224*BU176+BV224*BV176+BW224*BW176+BX224*BX176+BY224*BY176+BZ224*BZ176+CA224*CA176+CB224*CB176+CC224*CC176</f>
        <v>0</v>
      </c>
      <c r="CK176" s="2387">
        <f>E225*E176+F225*F176+G225*G176+H225*H176+I225*I176+J225*J176+K225*K176+L225*L176+M225*M176+N225*N176+O225*O176+P225*P176+Q225*Q176+R225*R176+S225*S176+T225*T176+U225*U176+V225*V176+W225*W176+X225*X176+Y225*Y176+Z225*Z176+AA225*AA176+AB225*AB176+AC225*AC176+AD225*AD176+AE225*AE176+AF225*AF176+AG225*AG176+AH225*AH176+AI225*AI176+AJ225*AJ176+AK225*AK176+AL225*AL176+AM225*AM176+AN225*AN176+AO225*AO176+AP225*AP176+AQ225*AQ176+AR225*AR176+AS225*AS176+AT225*AT176+AU225*AU176+AV225*AV176+AW225*AW176+AX225*AX176+AY225*AY176+AZ225*AZ176+BA225*BA176+BB225*BB176+BC225*BC176+BD225*BD176+BE225*BE176+BF225*BF176+BG225*BG176+BH225*BH176+BI225*BI176+BJ225*BJ176+BK225*BK176+BL225*BL176+BM225*BM176+BN225*BN176+BO225*BO176+BP225*BP176+BQ225*BQ176+BR225*BR176+BS225*BS176+BT225*BT176+BU225*BU176+BV225*BV176+BW225*BW176+BX225*BX176+BY225*BY176+BZ225*BZ176+CA225*CA176+CB225*CB176+CC225*CC176</f>
        <v>0</v>
      </c>
      <c r="CL176" s="2387">
        <f>E226*E176+F226*F176+G226*G176+H226*H176+I226*I176+J226*J176+K226*K176+L226*L176+M226*M176+N226*N176+O226*O176+P226*P176+Q226*Q176+R226*R176+S226*S176+T226*T176+U226*U176+V226*V176+W226*W176+X226*X176+Y226*Y176+Z226*Z176+AA226*AA176+AB226*AB176+AC226*AC176+AD226*AD176+AE226*AE176+AF226*AF176+AG226*AG176+AH226*AH176+AI226*AI176+AJ226*AJ176+AK226*AK176+AL226*AL176+AM226*AM176+AN226*AN176+AO226*AO176+AP226*AP176+AQ226*AQ176+AR226*AR176+AS226*AS176+AT226*AT176+AU226*AU176+AV226*AV176+AW226*AW176+AX226*AX176+AY226*AY176+AZ226*AZ176+BA226*BA176+BB226*BB176+BC226*BC176+BD226*BD176+BE226*BE176+BF226*BF176+BG226*BG176+BH226*BH176+BI226*BI176+BJ226*BJ176+BK226*BK176+BL226*BL176+BM226*BM176+BN226*BN176+BO226*BO176+BP226*BP176+BQ226*BQ176+BR226*BR176+BS226*BS176+BT226*BT176+BU226*BU176+BV226*BV176+BW226*BW176+BX226*BX176+BY226*BY176+BZ226*BZ176+CA226*CA176+CB226*CB176+CC226*CC176</f>
        <v>0</v>
      </c>
      <c r="CM176" s="2387">
        <f>E227*E176+F227*F176+G227*G176+H227*H176+I227*I176+J227*J176+K227*K176+L227*L176+M227*M176+N227*N176+O227*O176+P227*P176+Q227*Q176+R227*R176+S227*S176+T227*T176+U227*U176+V227*V176+W227*W176+X227*X176+Y227*Y176+Z227*Z176+AA227*AA176+AB227*AB176+AC227*AC176+AD227*AD176+AE227*AE176+AF227*AF176+AG227*AG176+AH227*AH176+AI227*AI176+AJ227*AJ176+AK227*AK176+AL227*AL176+AM227*AM176+AN227*AN176+AO227*AO176+AP227*AP176+AQ227*AQ176+AR227*AR176+AS227*AS176+AT227*AT176+AU227*AU176+AV227*AV176+AW227*AW176+AX227*AX176+AY227*AY176+AZ227*AZ176+BA227*BA176+BB227*BB176+BC227*BC176+BD227*BD176+BE227*BE176+BF227*BF176+BG227*BG176+BH227*BH176+BI227*BI176+BJ227*BJ176+BK227*BK176+BL227*BL176+BM227*BM176+BN227*BN176+BO227*BO176+BP227*BP176+BQ227*BQ176+BR227*BR176+BS227*BS176+BT227*BT176+BU227*BU176+BV227*BV176+BW227*BW176+BX227*BX176+BY227*BY176+BZ227*BZ176+CA227*CA176+CB227*CB176+CC227*CC176</f>
        <v>0</v>
      </c>
      <c r="CN176" s="2387">
        <f>E228*E176+F228*F176+G228*G176+H228*H176+I228*I176+J228*J176+K228*K176+L228*L176+M228*M176+N228*N176+O228*O176+P228*P176+Q228*Q176+R228*R176+S228*S176+T228*T176+U228*U176+V228*V176+W228*W176+X228*X176+Y228*Y176+Z228*Z176+AA228*AA176+AB228*AB176+AC228*AC176+AD228*AD176+AE228*AE176+AF228*AF176+AG228*AG176+AH228*AH176+AI228*AI176+AJ228*AJ176+AK228*AK176+AL228*AL176+AM228*AM176+AN228*AN176+AO228*AO176+AP228*AP176+AQ228*AQ176+AR228*AR176+AS228*AS176+AT228*AT176+AU228*AU176+AV228*AV176+AW228*AW176+AX228*AX176+AY228*AY176+AZ228*AZ176+BA228*BA176+BB228*BB176+BC228*BC176+BD228*BD176+BE228*BE176+BF228*BF176+BG228*BG176+BH228*BH176+BI228*BI176+BJ228*BJ176+BK228*BK176+BL228*BL176+BM228*BM176+BN228*BN176+BO228*BO176+BP228*BP176+BQ228*BQ176+BR228*BR176+BS228*BS176+BT228*BT176+BU228*BU176+BV228*BV176+BW228*BW176+BX228*BX176+BY228*BY176+BZ228*BZ176+CA228*CA176+CB228*CB176+CC228*CC176</f>
        <v>0</v>
      </c>
      <c r="CO176" s="2387">
        <f>E229*E176+F229*F176+G229*G176+H229*H176+I229*I176+J229*J176+K229*K176+L229*L176+M229*M176+N229*N176+O229*O176+P229*P176+Q229*Q176+R229*R176+S229*S176+T229*T176+U229*U176+V229*V176+W229*W176+X229*X176+Y229*Y176+Z229*Z176+AA229*AA176+AB229*AB176+AC229*AC176+AD229*AD176+AE229*AE176+AF229*AF176+AG229*AG176+AH229*AH176+AI229*AI176+AJ229*AJ176+AK229*AK176+AL229*AL176+AM229*AM176+AN229*AN176+AO229*AO176+AP229*AP176+AQ229*AQ176+AR229*AR176+AS229*AS176+AT229*AT176+AU229*AU176+AV229*AV176+AW229*AW176+AX229*AX176+AY229*AY176+AZ229*AZ176+BA229*BA176+BB229*BB176+BC229*BC176+BD229*BD176+BE229*BE176+BF229*BF176+BG229*BG176+BH229*BH176+BI229*BI176+BJ229*BJ176+BK229*BK176+BL229*BL176+BM229*BM176+BN229*BN176+BO229*BO176+BP229*BP176+BQ229*BQ176+BR229*BR176+BS229*BS176+BT229*BT176+BU229*BU176+BV229*BV176+BW229*BW176+BX229*BX176+BY229*BY176+BZ229*BZ176+CA229*CA176+CB229*CB176+CC229*CC176</f>
        <v>0</v>
      </c>
      <c r="CP176" s="2387">
        <f>E230*E176+F230*F176+G230*G176+H230*H176+I230*I176+J230*J176+K230*K176+L230*L176+M230*M176+N230*N176+O230*O176+P230*P176+Q230*Q176+R230*R176+S230*S176+T230*T176+U230*U176+V230*V176+W230*W176+X230*X176+Y230*Y176+Z230*Z176+AA230*AA176+AB230*AB176+AC230*AC176+AD230*AD176+AE230*AE176+AF230*AF176+AG230*AG176+AH230*AH176+AI230*AI176+AJ230*AJ176+AK230*AK176+AL230*AL176+AM230*AM176+AN230*AN176+AO230*AO176+AP230*AP176+AQ230*AQ176+AR230*AR176+AS230*AS176+AT230*AT176+AU230*AU176+AV230*AV176+AW230*AW176+AX230*AX176+AY230*AY176+AZ230*AZ176+BA230*BA176+BB230*BB176+BC230*BC176+BD230*BD176+BE230*BE176+BF230*BF176+BG230*BG176+BH230*BH176+BI230*BI176+BJ230*BJ176+BK230*BK176+BL230*BL176+BM230*BM176+BN230*BN176+BO230*BO176+BP230*BP176+BQ230*BQ176+BR230*BR176+BS230*BS176+BT230*BT176+BU230*BU176+BV230*BV176+BW230*BW176+BX230*BX176+BY230*BY176+BZ230*BZ176+CA230*CA176+CB230*CB176+CC230*CC176</f>
        <v>0</v>
      </c>
    </row>
    <row r="177" spans="2:94" ht="18" x14ac:dyDescent="0.25">
      <c r="B177" s="1591">
        <v>58</v>
      </c>
      <c r="C177" s="1530" t="s">
        <v>2208</v>
      </c>
      <c r="D177" s="658" t="s">
        <v>1695</v>
      </c>
      <c r="E177" s="983">
        <f>0</f>
        <v>0</v>
      </c>
      <c r="F177" s="983">
        <f>0</f>
        <v>0</v>
      </c>
      <c r="G177" s="983">
        <f>0</f>
        <v>0</v>
      </c>
      <c r="H177" s="983">
        <f>0</f>
        <v>0</v>
      </c>
      <c r="I177" s="983">
        <f>0</f>
        <v>0</v>
      </c>
      <c r="J177" s="983">
        <f>0</f>
        <v>0</v>
      </c>
      <c r="K177" s="983">
        <f>0</f>
        <v>0</v>
      </c>
      <c r="L177" s="983">
        <f>0</f>
        <v>0</v>
      </c>
      <c r="M177" s="983">
        <f>0</f>
        <v>0</v>
      </c>
      <c r="N177" s="983">
        <f>0</f>
        <v>0</v>
      </c>
      <c r="O177" s="983">
        <f>0</f>
        <v>0</v>
      </c>
      <c r="P177" s="983">
        <f>0</f>
        <v>0</v>
      </c>
      <c r="Q177" s="983">
        <f>0</f>
        <v>0</v>
      </c>
      <c r="R177" s="983">
        <f>0</f>
        <v>0</v>
      </c>
      <c r="S177" s="983">
        <f>0</f>
        <v>0</v>
      </c>
      <c r="T177" s="983">
        <f>0</f>
        <v>0</v>
      </c>
      <c r="U177" s="983">
        <f>0</f>
        <v>0</v>
      </c>
      <c r="V177" s="983">
        <f>0</f>
        <v>0</v>
      </c>
      <c r="W177" s="983">
        <f>0</f>
        <v>0</v>
      </c>
      <c r="X177" s="983">
        <f>0</f>
        <v>0</v>
      </c>
      <c r="Y177" s="983">
        <f>0</f>
        <v>0</v>
      </c>
      <c r="Z177" s="983">
        <f>0</f>
        <v>0</v>
      </c>
      <c r="AA177" s="983">
        <f>0</f>
        <v>0</v>
      </c>
      <c r="AB177" s="983">
        <f>0</f>
        <v>0</v>
      </c>
      <c r="AC177" s="983">
        <f>0</f>
        <v>0</v>
      </c>
      <c r="AD177" s="983">
        <f>0</f>
        <v>0</v>
      </c>
      <c r="AE177" s="983">
        <f>0</f>
        <v>0</v>
      </c>
      <c r="AF177" s="983">
        <f>1</f>
        <v>1</v>
      </c>
      <c r="AG177" s="983">
        <f>0</f>
        <v>0</v>
      </c>
      <c r="AH177" s="983">
        <f>-1</f>
        <v>-1</v>
      </c>
      <c r="AI177" s="983">
        <f>0</f>
        <v>0</v>
      </c>
      <c r="AJ177" s="983">
        <f>0</f>
        <v>0</v>
      </c>
      <c r="AK177" s="983">
        <f>0</f>
        <v>0</v>
      </c>
      <c r="AL177" s="983">
        <f>0</f>
        <v>0</v>
      </c>
      <c r="AM177" s="983">
        <f>0</f>
        <v>0</v>
      </c>
      <c r="AN177" s="983">
        <f>0</f>
        <v>0</v>
      </c>
      <c r="AO177" s="983">
        <f>0</f>
        <v>0</v>
      </c>
      <c r="AP177" s="983">
        <f>0</f>
        <v>0</v>
      </c>
      <c r="AQ177" s="983">
        <f>0</f>
        <v>0</v>
      </c>
      <c r="AR177" s="983">
        <f>0</f>
        <v>0</v>
      </c>
      <c r="AS177" s="983">
        <f>0</f>
        <v>0</v>
      </c>
      <c r="AT177" s="983">
        <f>0</f>
        <v>0</v>
      </c>
      <c r="AU177" s="983">
        <f>0</f>
        <v>0</v>
      </c>
      <c r="AV177" s="983">
        <f>0</f>
        <v>0</v>
      </c>
      <c r="AW177" s="983">
        <f>0</f>
        <v>0</v>
      </c>
      <c r="AX177" s="983">
        <f>0</f>
        <v>0</v>
      </c>
      <c r="AY177" s="983">
        <f>0</f>
        <v>0</v>
      </c>
      <c r="AZ177" s="983">
        <f>0</f>
        <v>0</v>
      </c>
      <c r="BA177" s="983">
        <f>0</f>
        <v>0</v>
      </c>
      <c r="BB177" s="983">
        <f>0</f>
        <v>0</v>
      </c>
      <c r="BC177" s="983">
        <f>0</f>
        <v>0</v>
      </c>
      <c r="BD177" s="983">
        <f>0</f>
        <v>0</v>
      </c>
      <c r="BE177" s="983">
        <f>0</f>
        <v>0</v>
      </c>
      <c r="BF177" s="983">
        <f>0</f>
        <v>0</v>
      </c>
      <c r="BG177" s="983">
        <f>0</f>
        <v>0</v>
      </c>
      <c r="BH177" s="983">
        <f>0</f>
        <v>0</v>
      </c>
      <c r="BI177" s="983">
        <f>0</f>
        <v>0</v>
      </c>
      <c r="BJ177" s="983">
        <f>0</f>
        <v>0</v>
      </c>
      <c r="BK177" s="983">
        <f>0</f>
        <v>0</v>
      </c>
      <c r="BL177" s="1622">
        <f>0</f>
        <v>0</v>
      </c>
      <c r="BM177" s="983">
        <f>0</f>
        <v>0</v>
      </c>
      <c r="BN177" s="983">
        <f>0</f>
        <v>0</v>
      </c>
      <c r="BO177" s="983">
        <f>0</f>
        <v>0</v>
      </c>
      <c r="BP177" s="1427">
        <f>0</f>
        <v>0</v>
      </c>
      <c r="BQ177" s="2376">
        <f>0</f>
        <v>0</v>
      </c>
      <c r="BR177" s="983">
        <f>0</f>
        <v>0</v>
      </c>
      <c r="BS177" s="983">
        <f>0</f>
        <v>0</v>
      </c>
      <c r="BT177" s="983">
        <f>0</f>
        <v>0</v>
      </c>
      <c r="BU177" s="983">
        <f>0</f>
        <v>0</v>
      </c>
      <c r="BV177" s="983">
        <f>0</f>
        <v>0</v>
      </c>
      <c r="BW177" s="983">
        <f>0</f>
        <v>0</v>
      </c>
      <c r="BX177" s="983">
        <f>0</f>
        <v>0</v>
      </c>
      <c r="BY177" s="983">
        <f>0</f>
        <v>0</v>
      </c>
      <c r="BZ177" s="983">
        <f>0</f>
        <v>0</v>
      </c>
      <c r="CA177" s="983">
        <f>0</f>
        <v>0</v>
      </c>
      <c r="CB177" s="983">
        <f>0</f>
        <v>0</v>
      </c>
      <c r="CC177" s="983">
        <f>0</f>
        <v>0</v>
      </c>
      <c r="CD177" s="1656">
        <f>q_SPB_T*S_P_B*X_BIO</f>
        <v>5.2774999999999999</v>
      </c>
      <c r="CF177" s="2385">
        <f>E220*E177+F220*F177+G220*G177+H220*H177+I220*I177+J220*J177+K220*K177+L220*L177+M220*M177+N220*N177+O220*O177+P220*P177+Q220*Q177+R220*R177+S220*S177+T220*T177+U220*U177+V220*V177+W220*W177+X220*X177+Y220*Y177+Z220*Z177+AA220*AA177+AB220*AB177+AC220*AC177+AD220*AD177+AE220*AE177+AF220*AF177+AG220*AG177+AH220*AH177+AI220*AI177+AJ220*AJ177+AK220*AK177+AL220*AL177+AM220*AM177+AN220*AN177+AO220*AO177+AP220*AP177+AQ220*AQ177+AR220*AR177+AS220*AS177+AT220*AT177+AU220*AU177+AV220*AV177+AW220*AW177+AX220*AX177+AY220*AY177+AZ220*AZ177+BA220*BA177+BB220*BB177+BC220*BC177+BD220*BD177+BE220*BE177+BF220*BF177+BG220*BG177+BH220*BH177+BI220*BI177+BJ220*BJ177+BK220*BK177+BL220*BL177+BM220*BM177+BN220*BN177+BO220*BO177+BP220*BP177+BQ220*BQ177+BR220*BR177+BS220*BS177+BT220*BT177+BU220*BU177+BV220*BV177+BW220*BW177+BX220*BX177+BY220*BY177+BZ220*BZ177+CA220*CA177+CB220*CB177+CC220*CC177</f>
        <v>0</v>
      </c>
      <c r="CG177" s="2385">
        <f>E221*E177+F221*F177+G221*G177+H221*H177+I221*I177+J221*J177+K221*K177+L221*L177+M221*M177+N221*N177+O221*O177+P221*P177+Q221*Q177+R221*R177+S221*S177+T221*T177+U221*U177+V221*V177+W221*W177+X221*X177+Y221*Y177+Z221*Z177+AA221*AA177+AB221*AB177+AC221*AC177+AD221*AD177+AE221*AE177+AF221*AF177+AG221*AG177+AH221*AH177+AI221*AI177+AJ221*AJ177+AK221*AK177+AL221*AL177+AM221*AM177+AN221*AN177+AO221*AO177+AP221*AP177+AQ221*AQ177+AR221*AR177+AS221*AS177+AT221*AT177+AU221*AU177+AV221*AV177+AW221*AW177+AX221*AX177+AY221*AY177+AZ221*AZ177+BA221*BA177+BB221*BB177+BC221*BC177+BD221*BD177+BE221*BE177+BF221*BF177+BG221*BG177+BH221*BH177+BI221*BI177+BJ221*BJ177+BK221*BK177+BL221*BL177+BM221*BM177+BN221*BN177+BO221*BO177+BP221*BP177+BQ221*BQ177+BR221*BR177+BS221*BS177+BT221*BT177+BU221*BU177+BV221*BV177+BW221*BW177+BX221*BX177+BY221*BY177+BZ221*BZ177+CA221*CA177+CB221*CB177+CC221*CC177</f>
        <v>0</v>
      </c>
      <c r="CH177" s="2386">
        <f>E222*E177+F222*F177+G222*G177+H222*H177+I222*I177+J222*J177+K222*K177+L222*L177+M222*M177+N222*N177+O222*O177+P222*P177+Q222*Q177+R222*R177+S222*S177+T222*T177+U222*U177+V222*V177+W222*W177+X222*X177+Y222*Y177+Z222*Z177+AA222*AA177+AB222*AB177+AC222*AC177+AD222*AD177+AE222*AE177+AF222*AF177+AG222*AG177+AH222*AH177+AI222*AI177+AJ222*AJ177+AK222*AK177+AL222*AL177+AM222*AM177+AN222*AN177+AO222*AO177+AP222*AP177+AQ222*AQ177+AR222*AR177+AS222*AS177+AT222*AT177+AU222*AU177+AV222*AV177+AW222*AW177+AX222*AX177+AY222*AY177+AZ222*AZ177+BA222*BA177+BB222*BB177+BC222*BC177+BD222*BD177+BE222*BE177+BF222*BF177+BG222*BG177+BH222*BH177+BI222*BI177+BJ222*BJ177+BK222*BK177+BL222*BL177+BM222*BM177+BN222*BN177+BO222*BO177+BP222*BP177+BQ222*BQ177+BR222*BR177+BS222*BS177+BT222*BT177+BU222*BU177+BV222*BV177+BW222*BW177+BX222*BX177+BY222*BY177+BZ222*BZ177+CA222*CA177+CB222*CB177+CC222*CC177</f>
        <v>0</v>
      </c>
      <c r="CI177" s="2387">
        <f>E223*E177+F223*F177+G223*G177+H223*H177+I223*I177+J223*J177+K223*K177+L223*L177+M223*M177+N223*N177+O223*O177+P223*P177+Q223*Q177+R223*R177+S223*S177+T223*T177+U223*U177+V223*V177+W223*W177+X223*X177+Y223*Y177+Z223*Z177+AA223*AA177+AB223*AB177+AC223*AC177+AD223*AD177+AE223*AE177+AF223*AF177+AG223*AG177+AH223*AH177+AI223*AI177+AJ223*AJ177+AK223*AK177+AL223*AL177+AM223*AM177+AN223*AN177+AO223*AO177+AP223*AP177+AQ223*AQ177+AR223*AR177+AS223*AS177+AT223*AT177+AU223*AU177+AV223*AV177+AW223*AW177+AX223*AX177+AY223*AY177+AZ223*AZ177+BA223*BA177+BB223*BB177+BC223*BC177+BD223*BD177+BE223*BE177+BF223*BF177+BG223*BG177+BH223*BH177+BI223*BI177+BJ223*BJ177+BK223*BK177+BL223*BL177+BM223*BM177+BN223*BN177+BO223*BO177+BP223*BP177+BQ223*BQ177+BR223*BR177+BS223*BS177+BT223*BT177+BU223*BU177+BV223*BV177+BW223*BW177+BX223*BX177+BY223*BY177+BZ223*BZ177+CA223*CA177+CB223*CB177+CC223*CC177</f>
        <v>0</v>
      </c>
      <c r="CJ177" s="2387">
        <f>E224*E177+F224*F177+G224*G177+H224*H177+I224*I177+J224*J177+K224*K177+L224*L177+M224*M177+N224*N177+O224*O177+P224*P177+Q224*Q177+R224*R177+S224*S177+T224*T177+U224*U177+V224*V177+W224*W177+X224*X177+Y224*Y177+Z224*Z177+AA224*AA177+AB224*AB177+AC224*AC177+AD224*AD177+AE224*AE177+AF224*AF177+AG224*AG177+AH224*AH177+AI224*AI177+AJ224*AJ177+AK224*AK177+AL224*AL177+AM224*AM177+AN224*AN177+AO224*AO177+AP224*AP177+AQ224*AQ177+AR224*AR177+AS224*AS177+AT224*AT177+AU224*AU177+AV224*AV177+AW224*AW177+AX224*AX177+AY224*AY177+AZ224*AZ177+BA224*BA177+BB224*BB177+BC224*BC177+BD224*BD177+BE224*BE177+BF224*BF177+BG224*BG177+BH224*BH177+BI224*BI177+BJ224*BJ177+BK224*BK177+BL224*BL177+BM224*BM177+BN224*BN177+BO224*BO177+BP224*BP177+BQ224*BQ177+BR224*BR177+BS224*BS177+BT224*BT177+BU224*BU177+BV224*BV177+BW224*BW177+BX224*BX177+BY224*BY177+BZ224*BZ177+CA224*CA177+CB224*CB177+CC224*CC177</f>
        <v>0</v>
      </c>
      <c r="CK177" s="2387">
        <f>E225*E177+F225*F177+G225*G177+H225*H177+I225*I177+J225*J177+K225*K177+L225*L177+M225*M177+N225*N177+O225*O177+P225*P177+Q225*Q177+R225*R177+S225*S177+T225*T177+U225*U177+V225*V177+W225*W177+X225*X177+Y225*Y177+Z225*Z177+AA225*AA177+AB225*AB177+AC225*AC177+AD225*AD177+AE225*AE177+AF225*AF177+AG225*AG177+AH225*AH177+AI225*AI177+AJ225*AJ177+AK225*AK177+AL225*AL177+AM225*AM177+AN225*AN177+AO225*AO177+AP225*AP177+AQ225*AQ177+AR225*AR177+AS225*AS177+AT225*AT177+AU225*AU177+AV225*AV177+AW225*AW177+AX225*AX177+AY225*AY177+AZ225*AZ177+BA225*BA177+BB225*BB177+BC225*BC177+BD225*BD177+BE225*BE177+BF225*BF177+BG225*BG177+BH225*BH177+BI225*BI177+BJ225*BJ177+BK225*BK177+BL225*BL177+BM225*BM177+BN225*BN177+BO225*BO177+BP225*BP177+BQ225*BQ177+BR225*BR177+BS225*BS177+BT225*BT177+BU225*BU177+BV225*BV177+BW225*BW177+BX225*BX177+BY225*BY177+BZ225*BZ177+CA225*CA177+CB225*CB177+CC225*CC177</f>
        <v>0</v>
      </c>
      <c r="CL177" s="2387">
        <f>E226*E177+F226*F177+G226*G177+H226*H177+I226*I177+J226*J177+K226*K177+L226*L177+M226*M177+N226*N177+O226*O177+P226*P177+Q226*Q177+R226*R177+S226*S177+T226*T177+U226*U177+V226*V177+W226*W177+X226*X177+Y226*Y177+Z226*Z177+AA226*AA177+AB226*AB177+AC226*AC177+AD226*AD177+AE226*AE177+AF226*AF177+AG226*AG177+AH226*AH177+AI226*AI177+AJ226*AJ177+AK226*AK177+AL226*AL177+AM226*AM177+AN226*AN177+AO226*AO177+AP226*AP177+AQ226*AQ177+AR226*AR177+AS226*AS177+AT226*AT177+AU226*AU177+AV226*AV177+AW226*AW177+AX226*AX177+AY226*AY177+AZ226*AZ177+BA226*BA177+BB226*BB177+BC226*BC177+BD226*BD177+BE226*BE177+BF226*BF177+BG226*BG177+BH226*BH177+BI226*BI177+BJ226*BJ177+BK226*BK177+BL226*BL177+BM226*BM177+BN226*BN177+BO226*BO177+BP226*BP177+BQ226*BQ177+BR226*BR177+BS226*BS177+BT226*BT177+BU226*BU177+BV226*BV177+BW226*BW177+BX226*BX177+BY226*BY177+BZ226*BZ177+CA226*CA177+CB226*CB177+CC226*CC177</f>
        <v>0</v>
      </c>
      <c r="CM177" s="2387">
        <f>E227*E177+F227*F177+G227*G177+H227*H177+I227*I177+J227*J177+K227*K177+L227*L177+M227*M177+N227*N177+O227*O177+P227*P177+Q227*Q177+R227*R177+S227*S177+T227*T177+U227*U177+V227*V177+W227*W177+X227*X177+Y227*Y177+Z227*Z177+AA227*AA177+AB227*AB177+AC227*AC177+AD227*AD177+AE227*AE177+AF227*AF177+AG227*AG177+AH227*AH177+AI227*AI177+AJ227*AJ177+AK227*AK177+AL227*AL177+AM227*AM177+AN227*AN177+AO227*AO177+AP227*AP177+AQ227*AQ177+AR227*AR177+AS227*AS177+AT227*AT177+AU227*AU177+AV227*AV177+AW227*AW177+AX227*AX177+AY227*AY177+AZ227*AZ177+BA227*BA177+BB227*BB177+BC227*BC177+BD227*BD177+BE227*BE177+BF227*BF177+BG227*BG177+BH227*BH177+BI227*BI177+BJ227*BJ177+BK227*BK177+BL227*BL177+BM227*BM177+BN227*BN177+BO227*BO177+BP227*BP177+BQ227*BQ177+BR227*BR177+BS227*BS177+BT227*BT177+BU227*BU177+BV227*BV177+BW227*BW177+BX227*BX177+BY227*BY177+BZ227*BZ177+CA227*CA177+CB227*CB177+CC227*CC177</f>
        <v>0</v>
      </c>
      <c r="CN177" s="2387">
        <f>E228*E177+F228*F177+G228*G177+H228*H177+I228*I177+J228*J177+K228*K177+L228*L177+M228*M177+N228*N177+O228*O177+P228*P177+Q228*Q177+R228*R177+S228*S177+T228*T177+U228*U177+V228*V177+W228*W177+X228*X177+Y228*Y177+Z228*Z177+AA228*AA177+AB228*AB177+AC228*AC177+AD228*AD177+AE228*AE177+AF228*AF177+AG228*AG177+AH228*AH177+AI228*AI177+AJ228*AJ177+AK228*AK177+AL228*AL177+AM228*AM177+AN228*AN177+AO228*AO177+AP228*AP177+AQ228*AQ177+AR228*AR177+AS228*AS177+AT228*AT177+AU228*AU177+AV228*AV177+AW228*AW177+AX228*AX177+AY228*AY177+AZ228*AZ177+BA228*BA177+BB228*BB177+BC228*BC177+BD228*BD177+BE228*BE177+BF228*BF177+BG228*BG177+BH228*BH177+BI228*BI177+BJ228*BJ177+BK228*BK177+BL228*BL177+BM228*BM177+BN228*BN177+BO228*BO177+BP228*BP177+BQ228*BQ177+BR228*BR177+BS228*BS177+BT228*BT177+BU228*BU177+BV228*BV177+BW228*BW177+BX228*BX177+BY228*BY177+BZ228*BZ177+CA228*CA177+CB228*CB177+CC228*CC177</f>
        <v>0</v>
      </c>
      <c r="CO177" s="2387">
        <f>E229*E177+F229*F177+G229*G177+H229*H177+I229*I177+J229*J177+K229*K177+L229*L177+M229*M177+N229*N177+O229*O177+P229*P177+Q229*Q177+R229*R177+S229*S177+T229*T177+U229*U177+V229*V177+W229*W177+X229*X177+Y229*Y177+Z229*Z177+AA229*AA177+AB229*AB177+AC229*AC177+AD229*AD177+AE229*AE177+AF229*AF177+AG229*AG177+AH229*AH177+AI229*AI177+AJ229*AJ177+AK229*AK177+AL229*AL177+AM229*AM177+AN229*AN177+AO229*AO177+AP229*AP177+AQ229*AQ177+AR229*AR177+AS229*AS177+AT229*AT177+AU229*AU177+AV229*AV177+AW229*AW177+AX229*AX177+AY229*AY177+AZ229*AZ177+BA229*BA177+BB229*BB177+BC229*BC177+BD229*BD177+BE229*BE177+BF229*BF177+BG229*BG177+BH229*BH177+BI229*BI177+BJ229*BJ177+BK229*BK177+BL229*BL177+BM229*BM177+BN229*BN177+BO229*BO177+BP229*BP177+BQ229*BQ177+BR229*BR177+BS229*BS177+BT229*BT177+BU229*BU177+BV229*BV177+BW229*BW177+BX229*BX177+BY229*BY177+BZ229*BZ177+CA229*CA177+CB229*CB177+CC229*CC177</f>
        <v>0</v>
      </c>
      <c r="CP177" s="2387">
        <f>E230*E177+F230*F177+G230*G177+H230*H177+I230*I177+J230*J177+K230*K177+L230*L177+M230*M177+N230*N177+O230*O177+P230*P177+Q230*Q177+R230*R177+S230*S177+T230*T177+U230*U177+V230*V177+W230*W177+X230*X177+Y230*Y177+Z230*Z177+AA230*AA177+AB230*AB177+AC230*AC177+AD230*AD177+AE230*AE177+AF230*AF177+AG230*AG177+AH230*AH177+AI230*AI177+AJ230*AJ177+AK230*AK177+AL230*AL177+AM230*AM177+AN230*AN177+AO230*AO177+AP230*AP177+AQ230*AQ177+AR230*AR177+AS230*AS177+AT230*AT177+AU230*AU177+AV230*AV177+AW230*AW177+AX230*AX177+AY230*AY177+AZ230*AZ177+BA230*BA177+BB230*BB177+BC230*BC177+BD230*BD177+BE230*BE177+BF230*BF177+BG230*BG177+BH230*BH177+BI230*BI177+BJ230*BJ177+BK230*BK177+BL230*BL177+BM230*BM177+BN230*BN177+BO230*BO177+BP230*BP177+BQ230*BQ177+BR230*BR177+BS230*BS177+BT230*BT177+BU230*BU177+BV230*BV177+BW230*BW177+BX230*BX177+BY230*BY177+BZ230*BZ177+CA230*CA177+CB230*CB177+CC230*CC177</f>
        <v>0</v>
      </c>
    </row>
    <row r="178" spans="2:94" x14ac:dyDescent="0.25">
      <c r="B178" s="1591">
        <v>59</v>
      </c>
      <c r="C178" s="1530" t="s">
        <v>2235</v>
      </c>
      <c r="D178" s="658" t="s">
        <v>1696</v>
      </c>
      <c r="E178" s="983">
        <f>0</f>
        <v>0</v>
      </c>
      <c r="F178" s="983">
        <f>0</f>
        <v>0</v>
      </c>
      <c r="G178" s="983">
        <f>0</f>
        <v>0</v>
      </c>
      <c r="H178" s="983">
        <f>0</f>
        <v>0</v>
      </c>
      <c r="I178" s="983">
        <f>1</f>
        <v>1</v>
      </c>
      <c r="J178" s="983">
        <f>0</f>
        <v>0</v>
      </c>
      <c r="K178" s="983">
        <f>0</f>
        <v>0</v>
      </c>
      <c r="L178" s="983">
        <f>0</f>
        <v>0</v>
      </c>
      <c r="M178" s="983">
        <f>0</f>
        <v>0</v>
      </c>
      <c r="N178" s="983">
        <f>0</f>
        <v>0</v>
      </c>
      <c r="O178" s="983">
        <f>-1</f>
        <v>-1</v>
      </c>
      <c r="P178" s="983">
        <f>0</f>
        <v>0</v>
      </c>
      <c r="Q178" s="983">
        <f>0</f>
        <v>0</v>
      </c>
      <c r="R178" s="983">
        <f>0</f>
        <v>0</v>
      </c>
      <c r="S178" s="983">
        <f>0</f>
        <v>0</v>
      </c>
      <c r="T178" s="983">
        <f>0</f>
        <v>0</v>
      </c>
      <c r="U178" s="983">
        <f>0</f>
        <v>0</v>
      </c>
      <c r="V178" s="983">
        <f>0</f>
        <v>0</v>
      </c>
      <c r="W178" s="983">
        <f>0</f>
        <v>0</v>
      </c>
      <c r="X178" s="983">
        <f>0</f>
        <v>0</v>
      </c>
      <c r="Y178" s="983">
        <f>0</f>
        <v>0</v>
      </c>
      <c r="Z178" s="983">
        <f>0</f>
        <v>0</v>
      </c>
      <c r="AA178" s="983">
        <f>0</f>
        <v>0</v>
      </c>
      <c r="AB178" s="983">
        <f>0</f>
        <v>0</v>
      </c>
      <c r="AC178" s="983">
        <f>0</f>
        <v>0</v>
      </c>
      <c r="AD178" s="983">
        <f>i_N_XE</f>
        <v>0.06</v>
      </c>
      <c r="AE178" s="983">
        <f>0</f>
        <v>0</v>
      </c>
      <c r="AF178" s="983">
        <f>0</f>
        <v>0</v>
      </c>
      <c r="AG178" s="983">
        <f>0</f>
        <v>0</v>
      </c>
      <c r="AH178" s="983">
        <f>0</f>
        <v>0</v>
      </c>
      <c r="AI178" s="983">
        <f>i_P_BIO</f>
        <v>0.02</v>
      </c>
      <c r="AJ178" s="983">
        <f>0</f>
        <v>0</v>
      </c>
      <c r="AK178" s="983">
        <f>0</f>
        <v>0</v>
      </c>
      <c r="AL178" s="983">
        <f>0</f>
        <v>0</v>
      </c>
      <c r="AM178" s="983">
        <f>0</f>
        <v>0</v>
      </c>
      <c r="AN178" s="983">
        <f>i_CIT_BIO-i_CIT_SB</f>
        <v>6.6000000000000003E-2</v>
      </c>
      <c r="AO178" s="983">
        <f>0</f>
        <v>0</v>
      </c>
      <c r="AP178" s="983">
        <f>0</f>
        <v>0</v>
      </c>
      <c r="AQ178" s="983">
        <f>0</f>
        <v>0</v>
      </c>
      <c r="AR178" s="983">
        <f>0</f>
        <v>0</v>
      </c>
      <c r="AS178" s="983">
        <f>0</f>
        <v>0</v>
      </c>
      <c r="AT178" s="983">
        <f>0</f>
        <v>0</v>
      </c>
      <c r="AU178" s="983">
        <f>0</f>
        <v>0</v>
      </c>
      <c r="AV178" s="983">
        <f>0</f>
        <v>0</v>
      </c>
      <c r="AW178" s="983">
        <f>0</f>
        <v>0</v>
      </c>
      <c r="AX178" s="983">
        <f>0</f>
        <v>0</v>
      </c>
      <c r="AY178" s="983">
        <f>0</f>
        <v>0</v>
      </c>
      <c r="AZ178" s="983">
        <f>0</f>
        <v>0</v>
      </c>
      <c r="BA178" s="983">
        <f>0</f>
        <v>0</v>
      </c>
      <c r="BB178" s="983">
        <f>0</f>
        <v>0</v>
      </c>
      <c r="BC178" s="983">
        <f>0</f>
        <v>0</v>
      </c>
      <c r="BD178" s="983">
        <f>0</f>
        <v>0</v>
      </c>
      <c r="BE178" s="983">
        <f>0</f>
        <v>0</v>
      </c>
      <c r="BF178" s="983">
        <f>0</f>
        <v>0</v>
      </c>
      <c r="BG178" s="983">
        <f>0</f>
        <v>0</v>
      </c>
      <c r="BH178" s="983">
        <f>0</f>
        <v>0</v>
      </c>
      <c r="BI178" s="983">
        <f>0</f>
        <v>0</v>
      </c>
      <c r="BJ178" s="983">
        <f>0</f>
        <v>0</v>
      </c>
      <c r="BK178" s="983">
        <f>0</f>
        <v>0</v>
      </c>
      <c r="BL178" s="1622">
        <f>0</f>
        <v>0</v>
      </c>
      <c r="BM178" s="983">
        <f>0</f>
        <v>0</v>
      </c>
      <c r="BN178" s="983">
        <f>0</f>
        <v>0</v>
      </c>
      <c r="BO178" s="983">
        <f>0</f>
        <v>0</v>
      </c>
      <c r="BP178" s="1427">
        <f>0</f>
        <v>0</v>
      </c>
      <c r="BQ178" s="2376">
        <f>0</f>
        <v>0</v>
      </c>
      <c r="BR178" s="983">
        <f>0</f>
        <v>0</v>
      </c>
      <c r="BS178" s="983">
        <f>0</f>
        <v>0</v>
      </c>
      <c r="BT178" s="983">
        <f>0</f>
        <v>0</v>
      </c>
      <c r="BU178" s="983">
        <f>0</f>
        <v>0</v>
      </c>
      <c r="BV178" s="983">
        <f>0</f>
        <v>0</v>
      </c>
      <c r="BW178" s="983">
        <f>0</f>
        <v>0</v>
      </c>
      <c r="BX178" s="983">
        <f>0</f>
        <v>0</v>
      </c>
      <c r="BY178" s="983">
        <f>0</f>
        <v>0</v>
      </c>
      <c r="BZ178" s="983">
        <f>0</f>
        <v>0</v>
      </c>
      <c r="CA178" s="983">
        <f>0</f>
        <v>0</v>
      </c>
      <c r="CB178" s="983">
        <f>0</f>
        <v>0</v>
      </c>
      <c r="CC178" s="983">
        <f>0</f>
        <v>0</v>
      </c>
      <c r="CD178" s="1656">
        <f>q_XE_T*X_E</f>
        <v>2.1</v>
      </c>
      <c r="CF178" s="2385">
        <f>E220*E178+F220*F178+G220*G178+H220*H178+I220*I178+J220*J178+K220*K178+L220*L178+M220*M178+N220*N178+O220*O178+P220*P178+Q220*Q178+R220*R178+S220*S178+T220*T178+U220*U178+V220*V178+W220*W178+X220*X178+Y220*Y178+Z220*Z178+AA220*AA178+AB220*AB178+AC220*AC178+AD220*AD178+AE220*AE178+AF220*AF178+AG220*AG178+AH220*AH178+AI220*AI178+AJ220*AJ178+AK220*AK178+AL220*AL178+AM220*AM178+AN220*AN178+AO220*AO178+AP220*AP178+AQ220*AQ178+AR220*AR178+AS220*AS178+AT220*AT178+AU220*AU178+AV220*AV178+AW220*AW178+AX220*AX178+AY220*AY178+AZ220*AZ178+BA220*BA178+BB220*BB178+BC220*BC178+BD220*BD178+BE220*BE178+BF220*BF178+BG220*BG178+BH220*BH178+BI220*BI178+BJ220*BJ178+BK220*BK178+BL220*BL178+BM220*BM178+BN220*BN178+BO220*BO178+BP220*BP178+BQ220*BQ178+BR220*BR178+BS220*BS178+BT220*BT178+BU220*BU178+BV220*BV178+BW220*BW178+BX220*BX178+BY220*BY178+BZ220*BZ178+CA220*CA178+CB220*CB178+CC220*CC178</f>
        <v>0</v>
      </c>
      <c r="CG178" s="2385">
        <f>E221*E178+F221*F178+G221*G178+H221*H178+I221*I178+J221*J178+K221*K178+L221*L178+M221*M178+N221*N178+O221*O178+P221*P178+Q221*Q178+R221*R178+S221*S178+T221*T178+U221*U178+V221*V178+W221*W178+X221*X178+Y221*Y178+Z221*Z178+AA221*AA178+AB221*AB178+AC221*AC178+AD221*AD178+AE221*AE178+AF221*AF178+AG221*AG178+AH221*AH178+AI221*AI178+AJ221*AJ178+AK221*AK178+AL221*AL178+AM221*AM178+AN221*AN178+AO221*AO178+AP221*AP178+AQ221*AQ178+AR221*AR178+AS221*AS178+AT221*AT178+AU221*AU178+AV221*AV178+AW221*AW178+AX221*AX178+AY221*AY178+AZ221*AZ178+BA221*BA178+BB221*BB178+BC221*BC178+BD221*BD178+BE221*BE178+BF221*BF178+BG221*BG178+BH221*BH178+BI221*BI178+BJ221*BJ178+BK221*BK178+BL221*BL178+BM221*BM178+BN221*BN178+BO221*BO178+BP221*BP178+BQ221*BQ178+BR221*BR178+BS221*BS178+BT221*BT178+BU221*BU178+BV221*BV178+BW221*BW178+BX221*BX178+BY221*BY178+BZ221*BZ178+CA221*CA178+CB221*CB178+CC221*CC178</f>
        <v>0</v>
      </c>
      <c r="CH178" s="2386">
        <f>E222*E178+F222*F178+G222*G178+H222*H178+I222*I178+J222*J178+K222*K178+L222*L178+M222*M178+N222*N178+O222*O178+P222*P178+Q222*Q178+R222*R178+S222*S178+T222*T178+U222*U178+V222*V178+W222*W178+X222*X178+Y222*Y178+Z222*Z178+AA222*AA178+AB222*AB178+AC222*AC178+AD222*AD178+AE222*AE178+AF222*AF178+AG222*AG178+AH222*AH178+AI222*AI178+AJ222*AJ178+AK222*AK178+AL222*AL178+AM222*AM178+AN222*AN178+AO222*AO178+AP222*AP178+AQ222*AQ178+AR222*AR178+AS222*AS178+AT222*AT178+AU222*AU178+AV222*AV178+AW222*AW178+AX222*AX178+AY222*AY178+AZ222*AZ178+BA222*BA178+BB222*BB178+BC222*BC178+BD222*BD178+BE222*BE178+BF222*BF178+BG222*BG178+BH222*BH178+BI222*BI178+BJ222*BJ178+BK222*BK178+BL222*BL178+BM222*BM178+BN222*BN178+BO222*BO178+BP222*BP178+BQ222*BQ178+BR222*BR178+BS222*BS178+BT222*BT178+BU222*BU178+BV222*BV178+BW222*BW178+BX222*BX178+BY222*BY178+BZ222*BZ178+CA222*CA178+CB222*CB178+CC222*CC178</f>
        <v>0</v>
      </c>
      <c r="CI178" s="2387">
        <f>E223*E178+F223*F178+G223*G178+H223*H178+I223*I178+J223*J178+K223*K178+L223*L178+M223*M178+N223*N178+O223*O178+P223*P178+Q223*Q178+R223*R178+S223*S178+T223*T178+U223*U178+V223*V178+W223*W178+X223*X178+Y223*Y178+Z223*Z178+AA223*AA178+AB223*AB178+AC223*AC178+AD223*AD178+AE223*AE178+AF223*AF178+AG223*AG178+AH223*AH178+AI223*AI178+AJ223*AJ178+AK223*AK178+AL223*AL178+AM223*AM178+AN223*AN178+AO223*AO178+AP223*AP178+AQ223*AQ178+AR223*AR178+AS223*AS178+AT223*AT178+AU223*AU178+AV223*AV178+AW223*AW178+AX223*AX178+AY223*AY178+AZ223*AZ178+BA223*BA178+BB223*BB178+BC223*BC178+BD223*BD178+BE223*BE178+BF223*BF178+BG223*BG178+BH223*BH178+BI223*BI178+BJ223*BJ178+BK223*BK178+BL223*BL178+BM223*BM178+BN223*BN178+BO223*BO178+BP223*BP178+BQ223*BQ178+BR223*BR178+BS223*BS178+BT223*BT178+BU223*BU178+BV223*BV178+BW223*BW178+BX223*BX178+BY223*BY178+BZ223*BZ178+CA223*CA178+CB223*CB178+CC223*CC178</f>
        <v>0</v>
      </c>
      <c r="CJ178" s="2387">
        <f>E224*E178+F224*F178+G224*G178+H224*H178+I224*I178+J224*J178+K224*K178+L224*L178+M224*M178+N224*N178+O224*O178+P224*P178+Q224*Q178+R224*R178+S224*S178+T224*T178+U224*U178+V224*V178+W224*W178+X224*X178+Y224*Y178+Z224*Z178+AA224*AA178+AB224*AB178+AC224*AC178+AD224*AD178+AE224*AE178+AF224*AF178+AG224*AG178+AH224*AH178+AI224*AI178+AJ224*AJ178+AK224*AK178+AL224*AL178+AM224*AM178+AN224*AN178+AO224*AO178+AP224*AP178+AQ224*AQ178+AR224*AR178+AS224*AS178+AT224*AT178+AU224*AU178+AV224*AV178+AW224*AW178+AX224*AX178+AY224*AY178+AZ224*AZ178+BA224*BA178+BB224*BB178+BC224*BC178+BD224*BD178+BE224*BE178+BF224*BF178+BG224*BG178+BH224*BH178+BI224*BI178+BJ224*BJ178+BK224*BK178+BL224*BL178+BM224*BM178+BN224*BN178+BO224*BO178+BP224*BP178+BQ224*BQ178+BR224*BR178+BS224*BS178+BT224*BT178+BU224*BU178+BV224*BV178+BW224*BW178+BX224*BX178+BY224*BY178+BZ224*BZ178+CA224*CA178+CB224*CB178+CC224*CC178</f>
        <v>0</v>
      </c>
      <c r="CK178" s="2387">
        <f>E225*E178+F225*F178+G225*G178+H225*H178+I225*I178+J225*J178+K225*K178+L225*L178+M225*M178+N225*N178+O225*O178+P225*P178+Q225*Q178+R225*R178+S225*S178+T225*T178+U225*U178+V225*V178+W225*W178+X225*X178+Y225*Y178+Z225*Z178+AA225*AA178+AB225*AB178+AC225*AC178+AD225*AD178+AE225*AE178+AF225*AF178+AG225*AG178+AH225*AH178+AI225*AI178+AJ225*AJ178+AK225*AK178+AL225*AL178+AM225*AM178+AN225*AN178+AO225*AO178+AP225*AP178+AQ225*AQ178+AR225*AR178+AS225*AS178+AT225*AT178+AU225*AU178+AV225*AV178+AW225*AW178+AX225*AX178+AY225*AY178+AZ225*AZ178+BA225*BA178+BB225*BB178+BC225*BC178+BD225*BD178+BE225*BE178+BF225*BF178+BG225*BG178+BH225*BH178+BI225*BI178+BJ225*BJ178+BK225*BK178+BL225*BL178+BM225*BM178+BN225*BN178+BO225*BO178+BP225*BP178+BQ225*BQ178+BR225*BR178+BS225*BS178+BT225*BT178+BU225*BU178+BV225*BV178+BW225*BW178+BX225*BX178+BY225*BY178+BZ225*BZ178+CA225*CA178+CB225*CB178+CC225*CC178</f>
        <v>0</v>
      </c>
      <c r="CL178" s="2387">
        <f>E226*E178+F226*F178+G226*G178+H226*H178+I226*I178+J226*J178+K226*K178+L226*L178+M226*M178+N226*N178+O226*O178+P226*P178+Q226*Q178+R226*R178+S226*S178+T226*T178+U226*U178+V226*V178+W226*W178+X226*X178+Y226*Y178+Z226*Z178+AA226*AA178+AB226*AB178+AC226*AC178+AD226*AD178+AE226*AE178+AF226*AF178+AG226*AG178+AH226*AH178+AI226*AI178+AJ226*AJ178+AK226*AK178+AL226*AL178+AM226*AM178+AN226*AN178+AO226*AO178+AP226*AP178+AQ226*AQ178+AR226*AR178+AS226*AS178+AT226*AT178+AU226*AU178+AV226*AV178+AW226*AW178+AX226*AX178+AY226*AY178+AZ226*AZ178+BA226*BA178+BB226*BB178+BC226*BC178+BD226*BD178+BE226*BE178+BF226*BF178+BG226*BG178+BH226*BH178+BI226*BI178+BJ226*BJ178+BK226*BK178+BL226*BL178+BM226*BM178+BN226*BN178+BO226*BO178+BP226*BP178+BQ226*BQ178+BR226*BR178+BS226*BS178+BT226*BT178+BU226*BU178+BV226*BV178+BW226*BW178+BX226*BX178+BY226*BY178+BZ226*BZ178+CA226*CA178+CB226*CB178+CC226*CC178</f>
        <v>0</v>
      </c>
      <c r="CM178" s="2387">
        <f>E227*E178+F227*F178+G227*G178+H227*H178+I227*I178+J227*J178+K227*K178+L227*L178+M227*M178+N227*N178+O227*O178+P227*P178+Q227*Q178+R227*R178+S227*S178+T227*T178+U227*U178+V227*V178+W227*W178+X227*X178+Y227*Y178+Z227*Z178+AA227*AA178+AB227*AB178+AC227*AC178+AD227*AD178+AE227*AE178+AF227*AF178+AG227*AG178+AH227*AH178+AI227*AI178+AJ227*AJ178+AK227*AK178+AL227*AL178+AM227*AM178+AN227*AN178+AO227*AO178+AP227*AP178+AQ227*AQ178+AR227*AR178+AS227*AS178+AT227*AT178+AU227*AU178+AV227*AV178+AW227*AW178+AX227*AX178+AY227*AY178+AZ227*AZ178+BA227*BA178+BB227*BB178+BC227*BC178+BD227*BD178+BE227*BE178+BF227*BF178+BG227*BG178+BH227*BH178+BI227*BI178+BJ227*BJ178+BK227*BK178+BL227*BL178+BM227*BM178+BN227*BN178+BO227*BO178+BP227*BP178+BQ227*BQ178+BR227*BR178+BS227*BS178+BT227*BT178+BU227*BU178+BV227*BV178+BW227*BW178+BX227*BX178+BY227*BY178+BZ227*BZ178+CA227*CA178+CB227*CB178+CC227*CC178</f>
        <v>0</v>
      </c>
      <c r="CN178" s="2387">
        <f>E228*E178+F228*F178+G228*G178+H228*H178+I228*I178+J228*J178+K228*K178+L228*L178+M228*M178+N228*N178+O228*O178+P228*P178+Q228*Q178+R228*R178+S228*S178+T228*T178+U228*U178+V228*V178+W228*W178+X228*X178+Y228*Y178+Z228*Z178+AA228*AA178+AB228*AB178+AC228*AC178+AD228*AD178+AE228*AE178+AF228*AF178+AG228*AG178+AH228*AH178+AI228*AI178+AJ228*AJ178+AK228*AK178+AL228*AL178+AM228*AM178+AN228*AN178+AO228*AO178+AP228*AP178+AQ228*AQ178+AR228*AR178+AS228*AS178+AT228*AT178+AU228*AU178+AV228*AV178+AW228*AW178+AX228*AX178+AY228*AY178+AZ228*AZ178+BA228*BA178+BB228*BB178+BC228*BC178+BD228*BD178+BE228*BE178+BF228*BF178+BG228*BG178+BH228*BH178+BI228*BI178+BJ228*BJ178+BK228*BK178+BL228*BL178+BM228*BM178+BN228*BN178+BO228*BO178+BP228*BP178+BQ228*BQ178+BR228*BR178+BS228*BS178+BT228*BT178+BU228*BU178+BV228*BV178+BW228*BW178+BX228*BX178+BY228*BY178+BZ228*BZ178+CA228*CA178+CB228*CB178+CC228*CC178</f>
        <v>0</v>
      </c>
      <c r="CO178" s="2387">
        <f>E229*E178+F229*F178+G229*G178+H229*H178+I229*I178+J229*J178+K229*K178+L229*L178+M229*M178+N229*N178+O229*O178+P229*P178+Q229*Q178+R229*R178+S229*S178+T229*T178+U229*U178+V229*V178+W229*W178+X229*X178+Y229*Y178+Z229*Z178+AA229*AA178+AB229*AB178+AC229*AC178+AD229*AD178+AE229*AE178+AF229*AF178+AG229*AG178+AH229*AH178+AI229*AI178+AJ229*AJ178+AK229*AK178+AL229*AL178+AM229*AM178+AN229*AN178+AO229*AO178+AP229*AP178+AQ229*AQ178+AR229*AR178+AS229*AS178+AT229*AT178+AU229*AU178+AV229*AV178+AW229*AW178+AX229*AX178+AY229*AY178+AZ229*AZ178+BA229*BA178+BB229*BB178+BC229*BC178+BD229*BD178+BE229*BE178+BF229*BF178+BG229*BG178+BH229*BH178+BI229*BI178+BJ229*BJ178+BK229*BK178+BL229*BL178+BM229*BM178+BN229*BN178+BO229*BO178+BP229*BP178+BQ229*BQ178+BR229*BR178+BS229*BS178+BT229*BT178+BU229*BU178+BV229*BV178+BW229*BW178+BX229*BX178+BY229*BY178+BZ229*BZ178+CA229*CA178+CB229*CB178+CC229*CC178</f>
        <v>0</v>
      </c>
      <c r="CP178" s="2387">
        <f>E230*E178+F230*F178+G230*G178+H230*H178+I230*I178+J230*J178+K230*K178+L230*L178+M230*M178+N230*N178+O230*O178+P230*P178+Q230*Q178+R230*R178+S230*S178+T230*T178+U230*U178+V230*V178+W230*W178+X230*X178+Y230*Y178+Z230*Z178+AA230*AA178+AB230*AB178+AC230*AC178+AD230*AD178+AE230*AE178+AF230*AF178+AG230*AG178+AH230*AH178+AI230*AI178+AJ230*AJ178+AK230*AK178+AL230*AL178+AM230*AM178+AN230*AN178+AO230*AO178+AP230*AP178+AQ230*AQ178+AR230*AR178+AS230*AS178+AT230*AT178+AU230*AU178+AV230*AV178+AW230*AW178+AX230*AX178+AY230*AY178+AZ230*AZ178+BA230*BA178+BB230*BB178+BC230*BC178+BD230*BD178+BE230*BE178+BF230*BF178+BG230*BG178+BH230*BH178+BI230*BI178+BJ230*BJ178+BK230*BK178+BL230*BL178+BM230*BM178+BN230*BN178+BO230*BO178+BP230*BP178+BQ230*BQ178+BR230*BR178+BS230*BS178+BT230*BT178+BU230*BU178+BV230*BV178+BW230*BW178+BX230*BX178+BY230*BY178+BZ230*BZ178+CA230*CA178+CB230*CB178+CC230*CC178</f>
        <v>0</v>
      </c>
    </row>
    <row r="179" spans="2:94" x14ac:dyDescent="0.25">
      <c r="B179" s="1591">
        <v>60</v>
      </c>
      <c r="C179" s="1530" t="s">
        <v>2471</v>
      </c>
      <c r="D179" s="658" t="s">
        <v>1742</v>
      </c>
      <c r="E179" s="983">
        <f>0</f>
        <v>0</v>
      </c>
      <c r="F179" s="983">
        <f>1</f>
        <v>1</v>
      </c>
      <c r="G179" s="983">
        <f>0</f>
        <v>0</v>
      </c>
      <c r="H179" s="983">
        <f>0</f>
        <v>0</v>
      </c>
      <c r="I179" s="983">
        <f>0</f>
        <v>0</v>
      </c>
      <c r="J179" s="983">
        <f>0</f>
        <v>0</v>
      </c>
      <c r="K179" s="983">
        <f>0</f>
        <v>0</v>
      </c>
      <c r="L179" s="983">
        <f>0</f>
        <v>0</v>
      </c>
      <c r="M179" s="983">
        <f>0</f>
        <v>0</v>
      </c>
      <c r="N179" s="983">
        <f>0</f>
        <v>0</v>
      </c>
      <c r="O179" s="983">
        <f>0</f>
        <v>0</v>
      </c>
      <c r="P179" s="983">
        <f>-1</f>
        <v>-1</v>
      </c>
      <c r="Q179" s="983">
        <f>0</f>
        <v>0</v>
      </c>
      <c r="R179" s="983">
        <f>0</f>
        <v>0</v>
      </c>
      <c r="S179" s="983">
        <f>0</f>
        <v>0</v>
      </c>
      <c r="T179" s="983">
        <f>0</f>
        <v>0</v>
      </c>
      <c r="U179" s="983">
        <f>0</f>
        <v>0</v>
      </c>
      <c r="V179" s="983">
        <f>0</f>
        <v>0</v>
      </c>
      <c r="W179" s="983">
        <f>0</f>
        <v>0</v>
      </c>
      <c r="X179" s="983">
        <f>0</f>
        <v>0</v>
      </c>
      <c r="Y179" s="983">
        <f>0</f>
        <v>0</v>
      </c>
      <c r="Z179" s="983">
        <f>0</f>
        <v>0</v>
      </c>
      <c r="AA179" s="983">
        <f>0</f>
        <v>0</v>
      </c>
      <c r="AB179" s="983">
        <f>0</f>
        <v>0</v>
      </c>
      <c r="AC179" s="983">
        <f>0</f>
        <v>0</v>
      </c>
      <c r="AD179" s="983">
        <f>i_N_XE</f>
        <v>0.06</v>
      </c>
      <c r="AE179" s="983">
        <f>0</f>
        <v>0</v>
      </c>
      <c r="AF179" s="983">
        <f>0</f>
        <v>0</v>
      </c>
      <c r="AG179" s="983">
        <f>0</f>
        <v>0</v>
      </c>
      <c r="AH179" s="983">
        <f>0</f>
        <v>0</v>
      </c>
      <c r="AI179" s="983">
        <f>i_P_BIO</f>
        <v>0.02</v>
      </c>
      <c r="AJ179" s="983">
        <f>0</f>
        <v>0</v>
      </c>
      <c r="AK179" s="983">
        <f>0</f>
        <v>0</v>
      </c>
      <c r="AL179" s="983">
        <f>0</f>
        <v>0</v>
      </c>
      <c r="AM179" s="983">
        <f>0</f>
        <v>0</v>
      </c>
      <c r="AN179" s="983">
        <f>i_CIT_BIO-i_CIT_SB</f>
        <v>6.6000000000000003E-2</v>
      </c>
      <c r="AO179" s="983">
        <f>0</f>
        <v>0</v>
      </c>
      <c r="AP179" s="983">
        <f>0</f>
        <v>0</v>
      </c>
      <c r="AQ179" s="983">
        <f>0</f>
        <v>0</v>
      </c>
      <c r="AR179" s="983">
        <f>0</f>
        <v>0</v>
      </c>
      <c r="AS179" s="983">
        <f>0</f>
        <v>0</v>
      </c>
      <c r="AT179" s="983">
        <f>0</f>
        <v>0</v>
      </c>
      <c r="AU179" s="983">
        <f>0</f>
        <v>0</v>
      </c>
      <c r="AV179" s="983">
        <f>0</f>
        <v>0</v>
      </c>
      <c r="AW179" s="983">
        <f>0</f>
        <v>0</v>
      </c>
      <c r="AX179" s="983">
        <f>0</f>
        <v>0</v>
      </c>
      <c r="AY179" s="983">
        <f>0</f>
        <v>0</v>
      </c>
      <c r="AZ179" s="983">
        <f>0</f>
        <v>0</v>
      </c>
      <c r="BA179" s="983">
        <f>0</f>
        <v>0</v>
      </c>
      <c r="BB179" s="983">
        <f>0</f>
        <v>0</v>
      </c>
      <c r="BC179" s="983">
        <f>0</f>
        <v>0</v>
      </c>
      <c r="BD179" s="983">
        <f>0</f>
        <v>0</v>
      </c>
      <c r="BE179" s="983">
        <f>0</f>
        <v>0</v>
      </c>
      <c r="BF179" s="983">
        <f>0</f>
        <v>0</v>
      </c>
      <c r="BG179" s="983">
        <f>0</f>
        <v>0</v>
      </c>
      <c r="BH179" s="983">
        <f>0</f>
        <v>0</v>
      </c>
      <c r="BI179" s="983">
        <f>0</f>
        <v>0</v>
      </c>
      <c r="BJ179" s="983">
        <f>0</f>
        <v>0</v>
      </c>
      <c r="BK179" s="983">
        <f>0</f>
        <v>0</v>
      </c>
      <c r="BL179" s="1622">
        <f>0</f>
        <v>0</v>
      </c>
      <c r="BM179" s="983">
        <f>0</f>
        <v>0</v>
      </c>
      <c r="BN179" s="983">
        <f>0</f>
        <v>0</v>
      </c>
      <c r="BO179" s="983">
        <f>0</f>
        <v>0</v>
      </c>
      <c r="BP179" s="1427">
        <f>0</f>
        <v>0</v>
      </c>
      <c r="BQ179" s="2376">
        <f>0</f>
        <v>0</v>
      </c>
      <c r="BR179" s="983">
        <f>0</f>
        <v>0</v>
      </c>
      <c r="BS179" s="983">
        <f>0</f>
        <v>0</v>
      </c>
      <c r="BT179" s="983">
        <f>0</f>
        <v>0</v>
      </c>
      <c r="BU179" s="983">
        <f>0</f>
        <v>0</v>
      </c>
      <c r="BV179" s="983">
        <f>0</f>
        <v>0</v>
      </c>
      <c r="BW179" s="983">
        <f>0</f>
        <v>0</v>
      </c>
      <c r="BX179" s="983">
        <f>0</f>
        <v>0</v>
      </c>
      <c r="BY179" s="983">
        <f>0</f>
        <v>0</v>
      </c>
      <c r="BZ179" s="983">
        <f>0</f>
        <v>0</v>
      </c>
      <c r="CA179" s="983">
        <f>0</f>
        <v>0</v>
      </c>
      <c r="CB179" s="983">
        <f>0</f>
        <v>0</v>
      </c>
      <c r="CC179" s="983">
        <f>0</f>
        <v>0</v>
      </c>
      <c r="CD179" s="1656">
        <f>q_HYD_T*X_BIO*M_RsatXEana_XBIO_KHYD*(M_satSO2_KO2_OHO+η_HYD_anox*(M_satSNO2_KNO2_OHO+M_inhSNO2_KNO2_OHO*M_satSNO3_KNO3_OHO)*M_inhSO2_KO2_OHO)</f>
        <v>3.8522537323247517</v>
      </c>
      <c r="CF179" s="2385">
        <f>E220*E179+F220*F179+G220*G179+H220*H179+I220*I179+J220*J179+K220*K179+L220*L179+M220*M179+N220*N179+O220*O179+P220*P179+Q220*Q179+R220*R179+S220*S179+T220*T179+U220*U179+V220*V179+W220*W179+X220*X179+Y220*Y179+Z220*Z179+AA220*AA179+AB220*AB179+AC220*AC179+AD220*AD179+AE220*AE179+AF220*AF179+AG220*AG179+AH220*AH179+AI220*AI179+AJ220*AJ179+AK220*AK179+AL220*AL179+AM220*AM179+AN220*AN179+AO220*AO179+AP220*AP179+AQ220*AQ179+AR220*AR179+AS220*AS179+AT220*AT179+AU220*AU179+AV220*AV179+AW220*AW179+AX220*AX179+AY220*AY179+AZ220*AZ179+BA220*BA179+BB220*BB179+BC220*BC179+BD220*BD179+BE220*BE179+BF220*BF179+BG220*BG179+BH220*BH179+BI220*BI179+BJ220*BJ179+BK220*BK179+BL220*BL179+BM220*BM179+BN220*BN179+BO220*BO179+BP220*BP179+BQ220*BQ179+BR220*BR179+BS220*BS179+BT220*BT179+BU220*BU179+BV220*BV179+BW220*BW179+BX220*BX179+BY220*BY179+BZ220*BZ179+CA220*CA179+CB220*CB179+CC220*CC179</f>
        <v>0</v>
      </c>
      <c r="CG179" s="2385">
        <f>E221*E179+F221*F179+G221*G179+H221*H179+I221*I179+J221*J179+K221*K179+L221*L179+M221*M179+N221*N179+O221*O179+P221*P179+Q221*Q179+R221*R179+S221*S179+T221*T179+U221*U179+V221*V179+W221*W179+X221*X179+Y221*Y179+Z221*Z179+AA221*AA179+AB221*AB179+AC221*AC179+AD221*AD179+AE221*AE179+AF221*AF179+AG221*AG179+AH221*AH179+AI221*AI179+AJ221*AJ179+AK221*AK179+AL221*AL179+AM221*AM179+AN221*AN179+AO221*AO179+AP221*AP179+AQ221*AQ179+AR221*AR179+AS221*AS179+AT221*AT179+AU221*AU179+AV221*AV179+AW221*AW179+AX221*AX179+AY221*AY179+AZ221*AZ179+BA221*BA179+BB221*BB179+BC221*BC179+BD221*BD179+BE221*BE179+BF221*BF179+BG221*BG179+BH221*BH179+BI221*BI179+BJ221*BJ179+BK221*BK179+BL221*BL179+BM221*BM179+BN221*BN179+BO221*BO179+BP221*BP179+BQ221*BQ179+BR221*BR179+BS221*BS179+BT221*BT179+BU221*BU179+BV221*BV179+BW221*BW179+BX221*BX179+BY221*BY179+BZ221*BZ179+CA221*CA179+CB221*CB179+CC221*CC179</f>
        <v>0</v>
      </c>
      <c r="CH179" s="2386">
        <f>E222*E179+F222*F179+G222*G179+H222*H179+I222*I179+J222*J179+K222*K179+L222*L179+M222*M179+N222*N179+O222*O179+P222*P179+Q222*Q179+R222*R179+S222*S179+T222*T179+U222*U179+V222*V179+W222*W179+X222*X179+Y222*Y179+Z222*Z179+AA222*AA179+AB222*AB179+AC222*AC179+AD222*AD179+AE222*AE179+AF222*AF179+AG222*AG179+AH222*AH179+AI222*AI179+AJ222*AJ179+AK222*AK179+AL222*AL179+AM222*AM179+AN222*AN179+AO222*AO179+AP222*AP179+AQ222*AQ179+AR222*AR179+AS222*AS179+AT222*AT179+AU222*AU179+AV222*AV179+AW222*AW179+AX222*AX179+AY222*AY179+AZ222*AZ179+BA222*BA179+BB222*BB179+BC222*BC179+BD222*BD179+BE222*BE179+BF222*BF179+BG222*BG179+BH222*BH179+BI222*BI179+BJ222*BJ179+BK222*BK179+BL222*BL179+BM222*BM179+BN222*BN179+BO222*BO179+BP222*BP179+BQ222*BQ179+BR222*BR179+BS222*BS179+BT222*BT179+BU222*BU179+BV222*BV179+BW222*BW179+BX222*BX179+BY222*BY179+BZ222*BZ179+CA222*CA179+CB222*CB179+CC222*CC179</f>
        <v>0</v>
      </c>
      <c r="CI179" s="2387">
        <f>E223*E179+F223*F179+G223*G179+H223*H179+I223*I179+J223*J179+K223*K179+L223*L179+M223*M179+N223*N179+O223*O179+P223*P179+Q223*Q179+R223*R179+S223*S179+T223*T179+U223*U179+V223*V179+W223*W179+X223*X179+Y223*Y179+Z223*Z179+AA223*AA179+AB223*AB179+AC223*AC179+AD223*AD179+AE223*AE179+AF223*AF179+AG223*AG179+AH223*AH179+AI223*AI179+AJ223*AJ179+AK223*AK179+AL223*AL179+AM223*AM179+AN223*AN179+AO223*AO179+AP223*AP179+AQ223*AQ179+AR223*AR179+AS223*AS179+AT223*AT179+AU223*AU179+AV223*AV179+AW223*AW179+AX223*AX179+AY223*AY179+AZ223*AZ179+BA223*BA179+BB223*BB179+BC223*BC179+BD223*BD179+BE223*BE179+BF223*BF179+BG223*BG179+BH223*BH179+BI223*BI179+BJ223*BJ179+BK223*BK179+BL223*BL179+BM223*BM179+BN223*BN179+BO223*BO179+BP223*BP179+BQ223*BQ179+BR223*BR179+BS223*BS179+BT223*BT179+BU223*BU179+BV223*BV179+BW223*BW179+BX223*BX179+BY223*BY179+BZ223*BZ179+CA223*CA179+CB223*CB179+CC223*CC179</f>
        <v>0</v>
      </c>
      <c r="CJ179" s="2387">
        <f>E224*E179+F224*F179+G224*G179+H224*H179+I224*I179+J224*J179+K224*K179+L224*L179+M224*M179+N224*N179+O224*O179+P224*P179+Q224*Q179+R224*R179+S224*S179+T224*T179+U224*U179+V224*V179+W224*W179+X224*X179+Y224*Y179+Z224*Z179+AA224*AA179+AB224*AB179+AC224*AC179+AD224*AD179+AE224*AE179+AF224*AF179+AG224*AG179+AH224*AH179+AI224*AI179+AJ224*AJ179+AK224*AK179+AL224*AL179+AM224*AM179+AN224*AN179+AO224*AO179+AP224*AP179+AQ224*AQ179+AR224*AR179+AS224*AS179+AT224*AT179+AU224*AU179+AV224*AV179+AW224*AW179+AX224*AX179+AY224*AY179+AZ224*AZ179+BA224*BA179+BB224*BB179+BC224*BC179+BD224*BD179+BE224*BE179+BF224*BF179+BG224*BG179+BH224*BH179+BI224*BI179+BJ224*BJ179+BK224*BK179+BL224*BL179+BM224*BM179+BN224*BN179+BO224*BO179+BP224*BP179+BQ224*BQ179+BR224*BR179+BS224*BS179+BT224*BT179+BU224*BU179+BV224*BV179+BW224*BW179+BX224*BX179+BY224*BY179+BZ224*BZ179+CA224*CA179+CB224*CB179+CC224*CC179</f>
        <v>0</v>
      </c>
      <c r="CK179" s="2387">
        <f>E225*E179+F225*F179+G225*G179+H225*H179+I225*I179+J225*J179+K225*K179+L225*L179+M225*M179+N225*N179+O225*O179+P225*P179+Q225*Q179+R225*R179+S225*S179+T225*T179+U225*U179+V225*V179+W225*W179+X225*X179+Y225*Y179+Z225*Z179+AA225*AA179+AB225*AB179+AC225*AC179+AD225*AD179+AE225*AE179+AF225*AF179+AG225*AG179+AH225*AH179+AI225*AI179+AJ225*AJ179+AK225*AK179+AL225*AL179+AM225*AM179+AN225*AN179+AO225*AO179+AP225*AP179+AQ225*AQ179+AR225*AR179+AS225*AS179+AT225*AT179+AU225*AU179+AV225*AV179+AW225*AW179+AX225*AX179+AY225*AY179+AZ225*AZ179+BA225*BA179+BB225*BB179+BC225*BC179+BD225*BD179+BE225*BE179+BF225*BF179+BG225*BG179+BH225*BH179+BI225*BI179+BJ225*BJ179+BK225*BK179+BL225*BL179+BM225*BM179+BN225*BN179+BO225*BO179+BP225*BP179+BQ225*BQ179+BR225*BR179+BS225*BS179+BT225*BT179+BU225*BU179+BV225*BV179+BW225*BW179+BX225*BX179+BY225*BY179+BZ225*BZ179+CA225*CA179+CB225*CB179+CC225*CC179</f>
        <v>0</v>
      </c>
      <c r="CL179" s="2387">
        <f>E226*E179+F226*F179+G226*G179+H226*H179+I226*I179+J226*J179+K226*K179+L226*L179+M226*M179+N226*N179+O226*O179+P226*P179+Q226*Q179+R226*R179+S226*S179+T226*T179+U226*U179+V226*V179+W226*W179+X226*X179+Y226*Y179+Z226*Z179+AA226*AA179+AB226*AB179+AC226*AC179+AD226*AD179+AE226*AE179+AF226*AF179+AG226*AG179+AH226*AH179+AI226*AI179+AJ226*AJ179+AK226*AK179+AL226*AL179+AM226*AM179+AN226*AN179+AO226*AO179+AP226*AP179+AQ226*AQ179+AR226*AR179+AS226*AS179+AT226*AT179+AU226*AU179+AV226*AV179+AW226*AW179+AX226*AX179+AY226*AY179+AZ226*AZ179+BA226*BA179+BB226*BB179+BC226*BC179+BD226*BD179+BE226*BE179+BF226*BF179+BG226*BG179+BH226*BH179+BI226*BI179+BJ226*BJ179+BK226*BK179+BL226*BL179+BM226*BM179+BN226*BN179+BO226*BO179+BP226*BP179+BQ226*BQ179+BR226*BR179+BS226*BS179+BT226*BT179+BU226*BU179+BV226*BV179+BW226*BW179+BX226*BX179+BY226*BY179+BZ226*BZ179+CA226*CA179+CB226*CB179+CC226*CC179</f>
        <v>0</v>
      </c>
      <c r="CM179" s="2387">
        <f>E227*E179+F227*F179+G227*G179+H227*H179+I227*I179+J227*J179+K227*K179+L227*L179+M227*M179+N227*N179+O227*O179+P227*P179+Q227*Q179+R227*R179+S227*S179+T227*T179+U227*U179+V227*V179+W227*W179+X227*X179+Y227*Y179+Z227*Z179+AA227*AA179+AB227*AB179+AC227*AC179+AD227*AD179+AE227*AE179+AF227*AF179+AG227*AG179+AH227*AH179+AI227*AI179+AJ227*AJ179+AK227*AK179+AL227*AL179+AM227*AM179+AN227*AN179+AO227*AO179+AP227*AP179+AQ227*AQ179+AR227*AR179+AS227*AS179+AT227*AT179+AU227*AU179+AV227*AV179+AW227*AW179+AX227*AX179+AY227*AY179+AZ227*AZ179+BA227*BA179+BB227*BB179+BC227*BC179+BD227*BD179+BE227*BE179+BF227*BF179+BG227*BG179+BH227*BH179+BI227*BI179+BJ227*BJ179+BK227*BK179+BL227*BL179+BM227*BM179+BN227*BN179+BO227*BO179+BP227*BP179+BQ227*BQ179+BR227*BR179+BS227*BS179+BT227*BT179+BU227*BU179+BV227*BV179+BW227*BW179+BX227*BX179+BY227*BY179+BZ227*BZ179+CA227*CA179+CB227*CB179+CC227*CC179</f>
        <v>0</v>
      </c>
      <c r="CN179" s="2387">
        <f>E228*E179+F228*F179+G228*G179+H228*H179+I228*I179+J228*J179+K228*K179+L228*L179+M228*M179+N228*N179+O228*O179+P228*P179+Q228*Q179+R228*R179+S228*S179+T228*T179+U228*U179+V228*V179+W228*W179+X228*X179+Y228*Y179+Z228*Z179+AA228*AA179+AB228*AB179+AC228*AC179+AD228*AD179+AE228*AE179+AF228*AF179+AG228*AG179+AH228*AH179+AI228*AI179+AJ228*AJ179+AK228*AK179+AL228*AL179+AM228*AM179+AN228*AN179+AO228*AO179+AP228*AP179+AQ228*AQ179+AR228*AR179+AS228*AS179+AT228*AT179+AU228*AU179+AV228*AV179+AW228*AW179+AX228*AX179+AY228*AY179+AZ228*AZ179+BA228*BA179+BB228*BB179+BC228*BC179+BD228*BD179+BE228*BE179+BF228*BF179+BG228*BG179+BH228*BH179+BI228*BI179+BJ228*BJ179+BK228*BK179+BL228*BL179+BM228*BM179+BN228*BN179+BO228*BO179+BP228*BP179+BQ228*BQ179+BR228*BR179+BS228*BS179+BT228*BT179+BU228*BU179+BV228*BV179+BW228*BW179+BX228*BX179+BY228*BY179+BZ228*BZ179+CA228*CA179+CB228*CB179+CC228*CC179</f>
        <v>0</v>
      </c>
      <c r="CO179" s="2387">
        <f>E229*E179+F229*F179+G229*G179+H229*H179+I229*I179+J229*J179+K229*K179+L229*L179+M229*M179+N229*N179+O229*O179+P229*P179+Q229*Q179+R229*R179+S229*S179+T229*T179+U229*U179+V229*V179+W229*W179+X229*X179+Y229*Y179+Z229*Z179+AA229*AA179+AB229*AB179+AC229*AC179+AD229*AD179+AE229*AE179+AF229*AF179+AG229*AG179+AH229*AH179+AI229*AI179+AJ229*AJ179+AK229*AK179+AL229*AL179+AM229*AM179+AN229*AN179+AO229*AO179+AP229*AP179+AQ229*AQ179+AR229*AR179+AS229*AS179+AT229*AT179+AU229*AU179+AV229*AV179+AW229*AW179+AX229*AX179+AY229*AY179+AZ229*AZ179+BA229*BA179+BB229*BB179+BC229*BC179+BD229*BD179+BE229*BE179+BF229*BF179+BG229*BG179+BH229*BH179+BI229*BI179+BJ229*BJ179+BK229*BK179+BL229*BL179+BM229*BM179+BN229*BN179+BO229*BO179+BP229*BP179+BQ229*BQ179+BR229*BR179+BS229*BS179+BT229*BT179+BU229*BU179+BV229*BV179+BW229*BW179+BX229*BX179+BY229*BY179+BZ229*BZ179+CA229*CA179+CB229*CB179+CC229*CC179</f>
        <v>0</v>
      </c>
      <c r="CP179" s="2387">
        <f>E230*E179+F230*F179+G230*G179+H230*H179+I230*I179+J230*J179+K230*K179+L230*L179+M230*M179+N230*N179+O230*O179+P230*P179+Q230*Q179+R230*R179+S230*S179+T230*T179+U230*U179+V230*V179+W230*W179+X230*X179+Y230*Y179+Z230*Z179+AA230*AA179+AB230*AB179+AC230*AC179+AD230*AD179+AE230*AE179+AF230*AF179+AG230*AG179+AH230*AH179+AI230*AI179+AJ230*AJ179+AK230*AK179+AL230*AL179+AM230*AM179+AN230*AN179+AO230*AO179+AP230*AP179+AQ230*AQ179+AR230*AR179+AS230*AS179+AT230*AT179+AU230*AU179+AV230*AV179+AW230*AW179+AX230*AX179+AY230*AY179+AZ230*AZ179+BA230*BA179+BB230*BB179+BC230*BC179+BD230*BD179+BE230*BE179+BF230*BF179+BG230*BG179+BH230*BH179+BI230*BI179+BJ230*BJ179+BK230*BK179+BL230*BL179+BM230*BM179+BN230*BN179+BO230*BO179+BP230*BP179+BQ230*BQ179+BR230*BR179+BS230*BS179+BT230*BT179+BU230*BU179+BV230*BV179+BW230*BW179+BX230*BX179+BY230*BY179+BZ230*BZ179+CA230*CA179+CB230*CB179+CC230*CC179</f>
        <v>0</v>
      </c>
    </row>
    <row r="180" spans="2:94" x14ac:dyDescent="0.25">
      <c r="B180" s="1591">
        <v>61</v>
      </c>
      <c r="C180" s="1530" t="s">
        <v>2472</v>
      </c>
      <c r="D180" s="658" t="s">
        <v>292</v>
      </c>
      <c r="E180" s="984">
        <f>2/3</f>
        <v>0.66666666666666663</v>
      </c>
      <c r="F180" s="983">
        <f>0</f>
        <v>0</v>
      </c>
      <c r="G180" s="983">
        <f>-1</f>
        <v>-1</v>
      </c>
      <c r="H180" s="983">
        <f>0</f>
        <v>0</v>
      </c>
      <c r="I180" s="983">
        <f>0</f>
        <v>0</v>
      </c>
      <c r="J180" s="983">
        <f>0</f>
        <v>0</v>
      </c>
      <c r="K180" s="983">
        <f>0</f>
        <v>0</v>
      </c>
      <c r="L180" s="983">
        <f>0</f>
        <v>0</v>
      </c>
      <c r="M180" s="983">
        <f>0</f>
        <v>0</v>
      </c>
      <c r="N180" s="983">
        <f>0</f>
        <v>0</v>
      </c>
      <c r="O180" s="983">
        <f>0</f>
        <v>0</v>
      </c>
      <c r="P180" s="983">
        <f>0</f>
        <v>0</v>
      </c>
      <c r="Q180" s="983">
        <f>0</f>
        <v>0</v>
      </c>
      <c r="R180" s="983">
        <f>0</f>
        <v>0</v>
      </c>
      <c r="S180" s="983">
        <f>0</f>
        <v>0</v>
      </c>
      <c r="T180" s="983">
        <f>0</f>
        <v>0</v>
      </c>
      <c r="U180" s="983">
        <f>0</f>
        <v>0</v>
      </c>
      <c r="V180" s="983">
        <f>0</f>
        <v>0</v>
      </c>
      <c r="W180" s="983">
        <f>0</f>
        <v>0</v>
      </c>
      <c r="X180" s="983">
        <f>0</f>
        <v>0</v>
      </c>
      <c r="Y180" s="983">
        <f>0</f>
        <v>0</v>
      </c>
      <c r="Z180" s="983">
        <f>0</f>
        <v>0</v>
      </c>
      <c r="AA180" s="983">
        <f>0</f>
        <v>0</v>
      </c>
      <c r="AB180" s="983">
        <f>0</f>
        <v>0</v>
      </c>
      <c r="AC180" s="983">
        <f>0</f>
        <v>0</v>
      </c>
      <c r="AD180" s="983">
        <f>0</f>
        <v>0</v>
      </c>
      <c r="AE180" s="983">
        <f>0</f>
        <v>0</v>
      </c>
      <c r="AF180" s="983">
        <f>0</f>
        <v>0</v>
      </c>
      <c r="AG180" s="983">
        <f>0</f>
        <v>0</v>
      </c>
      <c r="AH180" s="983">
        <f>0</f>
        <v>0</v>
      </c>
      <c r="AI180" s="983">
        <f>0</f>
        <v>0</v>
      </c>
      <c r="AJ180" s="983">
        <f>0</f>
        <v>0</v>
      </c>
      <c r="AK180" s="983">
        <f>0</f>
        <v>0</v>
      </c>
      <c r="AL180" s="983">
        <f>0</f>
        <v>0</v>
      </c>
      <c r="AM180" s="984">
        <f>1/3</f>
        <v>0.33333333333333331</v>
      </c>
      <c r="AN180" s="983">
        <f>i_CIT_MEOL-i_CIT_VFA*2/3</f>
        <v>0</v>
      </c>
      <c r="AO180" s="983">
        <f>0</f>
        <v>0</v>
      </c>
      <c r="AP180" s="983">
        <f>0</f>
        <v>0</v>
      </c>
      <c r="AQ180" s="983">
        <f>0</f>
        <v>0</v>
      </c>
      <c r="AR180" s="983">
        <f>0</f>
        <v>0</v>
      </c>
      <c r="AS180" s="983">
        <f>0</f>
        <v>0</v>
      </c>
      <c r="AT180" s="983">
        <f>0</f>
        <v>0</v>
      </c>
      <c r="AU180" s="983">
        <f>0</f>
        <v>0</v>
      </c>
      <c r="AV180" s="983">
        <f>0</f>
        <v>0</v>
      </c>
      <c r="AW180" s="983">
        <f>0</f>
        <v>0</v>
      </c>
      <c r="AX180" s="983">
        <f>0</f>
        <v>0</v>
      </c>
      <c r="AY180" s="983">
        <f>0</f>
        <v>0</v>
      </c>
      <c r="AZ180" s="983">
        <f>0</f>
        <v>0</v>
      </c>
      <c r="BA180" s="983">
        <f>0</f>
        <v>0</v>
      </c>
      <c r="BB180" s="983">
        <f>0</f>
        <v>0</v>
      </c>
      <c r="BC180" s="983">
        <f>0</f>
        <v>0</v>
      </c>
      <c r="BD180" s="983">
        <f>0</f>
        <v>0</v>
      </c>
      <c r="BE180" s="983">
        <f>0</f>
        <v>0</v>
      </c>
      <c r="BF180" s="983">
        <f>0</f>
        <v>0</v>
      </c>
      <c r="BG180" s="983">
        <f>0</f>
        <v>0</v>
      </c>
      <c r="BH180" s="983">
        <f>0</f>
        <v>0</v>
      </c>
      <c r="BI180" s="983">
        <f>0</f>
        <v>0</v>
      </c>
      <c r="BJ180" s="983">
        <f>0</f>
        <v>0</v>
      </c>
      <c r="BK180" s="983">
        <f>0</f>
        <v>0</v>
      </c>
      <c r="BL180" s="1622">
        <f>0</f>
        <v>0</v>
      </c>
      <c r="BM180" s="983">
        <f>0</f>
        <v>0</v>
      </c>
      <c r="BN180" s="983">
        <f>0</f>
        <v>0</v>
      </c>
      <c r="BO180" s="983">
        <f>0</f>
        <v>0</v>
      </c>
      <c r="BP180" s="1427">
        <f>0</f>
        <v>0</v>
      </c>
      <c r="BQ180" s="2376">
        <f>0</f>
        <v>0</v>
      </c>
      <c r="BR180" s="983">
        <f>0</f>
        <v>0</v>
      </c>
      <c r="BS180" s="983">
        <f>0</f>
        <v>0</v>
      </c>
      <c r="BT180" s="983">
        <f>0</f>
        <v>0</v>
      </c>
      <c r="BU180" s="983">
        <f>0</f>
        <v>0</v>
      </c>
      <c r="BV180" s="983">
        <f>0</f>
        <v>0</v>
      </c>
      <c r="BW180" s="983">
        <f>0</f>
        <v>0</v>
      </c>
      <c r="BX180" s="983">
        <f>0</f>
        <v>0</v>
      </c>
      <c r="BY180" s="983">
        <f>0</f>
        <v>0</v>
      </c>
      <c r="BZ180" s="983">
        <f>0</f>
        <v>0</v>
      </c>
      <c r="CA180" s="983">
        <f>0</f>
        <v>0</v>
      </c>
      <c r="CB180" s="983">
        <f>0</f>
        <v>0</v>
      </c>
      <c r="CC180" s="983">
        <f>0</f>
        <v>0</v>
      </c>
      <c r="CD180" s="1656">
        <f>q_MEOL*S_MEOL*M_satSCO2_KCO2_BIO*M_inhSO2_KO2_OHO*M_inhSNO3_KNO3_OHO*M_inhSNO2_KNO2_OHO</f>
        <v>4.4871981449680319E-53</v>
      </c>
      <c r="CF180" s="2385">
        <f>E220*E180+F220*F180+G220*G180+H220*H180+I220*I180+J220*J180+K220*K180+L220*L180+M220*M180+N220*N180+O220*O180+P220*P180+Q220*Q180+R220*R180+S220*S180+T220*T180+U220*U180+V220*V180+W220*W180+X220*X180+Y220*Y180+Z220*Z180+AA220*AA180+AB220*AB180+AC220*AC180+AD220*AD180+AE220*AE180+AF220*AF180+AG220*AG180+AH220*AH180+AI220*AI180+AJ220*AJ180+AK220*AK180+AL220*AL180+AM220*AM180+AN220*AN180+AO220*AO180+AP220*AP180+AQ220*AQ180+AR220*AR180+AS220*AS180+AT220*AT180+AU220*AU180+AV220*AV180+AW220*AW180+AX220*AX180+AY220*AY180+AZ220*AZ180+BA220*BA180+BB220*BB180+BC220*BC180+BD220*BD180+BE220*BE180+BF220*BF180+BG220*BG180+BH220*BH180+BI220*BI180+BJ220*BJ180+BK220*BK180+BL220*BL180+BM220*BM180+BN220*BN180+BO220*BO180+BP220*BP180+BQ220*BQ180+BR220*BR180+BS220*BS180+BT220*BT180+BU220*BU180+BV220*BV180+BW220*BW180+BX220*BX180+BY220*BY180+BZ220*BZ180+CA220*CA180+CB220*CB180+CC220*CC180</f>
        <v>-5.5511151231257827E-17</v>
      </c>
      <c r="CG180" s="2385">
        <f>E221*E180+F221*F180+G221*G180+H221*H180+I221*I180+J221*J180+K221*K180+L221*L180+M221*M180+N221*N180+O221*O180+P221*P180+Q221*Q180+R221*R180+S221*S180+T221*T180+U221*U180+V221*V180+W221*W180+X221*X180+Y221*Y180+Z221*Z180+AA221*AA180+AB221*AB180+AC221*AC180+AD221*AD180+AE221*AE180+AF221*AF180+AG221*AG180+AH221*AH180+AI221*AI180+AJ221*AJ180+AK221*AK180+AL221*AL180+AM221*AM180+AN221*AN180+AO221*AO180+AP221*AP180+AQ221*AQ180+AR221*AR180+AS221*AS180+AT221*AT180+AU221*AU180+AV221*AV180+AW221*AW180+AX221*AX180+AY221*AY180+AZ221*AZ180+BA221*BA180+BB221*BB180+BC221*BC180+BD221*BD180+BE221*BE180+BF221*BF180+BG221*BG180+BH221*BH180+BI221*BI180+BJ221*BJ180+BK221*BK180+BL221*BL180+BM221*BM180+BN221*BN180+BO221*BO180+BP221*BP180+BQ221*BQ180+BR221*BR180+BS221*BS180+BT221*BT180+BU221*BU180+BV221*BV180+BW221*BW180+BX221*BX180+BY221*BY180+BZ221*BZ180+CA221*CA180+CB221*CB180+CC221*CC180</f>
        <v>0</v>
      </c>
      <c r="CH180" s="2386">
        <f>E222*E180+F222*F180+G222*G180+H222*H180+I222*I180+J222*J180+K222*K180+L222*L180+M222*M180+N222*N180+O222*O180+P222*P180+Q222*Q180+R222*R180+S222*S180+T222*T180+U222*U180+V222*V180+W222*W180+X222*X180+Y222*Y180+Z222*Z180+AA222*AA180+AB222*AB180+AC222*AC180+AD222*AD180+AE222*AE180+AF222*AF180+AG222*AG180+AH222*AH180+AI222*AI180+AJ222*AJ180+AK222*AK180+AL222*AL180+AM222*AM180+AN222*AN180+AO222*AO180+AP222*AP180+AQ222*AQ180+AR222*AR180+AS222*AS180+AT222*AT180+AU222*AU180+AV222*AV180+AW222*AW180+AX222*AX180+AY222*AY180+AZ222*AZ180+BA222*BA180+BB222*BB180+BC222*BC180+BD222*BD180+BE222*BE180+BF222*BF180+BG222*BG180+BH222*BH180+BI222*BI180+BJ222*BJ180+BK222*BK180+BL222*BL180+BM222*BM180+BN222*BN180+BO222*BO180+BP222*BP180+BQ222*BQ180+BR222*BR180+BS222*BS180+BT222*BT180+BU222*BU180+BV222*BV180+BW222*BW180+BX222*BX180+BY222*BY180+BZ222*BZ180+CA222*CA180+CB222*CB180+CC222*CC180</f>
        <v>0</v>
      </c>
      <c r="CI180" s="2387">
        <f>E223*E180+F223*F180+G223*G180+H223*H180+I223*I180+J223*J180+K223*K180+L223*L180+M223*M180+N223*N180+O223*O180+P223*P180+Q223*Q180+R223*R180+S223*S180+T223*T180+U223*U180+V223*V180+W223*W180+X223*X180+Y223*Y180+Z223*Z180+AA223*AA180+AB223*AB180+AC223*AC180+AD223*AD180+AE223*AE180+AF223*AF180+AG223*AG180+AH223*AH180+AI223*AI180+AJ223*AJ180+AK223*AK180+AL223*AL180+AM223*AM180+AN223*AN180+AO223*AO180+AP223*AP180+AQ223*AQ180+AR223*AR180+AS223*AS180+AT223*AT180+AU223*AU180+AV223*AV180+AW223*AW180+AX223*AX180+AY223*AY180+AZ223*AZ180+BA223*BA180+BB223*BB180+BC223*BC180+BD223*BD180+BE223*BE180+BF223*BF180+BG223*BG180+BH223*BH180+BI223*BI180+BJ223*BJ180+BK223*BK180+BL223*BL180+BM223*BM180+BN223*BN180+BO223*BO180+BP223*BP180+BQ223*BQ180+BR223*BR180+BS223*BS180+BT223*BT180+BU223*BU180+BV223*BV180+BW223*BW180+BX223*BX180+BY223*BY180+BZ223*BZ180+CA223*CA180+CB223*CB180+CC223*CC180</f>
        <v>0</v>
      </c>
      <c r="CJ180" s="2387">
        <f>E224*E180+F224*F180+G224*G180+H224*H180+I224*I180+J224*J180+K224*K180+L224*L180+M224*M180+N224*N180+O224*O180+P224*P180+Q224*Q180+R224*R180+S224*S180+T224*T180+U224*U180+V224*V180+W224*W180+X224*X180+Y224*Y180+Z224*Z180+AA224*AA180+AB224*AB180+AC224*AC180+AD224*AD180+AE224*AE180+AF224*AF180+AG224*AG180+AH224*AH180+AI224*AI180+AJ224*AJ180+AK224*AK180+AL224*AL180+AM224*AM180+AN224*AN180+AO224*AO180+AP224*AP180+AQ224*AQ180+AR224*AR180+AS224*AS180+AT224*AT180+AU224*AU180+AV224*AV180+AW224*AW180+AX224*AX180+AY224*AY180+AZ224*AZ180+BA224*BA180+BB224*BB180+BC224*BC180+BD224*BD180+BE224*BE180+BF224*BF180+BG224*BG180+BH224*BH180+BI224*BI180+BJ224*BJ180+BK224*BK180+BL224*BL180+BM224*BM180+BN224*BN180+BO224*BO180+BP224*BP180+BQ224*BQ180+BR224*BR180+BS224*BS180+BT224*BT180+BU224*BU180+BV224*BV180+BW224*BW180+BX224*BX180+BY224*BY180+BZ224*BZ180+CA224*CA180+CB224*CB180+CC224*CC180</f>
        <v>0</v>
      </c>
      <c r="CK180" s="2387">
        <f>E225*E180+F225*F180+G225*G180+H225*H180+I225*I180+J225*J180+K225*K180+L225*L180+M225*M180+N225*N180+O225*O180+P225*P180+Q225*Q180+R225*R180+S225*S180+T225*T180+U225*U180+V225*V180+W225*W180+X225*X180+Y225*Y180+Z225*Z180+AA225*AA180+AB225*AB180+AC225*AC180+AD225*AD180+AE225*AE180+AF225*AF180+AG225*AG180+AH225*AH180+AI225*AI180+AJ225*AJ180+AK225*AK180+AL225*AL180+AM225*AM180+AN225*AN180+AO225*AO180+AP225*AP180+AQ225*AQ180+AR225*AR180+AS225*AS180+AT225*AT180+AU225*AU180+AV225*AV180+AW225*AW180+AX225*AX180+AY225*AY180+AZ225*AZ180+BA225*BA180+BB225*BB180+BC225*BC180+BD225*BD180+BE225*BE180+BF225*BF180+BG225*BG180+BH225*BH180+BI225*BI180+BJ225*BJ180+BK225*BK180+BL225*BL180+BM225*BM180+BN225*BN180+BO225*BO180+BP225*BP180+BQ225*BQ180+BR225*BR180+BS225*BS180+BT225*BT180+BU225*BU180+BV225*BV180+BW225*BW180+BX225*BX180+BY225*BY180+BZ225*BZ180+CA225*CA180+CB225*CB180+CC225*CC180</f>
        <v>0</v>
      </c>
      <c r="CL180" s="2387">
        <f>E226*E180+F226*F180+G226*G180+H226*H180+I226*I180+J226*J180+K226*K180+L226*L180+M226*M180+N226*N180+O226*O180+P226*P180+Q226*Q180+R226*R180+S226*S180+T226*T180+U226*U180+V226*V180+W226*W180+X226*X180+Y226*Y180+Z226*Z180+AA226*AA180+AB226*AB180+AC226*AC180+AD226*AD180+AE226*AE180+AF226*AF180+AG226*AG180+AH226*AH180+AI226*AI180+AJ226*AJ180+AK226*AK180+AL226*AL180+AM226*AM180+AN226*AN180+AO226*AO180+AP226*AP180+AQ226*AQ180+AR226*AR180+AS226*AS180+AT226*AT180+AU226*AU180+AV226*AV180+AW226*AW180+AX226*AX180+AY226*AY180+AZ226*AZ180+BA226*BA180+BB226*BB180+BC226*BC180+BD226*BD180+BE226*BE180+BF226*BF180+BG226*BG180+BH226*BH180+BI226*BI180+BJ226*BJ180+BK226*BK180+BL226*BL180+BM226*BM180+BN226*BN180+BO226*BO180+BP226*BP180+BQ226*BQ180+BR226*BR180+BS226*BS180+BT226*BT180+BU226*BU180+BV226*BV180+BW226*BW180+BX226*BX180+BY226*BY180+BZ226*BZ180+CA226*CA180+CB226*CB180+CC226*CC180</f>
        <v>0</v>
      </c>
      <c r="CM180" s="2387">
        <f>E227*E180+F227*F180+G227*G180+H227*H180+I227*I180+J227*J180+K227*K180+L227*L180+M227*M180+N227*N180+O227*O180+P227*P180+Q227*Q180+R227*R180+S227*S180+T227*T180+U227*U180+V227*V180+W227*W180+X227*X180+Y227*Y180+Z227*Z180+AA227*AA180+AB227*AB180+AC227*AC180+AD227*AD180+AE227*AE180+AF227*AF180+AG227*AG180+AH227*AH180+AI227*AI180+AJ227*AJ180+AK227*AK180+AL227*AL180+AM227*AM180+AN227*AN180+AO227*AO180+AP227*AP180+AQ227*AQ180+AR227*AR180+AS227*AS180+AT227*AT180+AU227*AU180+AV227*AV180+AW227*AW180+AX227*AX180+AY227*AY180+AZ227*AZ180+BA227*BA180+BB227*BB180+BC227*BC180+BD227*BD180+BE227*BE180+BF227*BF180+BG227*BG180+BH227*BH180+BI227*BI180+BJ227*BJ180+BK227*BK180+BL227*BL180+BM227*BM180+BN227*BN180+BO227*BO180+BP227*BP180+BQ227*BQ180+BR227*BR180+BS227*BS180+BT227*BT180+BU227*BU180+BV227*BV180+BW227*BW180+BX227*BX180+BY227*BY180+BZ227*BZ180+CA227*CA180+CB227*CB180+CC227*CC180</f>
        <v>0</v>
      </c>
      <c r="CN180" s="2387">
        <f>E228*E180+F228*F180+G228*G180+H228*H180+I228*I180+J228*J180+K228*K180+L228*L180+M228*M180+N228*N180+O228*O180+P228*P180+Q228*Q180+R228*R180+S228*S180+T228*T180+U228*U180+V228*V180+W228*W180+X228*X180+Y228*Y180+Z228*Z180+AA228*AA180+AB228*AB180+AC228*AC180+AD228*AD180+AE228*AE180+AF228*AF180+AG228*AG180+AH228*AH180+AI228*AI180+AJ228*AJ180+AK228*AK180+AL228*AL180+AM228*AM180+AN228*AN180+AO228*AO180+AP228*AP180+AQ228*AQ180+AR228*AR180+AS228*AS180+AT228*AT180+AU228*AU180+AV228*AV180+AW228*AW180+AX228*AX180+AY228*AY180+AZ228*AZ180+BA228*BA180+BB228*BB180+BC228*BC180+BD228*BD180+BE228*BE180+BF228*BF180+BG228*BG180+BH228*BH180+BI228*BI180+BJ228*BJ180+BK228*BK180+BL228*BL180+BM228*BM180+BN228*BN180+BO228*BO180+BP228*BP180+BQ228*BQ180+BR228*BR180+BS228*BS180+BT228*BT180+BU228*BU180+BV228*BV180+BW228*BW180+BX228*BX180+BY228*BY180+BZ228*BZ180+CA228*CA180+CB228*CB180+CC228*CC180</f>
        <v>0</v>
      </c>
      <c r="CO180" s="2387">
        <f>E229*E180+F229*F180+G229*G180+H229*H180+I229*I180+J229*J180+K229*K180+L229*L180+M229*M180+N229*N180+O229*O180+P229*P180+Q229*Q180+R229*R180+S229*S180+T229*T180+U229*U180+V229*V180+W229*W180+X229*X180+Y229*Y180+Z229*Z180+AA229*AA180+AB229*AB180+AC229*AC180+AD229*AD180+AE229*AE180+AF229*AF180+AG229*AG180+AH229*AH180+AI229*AI180+AJ229*AJ180+AK229*AK180+AL229*AL180+AM229*AM180+AN229*AN180+AO229*AO180+AP229*AP180+AQ229*AQ180+AR229*AR180+AS229*AS180+AT229*AT180+AU229*AU180+AV229*AV180+AW229*AW180+AX229*AX180+AY229*AY180+AZ229*AZ180+BA229*BA180+BB229*BB180+BC229*BC180+BD229*BD180+BE229*BE180+BF229*BF180+BG229*BG180+BH229*BH180+BI229*BI180+BJ229*BJ180+BK229*BK180+BL229*BL180+BM229*BM180+BN229*BN180+BO229*BO180+BP229*BP180+BQ229*BQ180+BR229*BR180+BS229*BS180+BT229*BT180+BU229*BU180+BV229*BV180+BW229*BW180+BX229*BX180+BY229*BY180+BZ229*BZ180+CA229*CA180+CB229*CB180+CC229*CC180</f>
        <v>0</v>
      </c>
      <c r="CP180" s="2387">
        <f>E230*E180+F230*F180+G230*G180+H230*H180+I230*I180+J230*J180+K230*K180+L230*L180+M230*M180+N230*N180+O230*O180+P230*P180+Q230*Q180+R230*R180+S230*S180+T230*T180+U230*U180+V230*V180+W230*W180+X230*X180+Y230*Y180+Z230*Z180+AA230*AA180+AB230*AB180+AC230*AC180+AD230*AD180+AE230*AE180+AF230*AF180+AG230*AG180+AH230*AH180+AI230*AI180+AJ230*AJ180+AK230*AK180+AL230*AL180+AM230*AM180+AN230*AN180+AO230*AO180+AP230*AP180+AQ230*AQ180+AR230*AR180+AS230*AS180+AT230*AT180+AU230*AU180+AV230*AV180+AW230*AW180+AX230*AX180+AY230*AY180+AZ230*AZ180+BA230*BA180+BB230*BB180+BC230*BC180+BD230*BD180+BE230*BE180+BF230*BF180+BG230*BG180+BH230*BH180+BI230*BI180+BJ230*BJ180+BK230*BK180+BL230*BL180+BM230*BM180+BN230*BN180+BO230*BO180+BP230*BP180+BQ230*BQ180+BR230*BR180+BS230*BS180+BT230*BT180+BU230*BU180+BV230*BV180+BW230*BW180+BX230*BX180+BY230*BY180+BZ230*BZ180+CA230*CA180+CB230*CB180+CC230*CC180</f>
        <v>0</v>
      </c>
    </row>
    <row r="181" spans="2:94" ht="18" x14ac:dyDescent="0.25">
      <c r="B181" s="1591">
        <v>62</v>
      </c>
      <c r="C181" s="1530" t="s">
        <v>2473</v>
      </c>
      <c r="D181" s="658" t="s">
        <v>2377</v>
      </c>
      <c r="E181" s="983">
        <f>0</f>
        <v>0</v>
      </c>
      <c r="F181" s="983">
        <f>0</f>
        <v>0</v>
      </c>
      <c r="G181" s="983">
        <f>0</f>
        <v>0</v>
      </c>
      <c r="H181" s="983">
        <f>0</f>
        <v>0</v>
      </c>
      <c r="I181" s="983">
        <f>0</f>
        <v>0</v>
      </c>
      <c r="J181" s="983">
        <f>0</f>
        <v>0</v>
      </c>
      <c r="K181" s="983">
        <f>0</f>
        <v>0</v>
      </c>
      <c r="L181" s="983">
        <f>0</f>
        <v>0</v>
      </c>
      <c r="M181" s="983">
        <f>0</f>
        <v>0</v>
      </c>
      <c r="N181" s="983">
        <f>0</f>
        <v>0</v>
      </c>
      <c r="O181" s="983">
        <f>0</f>
        <v>0</v>
      </c>
      <c r="P181" s="983">
        <f>0</f>
        <v>0</v>
      </c>
      <c r="Q181" s="984">
        <f>-E_EQNO2*X_OHO/X_BIO</f>
        <v>-1.6233078575034114</v>
      </c>
      <c r="R181" s="984">
        <f>-E_EQNO2*X_CASTO/X_BIO</f>
        <v>-1.6233078575034114</v>
      </c>
      <c r="S181" s="984">
        <f>-E_EQNO2*X_MEOLO/X_BIO</f>
        <v>-3.2466157150068229E-3</v>
      </c>
      <c r="T181" s="984">
        <f>-E_EQNO2*X_AOB/X_BIO</f>
        <v>-0.10713831859522514</v>
      </c>
      <c r="U181" s="984">
        <f>-E_EQNO2*X_NOB/X_BIO</f>
        <v>-6.4932314300136462E-2</v>
      </c>
      <c r="V181" s="984">
        <f>-E_EQNO2*X_AMX/X_BIO</f>
        <v>-3.2466157150068229E-3</v>
      </c>
      <c r="W181" s="984">
        <f>-E_EQNO2*X_AMETO/X_BIO</f>
        <v>-9.7398471450204683E-4</v>
      </c>
      <c r="X181" s="984">
        <f>-E_EQNO2*X_HMETO/X_BIO</f>
        <v>-6.4932314300136459E-4</v>
      </c>
      <c r="Y181" s="983">
        <f>1+E_EQNO2*i_N_BIO</f>
        <v>1.2398762021032792</v>
      </c>
      <c r="Z181" s="983">
        <f>-1</f>
        <v>-1</v>
      </c>
      <c r="AA181" s="983">
        <f>0</f>
        <v>0</v>
      </c>
      <c r="AB181" s="983">
        <f>0</f>
        <v>0</v>
      </c>
      <c r="AC181" s="983">
        <f>0</f>
        <v>0</v>
      </c>
      <c r="AD181" s="983">
        <f>0</f>
        <v>0</v>
      </c>
      <c r="AE181" s="983">
        <f>0</f>
        <v>0</v>
      </c>
      <c r="AF181" s="983">
        <f>E_EQNO2*i_P_BIO</f>
        <v>6.8536057743794038E-2</v>
      </c>
      <c r="AG181" s="983">
        <f>0</f>
        <v>0</v>
      </c>
      <c r="AH181" s="983">
        <f>0</f>
        <v>0</v>
      </c>
      <c r="AI181" s="983">
        <f>0</f>
        <v>0</v>
      </c>
      <c r="AJ181" s="983">
        <f>0</f>
        <v>0</v>
      </c>
      <c r="AK181" s="983">
        <f>0</f>
        <v>0</v>
      </c>
      <c r="AL181" s="983">
        <f>0</f>
        <v>0</v>
      </c>
      <c r="AM181" s="983">
        <f>0</f>
        <v>0</v>
      </c>
      <c r="AN181" s="983">
        <f>i_CIT_BIO*E_EQNO2</f>
        <v>1.2062346162907749</v>
      </c>
      <c r="AO181" s="983">
        <f>0</f>
        <v>0</v>
      </c>
      <c r="AP181" s="983">
        <f>0</f>
        <v>0</v>
      </c>
      <c r="AQ181" s="983">
        <f>0</f>
        <v>0</v>
      </c>
      <c r="AR181" s="983">
        <f>0</f>
        <v>0</v>
      </c>
      <c r="AS181" s="983">
        <f>0</f>
        <v>0</v>
      </c>
      <c r="AT181" s="983">
        <f>0</f>
        <v>0</v>
      </c>
      <c r="AU181" s="983">
        <f>0</f>
        <v>0</v>
      </c>
      <c r="AV181" s="983">
        <f>0</f>
        <v>0</v>
      </c>
      <c r="AW181" s="983">
        <f>0</f>
        <v>0</v>
      </c>
      <c r="AX181" s="983">
        <f>0</f>
        <v>0</v>
      </c>
      <c r="AY181" s="983">
        <f>0</f>
        <v>0</v>
      </c>
      <c r="AZ181" s="983">
        <f>0</f>
        <v>0</v>
      </c>
      <c r="BA181" s="983">
        <f>0</f>
        <v>0</v>
      </c>
      <c r="BB181" s="983">
        <f>0</f>
        <v>0</v>
      </c>
      <c r="BC181" s="983">
        <f>0</f>
        <v>0</v>
      </c>
      <c r="BD181" s="983">
        <f>0</f>
        <v>0</v>
      </c>
      <c r="BE181" s="983">
        <f>0</f>
        <v>0</v>
      </c>
      <c r="BF181" s="983">
        <f>0</f>
        <v>0</v>
      </c>
      <c r="BG181" s="983">
        <f>0</f>
        <v>0</v>
      </c>
      <c r="BH181" s="983">
        <f>0</f>
        <v>0</v>
      </c>
      <c r="BI181" s="983">
        <f>0</f>
        <v>0</v>
      </c>
      <c r="BJ181" s="983">
        <f>0</f>
        <v>0</v>
      </c>
      <c r="BK181" s="983">
        <f>0</f>
        <v>0</v>
      </c>
      <c r="BL181" s="1622">
        <f>0</f>
        <v>0</v>
      </c>
      <c r="BM181" s="983">
        <f>0</f>
        <v>0</v>
      </c>
      <c r="BN181" s="983">
        <f>0</f>
        <v>0</v>
      </c>
      <c r="BO181" s="983">
        <f>0</f>
        <v>0</v>
      </c>
      <c r="BP181" s="1427">
        <f>0</f>
        <v>0</v>
      </c>
      <c r="BQ181" s="2376">
        <f>0</f>
        <v>0</v>
      </c>
      <c r="BR181" s="983">
        <f>0</f>
        <v>0</v>
      </c>
      <c r="BS181" s="983">
        <f>0</f>
        <v>0</v>
      </c>
      <c r="BT181" s="983">
        <f>0</f>
        <v>0</v>
      </c>
      <c r="BU181" s="983">
        <f>0</f>
        <v>0</v>
      </c>
      <c r="BV181" s="983">
        <f>0</f>
        <v>0</v>
      </c>
      <c r="BW181" s="983">
        <f>0</f>
        <v>0</v>
      </c>
      <c r="BX181" s="983">
        <f>0</f>
        <v>0</v>
      </c>
      <c r="BY181" s="983">
        <f>0</f>
        <v>0</v>
      </c>
      <c r="BZ181" s="983">
        <f>0</f>
        <v>0</v>
      </c>
      <c r="CA181" s="983">
        <f>0</f>
        <v>0</v>
      </c>
      <c r="CB181" s="983">
        <f>0</f>
        <v>0</v>
      </c>
      <c r="CC181" s="983">
        <f>0</f>
        <v>0</v>
      </c>
      <c r="CD181" s="1656">
        <f>q_ASSIM_T*X_BIO*M_satSNO2_KNO2_ASSIM*M_inhSNHx_KiNHx_ASSIM</f>
        <v>0.52226362066491516</v>
      </c>
      <c r="CF181" s="2385">
        <f>E220*E181+F220*F181+G220*G181+H220*H181+I220*I181+J220*J181+K220*K181+L220*L181+M220*M181+N220*N181+O220*O181+P220*P181+Q220*Q181+R220*R181+S220*S181+T220*T181+U220*U181+V220*V181+W220*W181+X220*X181+Y220*Y181+Z220*Z181+AA220*AA181+AB220*AB181+AC220*AC181+AD220*AD181+AE220*AE181+AF220*AF181+AG220*AG181+AH220*AH181+AI220*AI181+AJ220*AJ181+AK220*AK181+AL220*AL181+AM220*AM181+AN220*AN181+AO220*AO181+AP220*AP181+AQ220*AQ181+AR220*AR181+AS220*AS181+AT220*AT181+AU220*AU181+AV220*AV181+AW220*AW181+AX220*AX181+AY220*AY181+AZ220*AZ181+BA220*BA181+BB220*BB181+BC220*BC181+BD220*BD181+BE220*BE181+BF220*BF181+BG220*BG181+BH220*BH181+BI220*BI181+BJ220*BJ181+BK220*BK181+BL220*BL181+BM220*BM181+BN220*BN181+BO220*BO181+BP220*BP181+BQ220*BQ181+BR220*BR181+BS220*BS181+BT220*BT181+BU220*BU181+BV220*BV181+BW220*BW181+BX220*BX181+BY220*BY181+BZ220*BZ181+CA220*CA181+CB220*CB181+CC220*CC181</f>
        <v>0</v>
      </c>
      <c r="CG181" s="2385">
        <f>E221*E181+F221*F181+G221*G181+H221*H181+I221*I181+J221*J181+K221*K181+L221*L181+M221*M181+N221*N181+O221*O181+P221*P181+Q221*Q181+R221*R181+S221*S181+T221*T181+U221*U181+V221*V181+W221*W181+X221*X181+Y221*Y181+Z221*Z181+AA221*AA181+AB221*AB181+AC221*AC181+AD221*AD181+AE221*AE181+AF221*AF181+AG221*AG181+AH221*AH181+AI221*AI181+AJ221*AJ181+AK221*AK181+AL221*AL181+AM221*AM181+AN221*AN181+AO221*AO181+AP221*AP181+AQ221*AQ181+AR221*AR181+AS221*AS181+AT221*AT181+AU221*AU181+AV221*AV181+AW221*AW181+AX221*AX181+AY221*AY181+AZ221*AZ181+BA221*BA181+BB221*BB181+BC221*BC181+BD221*BD181+BE221*BE181+BF221*BF181+BG221*BG181+BH221*BH181+BI221*BI181+BJ221*BJ181+BK221*BK181+BL221*BL181+BM221*BM181+BN221*BN181+BO221*BO181+BP221*BP181+BQ221*BQ181+BR221*BR181+BS221*BS181+BT221*BT181+BU221*BU181+BV221*BV181+BW221*BW181+BX221*BX181+BY221*BY181+BZ221*BZ181+CA221*CA181+CB221*CB181+CC221*CC181</f>
        <v>0</v>
      </c>
      <c r="CH181" s="2386">
        <f>E222*E181+F222*F181+G222*G181+H222*H181+I222*I181+J222*J181+K222*K181+L222*L181+M222*M181+N222*N181+O222*O181+P222*P181+Q222*Q181+R222*R181+S222*S181+T222*T181+U222*U181+V222*V181+W222*W181+X222*X181+Y222*Y181+Z222*Z181+AA222*AA181+AB222*AB181+AC222*AC181+AD222*AD181+AE222*AE181+AF222*AF181+AG222*AG181+AH222*AH181+AI222*AI181+AJ222*AJ181+AK222*AK181+AL222*AL181+AM222*AM181+AN222*AN181+AO222*AO181+AP222*AP181+AQ222*AQ181+AR222*AR181+AS222*AS181+AT222*AT181+AU222*AU181+AV222*AV181+AW222*AW181+AX222*AX181+AY222*AY181+AZ222*AZ181+BA222*BA181+BB222*BB181+BC222*BC181+BD222*BD181+BE222*BE181+BF222*BF181+BG222*BG181+BH222*BH181+BI222*BI181+BJ222*BJ181+BK222*BK181+BL222*BL181+BM222*BM181+BN222*BN181+BO222*BO181+BP222*BP181+BQ222*BQ181+BR222*BR181+BS222*BS181+BT222*BT181+BU222*BU181+BV222*BV181+BW222*BW181+BX222*BX181+BY222*BY181+BZ222*BZ181+CA222*CA181+CB222*CB181+CC222*CC181</f>
        <v>0</v>
      </c>
      <c r="CI181" s="2387">
        <f>E223*E181+F223*F181+G223*G181+H223*H181+I223*I181+J223*J181+K223*K181+L223*L181+M223*M181+N223*N181+O223*O181+P223*P181+Q223*Q181+R223*R181+S223*S181+T223*T181+U223*U181+V223*V181+W223*W181+X223*X181+Y223*Y181+Z223*Z181+AA223*AA181+AB223*AB181+AC223*AC181+AD223*AD181+AE223*AE181+AF223*AF181+AG223*AG181+AH223*AH181+AI223*AI181+AJ223*AJ181+AK223*AK181+AL223*AL181+AM223*AM181+AN223*AN181+AO223*AO181+AP223*AP181+AQ223*AQ181+AR223*AR181+AS223*AS181+AT223*AT181+AU223*AU181+AV223*AV181+AW223*AW181+AX223*AX181+AY223*AY181+AZ223*AZ181+BA223*BA181+BB223*BB181+BC223*BC181+BD223*BD181+BE223*BE181+BF223*BF181+BG223*BG181+BH223*BH181+BI223*BI181+BJ223*BJ181+BK223*BK181+BL223*BL181+BM223*BM181+BN223*BN181+BO223*BO181+BP223*BP181+BQ223*BQ181+BR223*BR181+BS223*BS181+BT223*BT181+BU223*BU181+BV223*BV181+BW223*BW181+BX223*BX181+BY223*BY181+BZ223*BZ181+CA223*CA181+CB223*CB181+CC223*CC181</f>
        <v>1.3877787807814457E-17</v>
      </c>
      <c r="CJ181" s="2387">
        <f>E224*E181+F224*F181+G224*G181+H224*H181+I224*I181+J224*J181+K224*K181+L224*L181+M224*M181+N224*N181+O224*O181+P224*P181+Q224*Q181+R224*R181+S224*S181+T224*T181+U224*U181+V224*V181+W224*W181+X224*X181+Y224*Y181+Z224*Z181+AA224*AA181+AB224*AB181+AC224*AC181+AD224*AD181+AE224*AE181+AF224*AF181+AG224*AG181+AH224*AH181+AI224*AI181+AJ224*AJ181+AK224*AK181+AL224*AL181+AM224*AM181+AN224*AN181+AO224*AO181+AP224*AP181+AQ224*AQ181+AR224*AR181+AS224*AS181+AT224*AT181+AU224*AU181+AV224*AV181+AW224*AW181+AX224*AX181+AY224*AY181+AZ224*AZ181+BA224*BA181+BB224*BB181+BC224*BC181+BD224*BD181+BE224*BE181+BF224*BF181+BG224*BG181+BH224*BH181+BI224*BI181+BJ224*BJ181+BK224*BK181+BL224*BL181+BM224*BM181+BN224*BN181+BO224*BO181+BP224*BP181+BQ224*BQ181+BR224*BR181+BS224*BS181+BT224*BT181+BU224*BU181+BV224*BV181+BW224*BW181+BX224*BX181+BY224*BY181+BZ224*BZ181+CA224*CA181+CB224*CB181+CC224*CC181</f>
        <v>0</v>
      </c>
      <c r="CK181" s="2387">
        <f>E225*E181+F225*F181+G225*G181+H225*H181+I225*I181+J225*J181+K225*K181+L225*L181+M225*M181+N225*N181+O225*O181+P225*P181+Q225*Q181+R225*R181+S225*S181+T225*T181+U225*U181+V225*V181+W225*W181+X225*X181+Y225*Y181+Z225*Z181+AA225*AA181+AB225*AB181+AC225*AC181+AD225*AD181+AE225*AE181+AF225*AF181+AG225*AG181+AH225*AH181+AI225*AI181+AJ225*AJ181+AK225*AK181+AL225*AL181+AM225*AM181+AN225*AN181+AO225*AO181+AP225*AP181+AQ225*AQ181+AR225*AR181+AS225*AS181+AT225*AT181+AU225*AU181+AV225*AV181+AW225*AW181+AX225*AX181+AY225*AY181+AZ225*AZ181+BA225*BA181+BB225*BB181+BC225*BC181+BD225*BD181+BE225*BE181+BF225*BF181+BG225*BG181+BH225*BH181+BI225*BI181+BJ225*BJ181+BK225*BK181+BL225*BL181+BM225*BM181+BN225*BN181+BO225*BO181+BP225*BP181+BQ225*BQ181+BR225*BR181+BS225*BS181+BT225*BT181+BU225*BU181+BV225*BV181+BW225*BW181+BX225*BX181+BY225*BY181+BZ225*BZ181+CA225*CA181+CB225*CB181+CC225*CC181</f>
        <v>0</v>
      </c>
      <c r="CL181" s="2387">
        <f>E226*E181+F226*F181+G226*G181+H226*H181+I226*I181+J226*J181+K226*K181+L226*L181+M226*M181+N226*N181+O226*O181+P226*P181+Q226*Q181+R226*R181+S226*S181+T226*T181+U226*U181+V226*V181+W226*W181+X226*X181+Y226*Y181+Z226*Z181+AA226*AA181+AB226*AB181+AC226*AC181+AD226*AD181+AE226*AE181+AF226*AF181+AG226*AG181+AH226*AH181+AI226*AI181+AJ226*AJ181+AK226*AK181+AL226*AL181+AM226*AM181+AN226*AN181+AO226*AO181+AP226*AP181+AQ226*AQ181+AR226*AR181+AS226*AS181+AT226*AT181+AU226*AU181+AV226*AV181+AW226*AW181+AX226*AX181+AY226*AY181+AZ226*AZ181+BA226*BA181+BB226*BB181+BC226*BC181+BD226*BD181+BE226*BE181+BF226*BF181+BG226*BG181+BH226*BH181+BI226*BI181+BJ226*BJ181+BK226*BK181+BL226*BL181+BM226*BM181+BN226*BN181+BO226*BO181+BP226*BP181+BQ226*BQ181+BR226*BR181+BS226*BS181+BT226*BT181+BU226*BU181+BV226*BV181+BW226*BW181+BX226*BX181+BY226*BY181+BZ226*BZ181+CA226*CA181+CB226*CB181+CC226*CC181</f>
        <v>0</v>
      </c>
      <c r="CM181" s="2387">
        <f>E227*E181+F227*F181+G227*G181+H227*H181+I227*I181+J227*J181+K227*K181+L227*L181+M227*M181+N227*N181+O227*O181+P227*P181+Q227*Q181+R227*R181+S227*S181+T227*T181+U227*U181+V227*V181+W227*W181+X227*X181+Y227*Y181+Z227*Z181+AA227*AA181+AB227*AB181+AC227*AC181+AD227*AD181+AE227*AE181+AF227*AF181+AG227*AG181+AH227*AH181+AI227*AI181+AJ227*AJ181+AK227*AK181+AL227*AL181+AM227*AM181+AN227*AN181+AO227*AO181+AP227*AP181+AQ227*AQ181+AR227*AR181+AS227*AS181+AT227*AT181+AU227*AU181+AV227*AV181+AW227*AW181+AX227*AX181+AY227*AY181+AZ227*AZ181+BA227*BA181+BB227*BB181+BC227*BC181+BD227*BD181+BE227*BE181+BF227*BF181+BG227*BG181+BH227*BH181+BI227*BI181+BJ227*BJ181+BK227*BK181+BL227*BL181+BM227*BM181+BN227*BN181+BO227*BO181+BP227*BP181+BQ227*BQ181+BR227*BR181+BS227*BS181+BT227*BT181+BU227*BU181+BV227*BV181+BW227*BW181+BX227*BX181+BY227*BY181+BZ227*BZ181+CA227*CA181+CB227*CB181+CC227*CC181</f>
        <v>0</v>
      </c>
      <c r="CN181" s="2387">
        <f>E228*E181+F228*F181+G228*G181+H228*H181+I228*I181+J228*J181+K228*K181+L228*L181+M228*M181+N228*N181+O228*O181+P228*P181+Q228*Q181+R228*R181+S228*S181+T228*T181+U228*U181+V228*V181+W228*W181+X228*X181+Y228*Y181+Z228*Z181+AA228*AA181+AB228*AB181+AC228*AC181+AD228*AD181+AE228*AE181+AF228*AF181+AG228*AG181+AH228*AH181+AI228*AI181+AJ228*AJ181+AK228*AK181+AL228*AL181+AM228*AM181+AN228*AN181+AO228*AO181+AP228*AP181+AQ228*AQ181+AR228*AR181+AS228*AS181+AT228*AT181+AU228*AU181+AV228*AV181+AW228*AW181+AX228*AX181+AY228*AY181+AZ228*AZ181+BA228*BA181+BB228*BB181+BC228*BC181+BD228*BD181+BE228*BE181+BF228*BF181+BG228*BG181+BH228*BH181+BI228*BI181+BJ228*BJ181+BK228*BK181+BL228*BL181+BM228*BM181+BN228*BN181+BO228*BO181+BP228*BP181+BQ228*BQ181+BR228*BR181+BS228*BS181+BT228*BT181+BU228*BU181+BV228*BV181+BW228*BW181+BX228*BX181+BY228*BY181+BZ228*BZ181+CA228*CA181+CB228*CB181+CC228*CC181</f>
        <v>0</v>
      </c>
      <c r="CO181" s="2387">
        <f>E229*E181+F229*F181+G229*G181+H229*H181+I229*I181+J229*J181+K229*K181+L229*L181+M229*M181+N229*N181+O229*O181+P229*P181+Q229*Q181+R229*R181+S229*S181+T229*T181+U229*U181+V229*V181+W229*W181+X229*X181+Y229*Y181+Z229*Z181+AA229*AA181+AB229*AB181+AC229*AC181+AD229*AD181+AE229*AE181+AF229*AF181+AG229*AG181+AH229*AH181+AI229*AI181+AJ229*AJ181+AK229*AK181+AL229*AL181+AM229*AM181+AN229*AN181+AO229*AO181+AP229*AP181+AQ229*AQ181+AR229*AR181+AS229*AS181+AT229*AT181+AU229*AU181+AV229*AV181+AW229*AW181+AX229*AX181+AY229*AY181+AZ229*AZ181+BA229*BA181+BB229*BB181+BC229*BC181+BD229*BD181+BE229*BE181+BF229*BF181+BG229*BG181+BH229*BH181+BI229*BI181+BJ229*BJ181+BK229*BK181+BL229*BL181+BM229*BM181+BN229*BN181+BO229*BO181+BP229*BP181+BQ229*BQ181+BR229*BR181+BS229*BS181+BT229*BT181+BU229*BU181+BV229*BV181+BW229*BW181+BX229*BX181+BY229*BY181+BZ229*BZ181+CA229*CA181+CB229*CB181+CC229*CC181</f>
        <v>0</v>
      </c>
      <c r="CP181" s="2387">
        <f>E230*E181+F230*F181+G230*G181+H230*H181+I230*I181+J230*J181+K230*K181+L230*L181+M230*M181+N230*N181+O230*O181+P230*P181+Q230*Q181+R230*R181+S230*S181+T230*T181+U230*U181+V230*V181+W230*W181+X230*X181+Y230*Y181+Z230*Z181+AA230*AA181+AB230*AB181+AC230*AC181+AD230*AD181+AE230*AE181+AF230*AF181+AG230*AG181+AH230*AH181+AI230*AI181+AJ230*AJ181+AK230*AK181+AL230*AL181+AM230*AM181+AN230*AN181+AO230*AO181+AP230*AP181+AQ230*AQ181+AR230*AR181+AS230*AS181+AT230*AT181+AU230*AU181+AV230*AV181+AW230*AW181+AX230*AX181+AY230*AY181+AZ230*AZ181+BA230*BA181+BB230*BB181+BC230*BC181+BD230*BD181+BE230*BE181+BF230*BF181+BG230*BG181+BH230*BH181+BI230*BI181+BJ230*BJ181+BK230*BK181+BL230*BL181+BM230*BM181+BN230*BN181+BO230*BO181+BP230*BP181+BQ230*BQ181+BR230*BR181+BS230*BS181+BT230*BT181+BU230*BU181+BV230*BV181+BW230*BW181+BX230*BX181+BY230*BY181+BZ230*BZ181+CA230*CA181+CB230*CB181+CC230*CC181</f>
        <v>0</v>
      </c>
    </row>
    <row r="182" spans="2:94" ht="18" x14ac:dyDescent="0.25">
      <c r="B182" s="1591">
        <v>63</v>
      </c>
      <c r="C182" s="1530" t="s">
        <v>2474</v>
      </c>
      <c r="D182" s="658" t="s">
        <v>1697</v>
      </c>
      <c r="E182" s="983">
        <f>0</f>
        <v>0</v>
      </c>
      <c r="F182" s="983">
        <f>0</f>
        <v>0</v>
      </c>
      <c r="G182" s="983">
        <f>0</f>
        <v>0</v>
      </c>
      <c r="H182" s="983">
        <f>0</f>
        <v>0</v>
      </c>
      <c r="I182" s="983">
        <f>0</f>
        <v>0</v>
      </c>
      <c r="J182" s="983">
        <f>0</f>
        <v>0</v>
      </c>
      <c r="K182" s="983">
        <f>0</f>
        <v>0</v>
      </c>
      <c r="L182" s="983">
        <f>0</f>
        <v>0</v>
      </c>
      <c r="M182" s="983">
        <f>0</f>
        <v>0</v>
      </c>
      <c r="N182" s="983">
        <f>0</f>
        <v>0</v>
      </c>
      <c r="O182" s="983">
        <f>0</f>
        <v>0</v>
      </c>
      <c r="P182" s="983">
        <f>0</f>
        <v>0</v>
      </c>
      <c r="Q182" s="984">
        <f>-E_EQNO3*X_OHO/X_BIO</f>
        <v>-2.1644104766712156</v>
      </c>
      <c r="R182" s="984">
        <f>-E_EQNO3*X_CASTO/X_BIO</f>
        <v>-2.1644104766712156</v>
      </c>
      <c r="S182" s="984">
        <f>-E_EQNO3*X_MEOLO/X_BIO</f>
        <v>-4.3288209533424308E-3</v>
      </c>
      <c r="T182" s="984">
        <f>-E_EQNO3*X_AOB/X_BIO</f>
        <v>-0.1428510914603002</v>
      </c>
      <c r="U182" s="984">
        <f>-E_EQNO3*X_NOB/X_BIO</f>
        <v>-8.6576419066848612E-2</v>
      </c>
      <c r="V182" s="984">
        <f>-E_EQNO3*X_AMX/X_BIO</f>
        <v>-4.3288209533424308E-3</v>
      </c>
      <c r="W182" s="984">
        <f>-E_EQNO3*X_AMETO/X_BIO</f>
        <v>-1.2986462860027292E-3</v>
      </c>
      <c r="X182" s="984">
        <f>-E_EQNO3*X_HMETO/X_BIO</f>
        <v>-8.6576419066848609E-4</v>
      </c>
      <c r="Y182" s="983">
        <f>1+E_EQNO3*i_N_BIO</f>
        <v>1.3198349361377055</v>
      </c>
      <c r="Z182" s="983">
        <f>0</f>
        <v>0</v>
      </c>
      <c r="AA182" s="983">
        <f>-1</f>
        <v>-1</v>
      </c>
      <c r="AB182" s="983">
        <f>0</f>
        <v>0</v>
      </c>
      <c r="AC182" s="983">
        <f>0</f>
        <v>0</v>
      </c>
      <c r="AD182" s="983">
        <f>0</f>
        <v>0</v>
      </c>
      <c r="AE182" s="983">
        <f>0</f>
        <v>0</v>
      </c>
      <c r="AF182" s="983">
        <f>E_EQNO3*i_P_BIO</f>
        <v>9.1381410325058712E-2</v>
      </c>
      <c r="AG182" s="983">
        <f>0</f>
        <v>0</v>
      </c>
      <c r="AH182" s="983">
        <f>0</f>
        <v>0</v>
      </c>
      <c r="AI182" s="983">
        <f>0</f>
        <v>0</v>
      </c>
      <c r="AJ182" s="983">
        <f>0</f>
        <v>0</v>
      </c>
      <c r="AK182" s="983">
        <f>0</f>
        <v>0</v>
      </c>
      <c r="AL182" s="983">
        <f>0</f>
        <v>0</v>
      </c>
      <c r="AM182" s="983">
        <f>0</f>
        <v>0</v>
      </c>
      <c r="AN182" s="983">
        <f>i_CIT_BIO*E_EQNO3</f>
        <v>1.6083128217210332</v>
      </c>
      <c r="AO182" s="983">
        <f>0</f>
        <v>0</v>
      </c>
      <c r="AP182" s="983">
        <f>0</f>
        <v>0</v>
      </c>
      <c r="AQ182" s="983">
        <f>0</f>
        <v>0</v>
      </c>
      <c r="AR182" s="983">
        <f>0</f>
        <v>0</v>
      </c>
      <c r="AS182" s="983">
        <f>0</f>
        <v>0</v>
      </c>
      <c r="AT182" s="983">
        <f>0</f>
        <v>0</v>
      </c>
      <c r="AU182" s="983">
        <f>0</f>
        <v>0</v>
      </c>
      <c r="AV182" s="983">
        <f>0</f>
        <v>0</v>
      </c>
      <c r="AW182" s="983">
        <f>0</f>
        <v>0</v>
      </c>
      <c r="AX182" s="983">
        <f>0</f>
        <v>0</v>
      </c>
      <c r="AY182" s="983">
        <f>0</f>
        <v>0</v>
      </c>
      <c r="AZ182" s="983">
        <f>0</f>
        <v>0</v>
      </c>
      <c r="BA182" s="983">
        <f>0</f>
        <v>0</v>
      </c>
      <c r="BB182" s="983">
        <f>0</f>
        <v>0</v>
      </c>
      <c r="BC182" s="983">
        <f>0</f>
        <v>0</v>
      </c>
      <c r="BD182" s="983">
        <f>0</f>
        <v>0</v>
      </c>
      <c r="BE182" s="983">
        <f>0</f>
        <v>0</v>
      </c>
      <c r="BF182" s="983">
        <f>0</f>
        <v>0</v>
      </c>
      <c r="BG182" s="983">
        <f>0</f>
        <v>0</v>
      </c>
      <c r="BH182" s="983">
        <f>0</f>
        <v>0</v>
      </c>
      <c r="BI182" s="983">
        <f>0</f>
        <v>0</v>
      </c>
      <c r="BJ182" s="983">
        <f>0</f>
        <v>0</v>
      </c>
      <c r="BK182" s="983">
        <f>0</f>
        <v>0</v>
      </c>
      <c r="BL182" s="1622">
        <f>0</f>
        <v>0</v>
      </c>
      <c r="BM182" s="983">
        <f>0</f>
        <v>0</v>
      </c>
      <c r="BN182" s="983">
        <f>0</f>
        <v>0</v>
      </c>
      <c r="BO182" s="983">
        <f>0</f>
        <v>0</v>
      </c>
      <c r="BP182" s="1427">
        <f>0</f>
        <v>0</v>
      </c>
      <c r="BQ182" s="2376">
        <f>0</f>
        <v>0</v>
      </c>
      <c r="BR182" s="983">
        <f>0</f>
        <v>0</v>
      </c>
      <c r="BS182" s="983">
        <f>0</f>
        <v>0</v>
      </c>
      <c r="BT182" s="983">
        <f>0</f>
        <v>0</v>
      </c>
      <c r="BU182" s="983">
        <f>0</f>
        <v>0</v>
      </c>
      <c r="BV182" s="983">
        <f>0</f>
        <v>0</v>
      </c>
      <c r="BW182" s="983">
        <f>0</f>
        <v>0</v>
      </c>
      <c r="BX182" s="983">
        <f>0</f>
        <v>0</v>
      </c>
      <c r="BY182" s="983">
        <f>0</f>
        <v>0</v>
      </c>
      <c r="BZ182" s="983">
        <f>0</f>
        <v>0</v>
      </c>
      <c r="CA182" s="983">
        <f>0</f>
        <v>0</v>
      </c>
      <c r="CB182" s="983">
        <f>0</f>
        <v>0</v>
      </c>
      <c r="CC182" s="983">
        <f>0</f>
        <v>0</v>
      </c>
      <c r="CD182" s="1656">
        <f>q_ASSIM_T*X_BIO*M_satSNO3_KNO3_ASSIM*M_inhSNO2_KNO2_ASSIM*M_inhSNHx_KiNHx_ASSIM</f>
        <v>5.2215918882714974E-3</v>
      </c>
      <c r="CF182" s="2385">
        <f>E220*E182+F220*F182+G220*G182+H220*H182+I220*I182+J220*J182+K220*K182+L220*L182+M220*M182+N220*N182+O220*O182+P220*P182+Q220*Q182+R220*R182+S220*S182+T220*T182+U220*U182+V220*V182+W220*W182+X220*X182+Y220*Y182+Z220*Z182+AA220*AA182+AB220*AB182+AC220*AC182+AD220*AD182+AE220*AE182+AF220*AF182+AG220*AG182+AH220*AH182+AI220*AI182+AJ220*AJ182+AK220*AK182+AL220*AL182+AM220*AM182+AN220*AN182+AO220*AO182+AP220*AP182+AQ220*AQ182+AR220*AR182+AS220*AS182+AT220*AT182+AU220*AU182+AV220*AV182+AW220*AW182+AX220*AX182+AY220*AY182+AZ220*AZ182+BA220*BA182+BB220*BB182+BC220*BC182+BD220*BD182+BE220*BE182+BF220*BF182+BG220*BG182+BH220*BH182+BI220*BI182+BJ220*BJ182+BK220*BK182+BL220*BL182+BM220*BM182+BN220*BN182+BO220*BO182+BP220*BP182+BQ220*BQ182+BR220*BR182+BS220*BS182+BT220*BT182+BU220*BU182+BV220*BV182+BW220*BW182+BX220*BX182+BY220*BY182+BZ220*BZ182+CA220*CA182+CB220*CB182+CC220*CC182</f>
        <v>-8.8817841970012523E-16</v>
      </c>
      <c r="CG182" s="2385">
        <f>E221*E182+F221*F182+G221*G182+H221*H182+I221*I182+J221*J182+K221*K182+L221*L182+M221*M182+N221*N182+O221*O182+P221*P182+Q221*Q182+R221*R182+S221*S182+T221*T182+U221*U182+V221*V182+W221*W182+X221*X182+Y221*Y182+Z221*Z182+AA221*AA182+AB221*AB182+AC221*AC182+AD221*AD182+AE221*AE182+AF221*AF182+AG221*AG182+AH221*AH182+AI221*AI182+AJ221*AJ182+AK221*AK182+AL221*AL182+AM221*AM182+AN221*AN182+AO221*AO182+AP221*AP182+AQ221*AQ182+AR221*AR182+AS221*AS182+AT221*AT182+AU221*AU182+AV221*AV182+AW221*AW182+AX221*AX182+AY221*AY182+AZ221*AZ182+BA221*BA182+BB221*BB182+BC221*BC182+BD221*BD182+BE221*BE182+BF221*BF182+BG221*BG182+BH221*BH182+BI221*BI182+BJ221*BJ182+BK221*BK182+BL221*BL182+BM221*BM182+BN221*BN182+BO221*BO182+BP221*BP182+BQ221*BQ182+BR221*BR182+BS221*BS182+BT221*BT182+BU221*BU182+BV221*BV182+BW221*BW182+BX221*BX182+BY221*BY182+BZ221*BZ182+CA221*CA182+CB221*CB182+CC221*CC182</f>
        <v>-2.2204460492503131E-16</v>
      </c>
      <c r="CH182" s="2386">
        <f>E222*E182+F222*F182+G222*G182+H222*H182+I222*I182+J222*J182+K222*K182+L222*L182+M222*M182+N222*N182+O222*O182+P222*P182+Q222*Q182+R222*R182+S222*S182+T222*T182+U222*U182+V222*V182+W222*W182+X222*X182+Y222*Y182+Z222*Z182+AA222*AA182+AB222*AB182+AC222*AC182+AD222*AD182+AE222*AE182+AF222*AF182+AG222*AG182+AH222*AH182+AI222*AI182+AJ222*AJ182+AK222*AK182+AL222*AL182+AM222*AM182+AN222*AN182+AO222*AO182+AP222*AP182+AQ222*AQ182+AR222*AR182+AS222*AS182+AT222*AT182+AU222*AU182+AV222*AV182+AW222*AW182+AX222*AX182+AY222*AY182+AZ222*AZ182+BA222*BA182+BB222*BB182+BC222*BC182+BD222*BD182+BE222*BE182+BF222*BF182+BG222*BG182+BH222*BH182+BI222*BI182+BJ222*BJ182+BK222*BK182+BL222*BL182+BM222*BM182+BN222*BN182+BO222*BO182+BP222*BP182+BQ222*BQ182+BR222*BR182+BS222*BS182+BT222*BT182+BU222*BU182+BV222*BV182+BW222*BW182+BX222*BX182+BY222*BY182+BZ222*BZ182+CA222*CA182+CB222*CB182+CC222*CC182</f>
        <v>0</v>
      </c>
      <c r="CI182" s="2387">
        <f>E223*E182+F223*F182+G223*G182+H223*H182+I223*I182+J223*J182+K223*K182+L223*L182+M223*M182+N223*N182+O223*O182+P223*P182+Q223*Q182+R223*R182+S223*S182+T223*T182+U223*U182+V223*V182+W223*W182+X223*X182+Y223*Y182+Z223*Z182+AA223*AA182+AB223*AB182+AC223*AC182+AD223*AD182+AE223*AE182+AF223*AF182+AG223*AG182+AH223*AH182+AI223*AI182+AJ223*AJ182+AK223*AK182+AL223*AL182+AM223*AM182+AN223*AN182+AO223*AO182+AP223*AP182+AQ223*AQ182+AR223*AR182+AS223*AS182+AT223*AT182+AU223*AU182+AV223*AV182+AW223*AW182+AX223*AX182+AY223*AY182+AZ223*AZ182+BA223*BA182+BB223*BB182+BC223*BC182+BD223*BD182+BE223*BE182+BF223*BF182+BG223*BG182+BH223*BH182+BI223*BI182+BJ223*BJ182+BK223*BK182+BL223*BL182+BM223*BM182+BN223*BN182+BO223*BO182+BP223*BP182+BQ223*BQ182+BR223*BR182+BS223*BS182+BT223*BT182+BU223*BU182+BV223*BV182+BW223*BW182+BX223*BX182+BY223*BY182+BZ223*BZ182+CA223*CA182+CB223*CB182+CC223*CC182</f>
        <v>-2.7755575615628914E-17</v>
      </c>
      <c r="CJ182" s="2387">
        <f>E224*E182+F224*F182+G224*G182+H224*H182+I224*I182+J224*J182+K224*K182+L224*L182+M224*M182+N224*N182+O224*O182+P224*P182+Q224*Q182+R224*R182+S224*S182+T224*T182+U224*U182+V224*V182+W224*W182+X224*X182+Y224*Y182+Z224*Z182+AA224*AA182+AB224*AB182+AC224*AC182+AD224*AD182+AE224*AE182+AF224*AF182+AG224*AG182+AH224*AH182+AI224*AI182+AJ224*AJ182+AK224*AK182+AL224*AL182+AM224*AM182+AN224*AN182+AO224*AO182+AP224*AP182+AQ224*AQ182+AR224*AR182+AS224*AS182+AT224*AT182+AU224*AU182+AV224*AV182+AW224*AW182+AX224*AX182+AY224*AY182+AZ224*AZ182+BA224*BA182+BB224*BB182+BC224*BC182+BD224*BD182+BE224*BE182+BF224*BF182+BG224*BG182+BH224*BH182+BI224*BI182+BJ224*BJ182+BK224*BK182+BL224*BL182+BM224*BM182+BN224*BN182+BO224*BO182+BP224*BP182+BQ224*BQ182+BR224*BR182+BS224*BS182+BT224*BT182+BU224*BU182+BV224*BV182+BW224*BW182+BX224*BX182+BY224*BY182+BZ224*BZ182+CA224*CA182+CB224*CB182+CC224*CC182</f>
        <v>0</v>
      </c>
      <c r="CK182" s="2387">
        <f>E225*E182+F225*F182+G225*G182+H225*H182+I225*I182+J225*J182+K225*K182+L225*L182+M225*M182+N225*N182+O225*O182+P225*P182+Q225*Q182+R225*R182+S225*S182+T225*T182+U225*U182+V225*V182+W225*W182+X225*X182+Y225*Y182+Z225*Z182+AA225*AA182+AB225*AB182+AC225*AC182+AD225*AD182+AE225*AE182+AF225*AF182+AG225*AG182+AH225*AH182+AI225*AI182+AJ225*AJ182+AK225*AK182+AL225*AL182+AM225*AM182+AN225*AN182+AO225*AO182+AP225*AP182+AQ225*AQ182+AR225*AR182+AS225*AS182+AT225*AT182+AU225*AU182+AV225*AV182+AW225*AW182+AX225*AX182+AY225*AY182+AZ225*AZ182+BA225*BA182+BB225*BB182+BC225*BC182+BD225*BD182+BE225*BE182+BF225*BF182+BG225*BG182+BH225*BH182+BI225*BI182+BJ225*BJ182+BK225*BK182+BL225*BL182+BM225*BM182+BN225*BN182+BO225*BO182+BP225*BP182+BQ225*BQ182+BR225*BR182+BS225*BS182+BT225*BT182+BU225*BU182+BV225*BV182+BW225*BW182+BX225*BX182+BY225*BY182+BZ225*BZ182+CA225*CA182+CB225*CB182+CC225*CC182</f>
        <v>0</v>
      </c>
      <c r="CL182" s="2387">
        <f>E226*E182+F226*F182+G226*G182+H226*H182+I226*I182+J226*J182+K226*K182+L226*L182+M226*M182+N226*N182+O226*O182+P226*P182+Q226*Q182+R226*R182+S226*S182+T226*T182+U226*U182+V226*V182+W226*W182+X226*X182+Y226*Y182+Z226*Z182+AA226*AA182+AB226*AB182+AC226*AC182+AD226*AD182+AE226*AE182+AF226*AF182+AG226*AG182+AH226*AH182+AI226*AI182+AJ226*AJ182+AK226*AK182+AL226*AL182+AM226*AM182+AN226*AN182+AO226*AO182+AP226*AP182+AQ226*AQ182+AR226*AR182+AS226*AS182+AT226*AT182+AU226*AU182+AV226*AV182+AW226*AW182+AX226*AX182+AY226*AY182+AZ226*AZ182+BA226*BA182+BB226*BB182+BC226*BC182+BD226*BD182+BE226*BE182+BF226*BF182+BG226*BG182+BH226*BH182+BI226*BI182+BJ226*BJ182+BK226*BK182+BL226*BL182+BM226*BM182+BN226*BN182+BO226*BO182+BP226*BP182+BQ226*BQ182+BR226*BR182+BS226*BS182+BT226*BT182+BU226*BU182+BV226*BV182+BW226*BW182+BX226*BX182+BY226*BY182+BZ226*BZ182+CA226*CA182+CB226*CB182+CC226*CC182</f>
        <v>0</v>
      </c>
      <c r="CM182" s="2387">
        <f>E227*E182+F227*F182+G227*G182+H227*H182+I227*I182+J227*J182+K227*K182+L227*L182+M227*M182+N227*N182+O227*O182+P227*P182+Q227*Q182+R227*R182+S227*S182+T227*T182+U227*U182+V227*V182+W227*W182+X227*X182+Y227*Y182+Z227*Z182+AA227*AA182+AB227*AB182+AC227*AC182+AD227*AD182+AE227*AE182+AF227*AF182+AG227*AG182+AH227*AH182+AI227*AI182+AJ227*AJ182+AK227*AK182+AL227*AL182+AM227*AM182+AN227*AN182+AO227*AO182+AP227*AP182+AQ227*AQ182+AR227*AR182+AS227*AS182+AT227*AT182+AU227*AU182+AV227*AV182+AW227*AW182+AX227*AX182+AY227*AY182+AZ227*AZ182+BA227*BA182+BB227*BB182+BC227*BC182+BD227*BD182+BE227*BE182+BF227*BF182+BG227*BG182+BH227*BH182+BI227*BI182+BJ227*BJ182+BK227*BK182+BL227*BL182+BM227*BM182+BN227*BN182+BO227*BO182+BP227*BP182+BQ227*BQ182+BR227*BR182+BS227*BS182+BT227*BT182+BU227*BU182+BV227*BV182+BW227*BW182+BX227*BX182+BY227*BY182+BZ227*BZ182+CA227*CA182+CB227*CB182+CC227*CC182</f>
        <v>0</v>
      </c>
      <c r="CN182" s="2387">
        <f>E228*E182+F228*F182+G228*G182+H228*H182+I228*I182+J228*J182+K228*K182+L228*L182+M228*M182+N228*N182+O228*O182+P228*P182+Q228*Q182+R228*R182+S228*S182+T228*T182+U228*U182+V228*V182+W228*W182+X228*X182+Y228*Y182+Z228*Z182+AA228*AA182+AB228*AB182+AC228*AC182+AD228*AD182+AE228*AE182+AF228*AF182+AG228*AG182+AH228*AH182+AI228*AI182+AJ228*AJ182+AK228*AK182+AL228*AL182+AM228*AM182+AN228*AN182+AO228*AO182+AP228*AP182+AQ228*AQ182+AR228*AR182+AS228*AS182+AT228*AT182+AU228*AU182+AV228*AV182+AW228*AW182+AX228*AX182+AY228*AY182+AZ228*AZ182+BA228*BA182+BB228*BB182+BC228*BC182+BD228*BD182+BE228*BE182+BF228*BF182+BG228*BG182+BH228*BH182+BI228*BI182+BJ228*BJ182+BK228*BK182+BL228*BL182+BM228*BM182+BN228*BN182+BO228*BO182+BP228*BP182+BQ228*BQ182+BR228*BR182+BS228*BS182+BT228*BT182+BU228*BU182+BV228*BV182+BW228*BW182+BX228*BX182+BY228*BY182+BZ228*BZ182+CA228*CA182+CB228*CB182+CC228*CC182</f>
        <v>0</v>
      </c>
      <c r="CO182" s="2387">
        <f>E229*E182+F229*F182+G229*G182+H229*H182+I229*I182+J229*J182+K229*K182+L229*L182+M229*M182+N229*N182+O229*O182+P229*P182+Q229*Q182+R229*R182+S229*S182+T229*T182+U229*U182+V229*V182+W229*W182+X229*X182+Y229*Y182+Z229*Z182+AA229*AA182+AB229*AB182+AC229*AC182+AD229*AD182+AE229*AE182+AF229*AF182+AG229*AG182+AH229*AH182+AI229*AI182+AJ229*AJ182+AK229*AK182+AL229*AL182+AM229*AM182+AN229*AN182+AO229*AO182+AP229*AP182+AQ229*AQ182+AR229*AR182+AS229*AS182+AT229*AT182+AU229*AU182+AV229*AV182+AW229*AW182+AX229*AX182+AY229*AY182+AZ229*AZ182+BA229*BA182+BB229*BB182+BC229*BC182+BD229*BD182+BE229*BE182+BF229*BF182+BG229*BG182+BH229*BH182+BI229*BI182+BJ229*BJ182+BK229*BK182+BL229*BL182+BM229*BM182+BN229*BN182+BO229*BO182+BP229*BP182+BQ229*BQ182+BR229*BR182+BS229*BS182+BT229*BT182+BU229*BU182+BV229*BV182+BW229*BW182+BX229*BX182+BY229*BY182+BZ229*BZ182+CA229*CA182+CB229*CB182+CC229*CC182</f>
        <v>0</v>
      </c>
      <c r="CP182" s="2387">
        <f>E230*E182+F230*F182+G230*G182+H230*H182+I230*I182+J230*J182+K230*K182+L230*L182+M230*M182+N230*N182+O230*O182+P230*P182+Q230*Q182+R230*R182+S230*S182+T230*T182+U230*U182+V230*V182+W230*W182+X230*X182+Y230*Y182+Z230*Z182+AA230*AA182+AB230*AB182+AC230*AC182+AD230*AD182+AE230*AE182+AF230*AF182+AG230*AG182+AH230*AH182+AI230*AI182+AJ230*AJ182+AK230*AK182+AL230*AL182+AM230*AM182+AN230*AN182+AO230*AO182+AP230*AP182+AQ230*AQ182+AR230*AR182+AS230*AS182+AT230*AT182+AU230*AU182+AV230*AV182+AW230*AW182+AX230*AX182+AY230*AY182+AZ230*AZ182+BA230*BA182+BB230*BB182+BC230*BC182+BD230*BD182+BE230*BE182+BF230*BF182+BG230*BG182+BH230*BH182+BI230*BI182+BJ230*BJ182+BK230*BK182+BL230*BL182+BM230*BM182+BN230*BN182+BO230*BO182+BP230*BP182+BQ230*BQ182+BR230*BR182+BS230*BS182+BT230*BT182+BU230*BU182+BV230*BV182+BW230*BW182+BX230*BX182+BY230*BY182+BZ230*BZ182+CA230*CA182+CB230*CB182+CC230*CC182</f>
        <v>0</v>
      </c>
    </row>
    <row r="183" spans="2:94" x14ac:dyDescent="0.25">
      <c r="B183" s="1592">
        <v>64</v>
      </c>
      <c r="C183" s="1532" t="s">
        <v>2475</v>
      </c>
      <c r="D183" s="1537" t="s">
        <v>2962</v>
      </c>
      <c r="E183" s="985">
        <f>0</f>
        <v>0</v>
      </c>
      <c r="F183" s="985">
        <f>0</f>
        <v>0</v>
      </c>
      <c r="G183" s="985">
        <f>0</f>
        <v>0</v>
      </c>
      <c r="H183" s="985">
        <f>0</f>
        <v>0</v>
      </c>
      <c r="I183" s="985">
        <f>0</f>
        <v>0</v>
      </c>
      <c r="J183" s="985">
        <f>0</f>
        <v>0</v>
      </c>
      <c r="K183" s="985">
        <f>0</f>
        <v>0</v>
      </c>
      <c r="L183" s="985">
        <f>0</f>
        <v>0</v>
      </c>
      <c r="M183" s="985">
        <f>0</f>
        <v>0</v>
      </c>
      <c r="N183" s="985">
        <f>0</f>
        <v>0</v>
      </c>
      <c r="O183" s="985">
        <f>0</f>
        <v>0</v>
      </c>
      <c r="P183" s="985">
        <f>0</f>
        <v>0</v>
      </c>
      <c r="Q183" s="994">
        <f>0</f>
        <v>0</v>
      </c>
      <c r="R183" s="985">
        <f>0</f>
        <v>0</v>
      </c>
      <c r="S183" s="985">
        <f>0</f>
        <v>0</v>
      </c>
      <c r="T183" s="985">
        <f>0</f>
        <v>0</v>
      </c>
      <c r="U183" s="985">
        <f>0</f>
        <v>0</v>
      </c>
      <c r="V183" s="985">
        <f>0</f>
        <v>0</v>
      </c>
      <c r="W183" s="985">
        <f>0</f>
        <v>0</v>
      </c>
      <c r="X183" s="985">
        <f>0</f>
        <v>0</v>
      </c>
      <c r="Y183" s="985">
        <f>0</f>
        <v>0</v>
      </c>
      <c r="Z183" s="985">
        <f>0</f>
        <v>0</v>
      </c>
      <c r="AA183" s="985">
        <f>0</f>
        <v>0</v>
      </c>
      <c r="AB183" s="985">
        <f>0</f>
        <v>0</v>
      </c>
      <c r="AC183" s="985">
        <f>0</f>
        <v>0</v>
      </c>
      <c r="AD183" s="985">
        <f>0</f>
        <v>0</v>
      </c>
      <c r="AE183" s="985">
        <f>0</f>
        <v>0</v>
      </c>
      <c r="AF183" s="985">
        <f>0</f>
        <v>0</v>
      </c>
      <c r="AG183" s="985">
        <f>0</f>
        <v>0</v>
      </c>
      <c r="AH183" s="985">
        <f>0</f>
        <v>0</v>
      </c>
      <c r="AI183" s="985">
        <f>0</f>
        <v>0</v>
      </c>
      <c r="AJ183" s="985">
        <f>0</f>
        <v>0</v>
      </c>
      <c r="AK183" s="985">
        <f>0</f>
        <v>0</v>
      </c>
      <c r="AL183" s="985">
        <f>0</f>
        <v>0</v>
      </c>
      <c r="AM183" s="985">
        <f>0</f>
        <v>0</v>
      </c>
      <c r="AN183" s="985">
        <f>0</f>
        <v>0</v>
      </c>
      <c r="AO183" s="985">
        <f>0</f>
        <v>0</v>
      </c>
      <c r="AP183" s="985">
        <f>0</f>
        <v>0</v>
      </c>
      <c r="AQ183" s="985">
        <f>0</f>
        <v>0</v>
      </c>
      <c r="AR183" s="985">
        <f>0</f>
        <v>0</v>
      </c>
      <c r="AS183" s="985">
        <f>0</f>
        <v>0</v>
      </c>
      <c r="AT183" s="985">
        <f>0</f>
        <v>0</v>
      </c>
      <c r="AU183" s="985">
        <f>0</f>
        <v>0</v>
      </c>
      <c r="AV183" s="1628">
        <f>-X_HFO_H/(X_HFO_H+X_HFO_H_P)</f>
        <v>-0.5</v>
      </c>
      <c r="AW183" s="1628">
        <f>X_HFO_H/(X_HFO_H+X_HFO_H_P)</f>
        <v>0.5</v>
      </c>
      <c r="AX183" s="1629">
        <f>0</f>
        <v>0</v>
      </c>
      <c r="AY183" s="1628">
        <f>-X_HFO_H_P/(X_HFO_H+X_HFO_H_P)</f>
        <v>-0.5</v>
      </c>
      <c r="AZ183" s="1629">
        <f>0</f>
        <v>0</v>
      </c>
      <c r="BA183" s="1628">
        <f>X_HFO_H_P/(X_HFO_H+X_HFO_H_P)</f>
        <v>0.5</v>
      </c>
      <c r="BB183" s="1629">
        <f>0</f>
        <v>0</v>
      </c>
      <c r="BC183" s="1632">
        <f>0</f>
        <v>0</v>
      </c>
      <c r="BD183" s="1632">
        <f>0</f>
        <v>0</v>
      </c>
      <c r="BE183" s="985">
        <f>0</f>
        <v>0</v>
      </c>
      <c r="BF183" s="1632">
        <f>0</f>
        <v>0</v>
      </c>
      <c r="BG183" s="985">
        <f>0</f>
        <v>0</v>
      </c>
      <c r="BH183" s="1632">
        <f>0</f>
        <v>0</v>
      </c>
      <c r="BI183" s="985">
        <f>0</f>
        <v>0</v>
      </c>
      <c r="BJ183" s="985">
        <f>0</f>
        <v>0</v>
      </c>
      <c r="BK183" s="985">
        <f>0</f>
        <v>0</v>
      </c>
      <c r="BL183" s="1629">
        <f>0</f>
        <v>0</v>
      </c>
      <c r="BM183" s="994">
        <f>0</f>
        <v>0</v>
      </c>
      <c r="BN183" s="985">
        <f>0</f>
        <v>0</v>
      </c>
      <c r="BO183" s="985">
        <f>0</f>
        <v>0</v>
      </c>
      <c r="BP183" s="1428">
        <f>0</f>
        <v>0</v>
      </c>
      <c r="BQ183" s="2377">
        <f>0</f>
        <v>0</v>
      </c>
      <c r="BR183" s="994">
        <f>0</f>
        <v>0</v>
      </c>
      <c r="BS183" s="994">
        <f>0</f>
        <v>0</v>
      </c>
      <c r="BT183" s="994">
        <f>0</f>
        <v>0</v>
      </c>
      <c r="BU183" s="994">
        <f>0</f>
        <v>0</v>
      </c>
      <c r="BV183" s="994">
        <f>0</f>
        <v>0</v>
      </c>
      <c r="BW183" s="994">
        <f>0</f>
        <v>0</v>
      </c>
      <c r="BX183" s="994">
        <f>0</f>
        <v>0</v>
      </c>
      <c r="BY183" s="994">
        <f>0</f>
        <v>0</v>
      </c>
      <c r="BZ183" s="994">
        <f>0</f>
        <v>0</v>
      </c>
      <c r="CA183" s="994">
        <f>0</f>
        <v>0</v>
      </c>
      <c r="CB183" s="994">
        <f>0</f>
        <v>0</v>
      </c>
      <c r="CC183" s="994">
        <f>0</f>
        <v>0</v>
      </c>
      <c r="CD183" s="1658">
        <f>q_HFOH_AGING*(X_HFO_H+X_HFO_H_P)</f>
        <v>4.9999999999999999E-48</v>
      </c>
      <c r="CF183" s="2385">
        <f>E220*E183+F220*F183+G220*G183+H220*H183+I220*I183+J220*J183+K220*K183+L220*L183+M220*M183+N220*N183+O220*O183+P220*P183+Q220*Q183+R220*R183+S220*S183+T220*T183+U220*U183+V220*V183+W220*W183+X220*X183+Y220*Y183+Z220*Z183+AA220*AA183+AB220*AB183+AC220*AC183+AD220*AD183+AE220*AE183+AF220*AF183+AG220*AG183+AH220*AH183+AI220*AI183+AJ220*AJ183+AK220*AK183+AL220*AL183+AM220*AM183+AN220*AN183+AO220*AO183+AP220*AP183+AQ220*AQ183+AR220*AR183+AS220*AS183+AT220*AT183+AU220*AU183+AV220*AV183+AW220*AW183+AX220*AX183+AY220*AY183+AZ220*AZ183+BA220*BA183+BB220*BB183+BC220*BC183+BD220*BD183+BE220*BE183+BF220*BF183+BG220*BG183+BH220*BH183+BI220*BI183+BJ220*BJ183+BK220*BK183+BL220*BL183+BM220*BM183+BN220*BN183+BO220*BO183+BP220*BP183+BQ220*BQ183+BR220*BR183+BS220*BS183+BT220*BT183+BU220*BU183+BV220*BV183+BW220*BW183+BX220*BX183+BY220*BY183+BZ220*BZ183+CA220*CA183+CB220*CB183+CC220*CC183</f>
        <v>0</v>
      </c>
      <c r="CG183" s="2385">
        <f>E221*E183+F221*F183+G221*G183+H221*H183+I221*I183+J221*J183+K221*K183+L221*L183+M221*M183+N221*N183+O221*O183+P221*P183+Q221*Q183+R221*R183+S221*S183+T221*T183+U221*U183+V221*V183+W221*W183+X221*X183+Y221*Y183+Z221*Z183+AA221*AA183+AB221*AB183+AC221*AC183+AD221*AD183+AE221*AE183+AF221*AF183+AG221*AG183+AH221*AH183+AI221*AI183+AJ221*AJ183+AK221*AK183+AL221*AL183+AM221*AM183+AN221*AN183+AO221*AO183+AP221*AP183+AQ221*AQ183+AR221*AR183+AS221*AS183+AT221*AT183+AU221*AU183+AV221*AV183+AW221*AW183+AX221*AX183+AY221*AY183+AZ221*AZ183+BA221*BA183+BB221*BB183+BC221*BC183+BD221*BD183+BE221*BE183+BF221*BF183+BG221*BG183+BH221*BH183+BI221*BI183+BJ221*BJ183+BK221*BK183+BL221*BL183+BM221*BM183+BN221*BN183+BO221*BO183+BP221*BP183+BQ221*BQ183+BR221*BR183+BS221*BS183+BT221*BT183+BU221*BU183+BV221*BV183+BW221*BW183+BX221*BX183+BY221*BY183+BZ221*BZ183+CA221*CA183+CB221*CB183+CC221*CC183</f>
        <v>0</v>
      </c>
      <c r="CH183" s="2386">
        <f>E222*E183+F222*F183+G222*G183+H222*H183+I222*I183+J222*J183+K222*K183+L222*L183+M222*M183+N222*N183+O222*O183+P222*P183+Q222*Q183+R222*R183+S222*S183+T222*T183+U222*U183+V222*V183+W222*W183+X222*X183+Y222*Y183+Z222*Z183+AA222*AA183+AB222*AB183+AC222*AC183+AD222*AD183+AE222*AE183+AF222*AF183+AG222*AG183+AH222*AH183+AI222*AI183+AJ222*AJ183+AK222*AK183+AL222*AL183+AM222*AM183+AN222*AN183+AO222*AO183+AP222*AP183+AQ222*AQ183+AR222*AR183+AS222*AS183+AT222*AT183+AU222*AU183+AV222*AV183+AW222*AW183+AX222*AX183+AY222*AY183+AZ222*AZ183+BA222*BA183+BB222*BB183+BC222*BC183+BD222*BD183+BE222*BE183+BF222*BF183+BG222*BG183+BH222*BH183+BI222*BI183+BJ222*BJ183+BK222*BK183+BL222*BL183+BM222*BM183+BN222*BN183+BO222*BO183+BP222*BP183+BQ222*BQ183+BR222*BR183+BS222*BS183+BT222*BT183+BU222*BU183+BV222*BV183+BW222*BW183+BX222*BX183+BY222*BY183+BZ222*BZ183+CA222*CA183+CB222*CB183+CC222*CC183</f>
        <v>0</v>
      </c>
      <c r="CI183" s="2387">
        <f>E223*E183+F223*F183+G223*G183+H223*H183+I223*I183+J223*J183+K223*K183+L223*L183+M223*M183+N223*N183+O223*O183+P223*P183+Q223*Q183+R223*R183+S223*S183+T223*T183+U223*U183+V223*V183+W223*W183+X223*X183+Y223*Y183+Z223*Z183+AA223*AA183+AB223*AB183+AC223*AC183+AD223*AD183+AE223*AE183+AF223*AF183+AG223*AG183+AH223*AH183+AI223*AI183+AJ223*AJ183+AK223*AK183+AL223*AL183+AM223*AM183+AN223*AN183+AO223*AO183+AP223*AP183+AQ223*AQ183+AR223*AR183+AS223*AS183+AT223*AT183+AU223*AU183+AV223*AV183+AW223*AW183+AX223*AX183+AY223*AY183+AZ223*AZ183+BA223*BA183+BB223*BB183+BC223*BC183+BD223*BD183+BE223*BE183+BF223*BF183+BG223*BG183+BH223*BH183+BI223*BI183+BJ223*BJ183+BK223*BK183+BL223*BL183+BM223*BM183+BN223*BN183+BO223*BO183+BP223*BP183+BQ223*BQ183+BR223*BR183+BS223*BS183+BT223*BT183+BU223*BU183+BV223*BV183+BW223*BW183+BX223*BX183+BY223*BY183+BZ223*BZ183+CA223*CA183+CB223*CB183+CC223*CC183</f>
        <v>0</v>
      </c>
      <c r="CJ183" s="2387">
        <f>E224*E183+F224*F183+G224*G183+H224*H183+I224*I183+J224*J183+K224*K183+L224*L183+M224*M183+N224*N183+O224*O183+P224*P183+Q224*Q183+R224*R183+S224*S183+T224*T183+U224*U183+V224*V183+W224*W183+X224*X183+Y224*Y183+Z224*Z183+AA224*AA183+AB224*AB183+AC224*AC183+AD224*AD183+AE224*AE183+AF224*AF183+AG224*AG183+AH224*AH183+AI224*AI183+AJ224*AJ183+AK224*AK183+AL224*AL183+AM224*AM183+AN224*AN183+AO224*AO183+AP224*AP183+AQ224*AQ183+AR224*AR183+AS224*AS183+AT224*AT183+AU224*AU183+AV224*AV183+AW224*AW183+AX224*AX183+AY224*AY183+AZ224*AZ183+BA224*BA183+BB224*BB183+BC224*BC183+BD224*BD183+BE224*BE183+BF224*BF183+BG224*BG183+BH224*BH183+BI224*BI183+BJ224*BJ183+BK224*BK183+BL224*BL183+BM224*BM183+BN224*BN183+BO224*BO183+BP224*BP183+BQ224*BQ183+BR224*BR183+BS224*BS183+BT224*BT183+BU224*BU183+BV224*BV183+BW224*BW183+BX224*BX183+BY224*BY183+BZ224*BZ183+CA224*CA183+CB224*CB183+CC224*CC183</f>
        <v>0</v>
      </c>
      <c r="CK183" s="2387">
        <f>E225*E183+F225*F183+G225*G183+H225*H183+I225*I183+J225*J183+K225*K183+L225*L183+M225*M183+N225*N183+O225*O183+P225*P183+Q225*Q183+R225*R183+S225*S183+T225*T183+U225*U183+V225*V183+W225*W183+X225*X183+Y225*Y183+Z225*Z183+AA225*AA183+AB225*AB183+AC225*AC183+AD225*AD183+AE225*AE183+AF225*AF183+AG225*AG183+AH225*AH183+AI225*AI183+AJ225*AJ183+AK225*AK183+AL225*AL183+AM225*AM183+AN225*AN183+AO225*AO183+AP225*AP183+AQ225*AQ183+AR225*AR183+AS225*AS183+AT225*AT183+AU225*AU183+AV225*AV183+AW225*AW183+AX225*AX183+AY225*AY183+AZ225*AZ183+BA225*BA183+BB225*BB183+BC225*BC183+BD225*BD183+BE225*BE183+BF225*BF183+BG225*BG183+BH225*BH183+BI225*BI183+BJ225*BJ183+BK225*BK183+BL225*BL183+BM225*BM183+BN225*BN183+BO225*BO183+BP225*BP183+BQ225*BQ183+BR225*BR183+BS225*BS183+BT225*BT183+BU225*BU183+BV225*BV183+BW225*BW183+BX225*BX183+BY225*BY183+BZ225*BZ183+CA225*CA183+CB225*CB183+CC225*CC183</f>
        <v>0</v>
      </c>
      <c r="CL183" s="2387">
        <f>E226*E183+F226*F183+G226*G183+H226*H183+I226*I183+J226*J183+K226*K183+L226*L183+M226*M183+N226*N183+O226*O183+P226*P183+Q226*Q183+R226*R183+S226*S183+T226*T183+U226*U183+V226*V183+W226*W183+X226*X183+Y226*Y183+Z226*Z183+AA226*AA183+AB226*AB183+AC226*AC183+AD226*AD183+AE226*AE183+AF226*AF183+AG226*AG183+AH226*AH183+AI226*AI183+AJ226*AJ183+AK226*AK183+AL226*AL183+AM226*AM183+AN226*AN183+AO226*AO183+AP226*AP183+AQ226*AQ183+AR226*AR183+AS226*AS183+AT226*AT183+AU226*AU183+AV226*AV183+AW226*AW183+AX226*AX183+AY226*AY183+AZ226*AZ183+BA226*BA183+BB226*BB183+BC226*BC183+BD226*BD183+BE226*BE183+BF226*BF183+BG226*BG183+BH226*BH183+BI226*BI183+BJ226*BJ183+BK226*BK183+BL226*BL183+BM226*BM183+BN226*BN183+BO226*BO183+BP226*BP183+BQ226*BQ183+BR226*BR183+BS226*BS183+BT226*BT183+BU226*BU183+BV226*BV183+BW226*BW183+BX226*BX183+BY226*BY183+BZ226*BZ183+CA226*CA183+CB226*CB183+CC226*CC183</f>
        <v>0</v>
      </c>
      <c r="CM183" s="2387">
        <f>E227*E183+F227*F183+G227*G183+H227*H183+I227*I183+J227*J183+K227*K183+L227*L183+M227*M183+N227*N183+O227*O183+P227*P183+Q227*Q183+R227*R183+S227*S183+T227*T183+U227*U183+V227*V183+W227*W183+X227*X183+Y227*Y183+Z227*Z183+AA227*AA183+AB227*AB183+AC227*AC183+AD227*AD183+AE227*AE183+AF227*AF183+AG227*AG183+AH227*AH183+AI227*AI183+AJ227*AJ183+AK227*AK183+AL227*AL183+AM227*AM183+AN227*AN183+AO227*AO183+AP227*AP183+AQ227*AQ183+AR227*AR183+AS227*AS183+AT227*AT183+AU227*AU183+AV227*AV183+AW227*AW183+AX227*AX183+AY227*AY183+AZ227*AZ183+BA227*BA183+BB227*BB183+BC227*BC183+BD227*BD183+BE227*BE183+BF227*BF183+BG227*BG183+BH227*BH183+BI227*BI183+BJ227*BJ183+BK227*BK183+BL227*BL183+BM227*BM183+BN227*BN183+BO227*BO183+BP227*BP183+BQ227*BQ183+BR227*BR183+BS227*BS183+BT227*BT183+BU227*BU183+BV227*BV183+BW227*BW183+BX227*BX183+BY227*BY183+BZ227*BZ183+CA227*CA183+CB227*CB183+CC227*CC183</f>
        <v>0</v>
      </c>
      <c r="CN183" s="2387">
        <f>E228*E183+F228*F183+G228*G183+H228*H183+I228*I183+J228*J183+K228*K183+L228*L183+M228*M183+N228*N183+O228*O183+P228*P183+Q228*Q183+R228*R183+S228*S183+T228*T183+U228*U183+V228*V183+W228*W183+X228*X183+Y228*Y183+Z228*Z183+AA228*AA183+AB228*AB183+AC228*AC183+AD228*AD183+AE228*AE183+AF228*AF183+AG228*AG183+AH228*AH183+AI228*AI183+AJ228*AJ183+AK228*AK183+AL228*AL183+AM228*AM183+AN228*AN183+AO228*AO183+AP228*AP183+AQ228*AQ183+AR228*AR183+AS228*AS183+AT228*AT183+AU228*AU183+AV228*AV183+AW228*AW183+AX228*AX183+AY228*AY183+AZ228*AZ183+BA228*BA183+BB228*BB183+BC228*BC183+BD228*BD183+BE228*BE183+BF228*BF183+BG228*BG183+BH228*BH183+BI228*BI183+BJ228*BJ183+BK228*BK183+BL228*BL183+BM228*BM183+BN228*BN183+BO228*BO183+BP228*BP183+BQ228*BQ183+BR228*BR183+BS228*BS183+BT228*BT183+BU228*BU183+BV228*BV183+BW228*BW183+BX228*BX183+BY228*BY183+BZ228*BZ183+CA228*CA183+CB228*CB183+CC228*CC183</f>
        <v>0</v>
      </c>
      <c r="CO183" s="2387">
        <f>E229*E183+F229*F183+G229*G183+H229*H183+I229*I183+J229*J183+K229*K183+L229*L183+M229*M183+N229*N183+O229*O183+P229*P183+Q229*Q183+R229*R183+S229*S183+T229*T183+U229*U183+V229*V183+W229*W183+X229*X183+Y229*Y183+Z229*Z183+AA229*AA183+AB229*AB183+AC229*AC183+AD229*AD183+AE229*AE183+AF229*AF183+AG229*AG183+AH229*AH183+AI229*AI183+AJ229*AJ183+AK229*AK183+AL229*AL183+AM229*AM183+AN229*AN183+AO229*AO183+AP229*AP183+AQ229*AQ183+AR229*AR183+AS229*AS183+AT229*AT183+AU229*AU183+AV229*AV183+AW229*AW183+AX229*AX183+AY229*AY183+AZ229*AZ183+BA229*BA183+BB229*BB183+BC229*BC183+BD229*BD183+BE229*BE183+BF229*BF183+BG229*BG183+BH229*BH183+BI229*BI183+BJ229*BJ183+BK229*BK183+BL229*BL183+BM229*BM183+BN229*BN183+BO229*BO183+BP229*BP183+BQ229*BQ183+BR229*BR183+BS229*BS183+BT229*BT183+BU229*BU183+BV229*BV183+BW229*BW183+BX229*BX183+BY229*BY183+BZ229*BZ183+CA229*CA183+CB229*CB183+CC229*CC183</f>
        <v>0</v>
      </c>
      <c r="CP183" s="2387">
        <f>E230*E183+F230*F183+G230*G183+H230*H183+I230*I183+J230*J183+K230*K183+L230*L183+M230*M183+N230*N183+O230*O183+P230*P183+Q230*Q183+R230*R183+S230*S183+T230*T183+U230*U183+V230*V183+W230*W183+X230*X183+Y230*Y183+Z230*Z183+AA230*AA183+AB230*AB183+AC230*AC183+AD230*AD183+AE230*AE183+AF230*AF183+AG230*AG183+AH230*AH183+AI230*AI183+AJ230*AJ183+AK230*AK183+AL230*AL183+AM230*AM183+AN230*AN183+AO230*AO183+AP230*AP183+AQ230*AQ183+AR230*AR183+AS230*AS183+AT230*AT183+AU230*AU183+AV230*AV183+AW230*AW183+AX230*AX183+AY230*AY183+AZ230*AZ183+BA230*BA183+BB230*BB183+BC230*BC183+BD230*BD183+BE230*BE183+BF230*BF183+BG230*BG183+BH230*BH183+BI230*BI183+BJ230*BJ183+BK230*BK183+BL230*BL183+BM230*BM183+BN230*BN183+BO230*BO183+BP230*BP183+BQ230*BQ183+BR230*BR183+BS230*BS183+BT230*BT183+BU230*BU183+BV230*BV183+BW230*BW183+BX230*BX183+BY230*BY183+BZ230*BZ183+CA230*CA183+CB230*CB183+CC230*CC183</f>
        <v>0</v>
      </c>
    </row>
    <row r="184" spans="2:94" x14ac:dyDescent="0.25">
      <c r="B184" s="1592">
        <v>65</v>
      </c>
      <c r="C184" s="1532" t="s">
        <v>2476</v>
      </c>
      <c r="D184" s="1537" t="s">
        <v>2963</v>
      </c>
      <c r="E184" s="985">
        <f>0</f>
        <v>0</v>
      </c>
      <c r="F184" s="985">
        <f>0</f>
        <v>0</v>
      </c>
      <c r="G184" s="985">
        <f>0</f>
        <v>0</v>
      </c>
      <c r="H184" s="985">
        <f>0</f>
        <v>0</v>
      </c>
      <c r="I184" s="985">
        <f>0</f>
        <v>0</v>
      </c>
      <c r="J184" s="985">
        <f>0</f>
        <v>0</v>
      </c>
      <c r="K184" s="985">
        <f>0</f>
        <v>0</v>
      </c>
      <c r="L184" s="985">
        <f>0</f>
        <v>0</v>
      </c>
      <c r="M184" s="985">
        <f>0</f>
        <v>0</v>
      </c>
      <c r="N184" s="985">
        <f>0</f>
        <v>0</v>
      </c>
      <c r="O184" s="985">
        <f>0</f>
        <v>0</v>
      </c>
      <c r="P184" s="985">
        <f>0</f>
        <v>0</v>
      </c>
      <c r="Q184" s="994">
        <f>0</f>
        <v>0</v>
      </c>
      <c r="R184" s="985">
        <f>0</f>
        <v>0</v>
      </c>
      <c r="S184" s="985">
        <f>0</f>
        <v>0</v>
      </c>
      <c r="T184" s="985">
        <f>0</f>
        <v>0</v>
      </c>
      <c r="U184" s="985">
        <f>0</f>
        <v>0</v>
      </c>
      <c r="V184" s="985">
        <f>0</f>
        <v>0</v>
      </c>
      <c r="W184" s="985">
        <f>0</f>
        <v>0</v>
      </c>
      <c r="X184" s="985">
        <f>0</f>
        <v>0</v>
      </c>
      <c r="Y184" s="985">
        <f>0</f>
        <v>0</v>
      </c>
      <c r="Z184" s="985">
        <f>0</f>
        <v>0</v>
      </c>
      <c r="AA184" s="985">
        <f>0</f>
        <v>0</v>
      </c>
      <c r="AB184" s="985">
        <f>0</f>
        <v>0</v>
      </c>
      <c r="AC184" s="985">
        <f>0</f>
        <v>0</v>
      </c>
      <c r="AD184" s="985">
        <f>0</f>
        <v>0</v>
      </c>
      <c r="AE184" s="985">
        <f>0</f>
        <v>0</v>
      </c>
      <c r="AF184" s="985">
        <f>0</f>
        <v>0</v>
      </c>
      <c r="AG184" s="985">
        <f>0</f>
        <v>0</v>
      </c>
      <c r="AH184" s="985">
        <f>0</f>
        <v>0</v>
      </c>
      <c r="AI184" s="985">
        <f>0</f>
        <v>0</v>
      </c>
      <c r="AJ184" s="985">
        <f>0</f>
        <v>0</v>
      </c>
      <c r="AK184" s="985">
        <f>0</f>
        <v>0</v>
      </c>
      <c r="AL184" s="985">
        <f>0</f>
        <v>0</v>
      </c>
      <c r="AM184" s="985">
        <f>0</f>
        <v>0</v>
      </c>
      <c r="AN184" s="985">
        <f>0</f>
        <v>0</v>
      </c>
      <c r="AO184" s="985">
        <f>0</f>
        <v>0</v>
      </c>
      <c r="AP184" s="985">
        <f>0</f>
        <v>0</v>
      </c>
      <c r="AQ184" s="985">
        <f>0</f>
        <v>0</v>
      </c>
      <c r="AR184" s="985">
        <f>0</f>
        <v>0</v>
      </c>
      <c r="AS184" s="985">
        <f>0</f>
        <v>0</v>
      </c>
      <c r="AT184" s="985">
        <f>0</f>
        <v>0</v>
      </c>
      <c r="AU184" s="985">
        <f>0</f>
        <v>0</v>
      </c>
      <c r="AV184" s="1629">
        <f>0</f>
        <v>0</v>
      </c>
      <c r="AW184" s="1628">
        <f>-X_HFO_L/(X_HFO_L+X_HFO_L_P)</f>
        <v>-0.5</v>
      </c>
      <c r="AX184" s="1628">
        <f>X_HFO_L/(X_HFO_L+X_HFO_L_P)</f>
        <v>0.5</v>
      </c>
      <c r="AY184" s="1628">
        <f>0</f>
        <v>0</v>
      </c>
      <c r="AZ184" s="1628">
        <f>-X_HFO_L_P/(X_HFO_L+X_HFO_L_P)</f>
        <v>-0.5</v>
      </c>
      <c r="BA184" s="1628">
        <f>0</f>
        <v>0</v>
      </c>
      <c r="BB184" s="1628">
        <f>X_HFO_L_P/(X_HFO_L+X_HFO_L_P)</f>
        <v>0.5</v>
      </c>
      <c r="BC184" s="985">
        <f>0</f>
        <v>0</v>
      </c>
      <c r="BD184" s="1632">
        <f>0</f>
        <v>0</v>
      </c>
      <c r="BE184" s="1632">
        <f>0</f>
        <v>0</v>
      </c>
      <c r="BF184" s="1632">
        <f>0</f>
        <v>0</v>
      </c>
      <c r="BG184" s="1632">
        <f>0</f>
        <v>0</v>
      </c>
      <c r="BH184" s="1632">
        <f>0</f>
        <v>0</v>
      </c>
      <c r="BI184" s="1632">
        <f>0</f>
        <v>0</v>
      </c>
      <c r="BJ184" s="985">
        <f>0</f>
        <v>0</v>
      </c>
      <c r="BK184" s="985">
        <f>0</f>
        <v>0</v>
      </c>
      <c r="BL184" s="1629">
        <f>0</f>
        <v>0</v>
      </c>
      <c r="BM184" s="994">
        <f>0</f>
        <v>0</v>
      </c>
      <c r="BN184" s="985">
        <f>0</f>
        <v>0</v>
      </c>
      <c r="BO184" s="985">
        <f>0</f>
        <v>0</v>
      </c>
      <c r="BP184" s="1428">
        <f>0</f>
        <v>0</v>
      </c>
      <c r="BQ184" s="2377">
        <f>0</f>
        <v>0</v>
      </c>
      <c r="BR184" s="994">
        <f>0</f>
        <v>0</v>
      </c>
      <c r="BS184" s="994">
        <f>0</f>
        <v>0</v>
      </c>
      <c r="BT184" s="994">
        <f>0</f>
        <v>0</v>
      </c>
      <c r="BU184" s="994">
        <f>0</f>
        <v>0</v>
      </c>
      <c r="BV184" s="994">
        <f>0</f>
        <v>0</v>
      </c>
      <c r="BW184" s="994">
        <f>0</f>
        <v>0</v>
      </c>
      <c r="BX184" s="994">
        <f>0</f>
        <v>0</v>
      </c>
      <c r="BY184" s="994">
        <f>0</f>
        <v>0</v>
      </c>
      <c r="BZ184" s="994">
        <f>0</f>
        <v>0</v>
      </c>
      <c r="CA184" s="994">
        <f>0</f>
        <v>0</v>
      </c>
      <c r="CB184" s="994">
        <f>0</f>
        <v>0</v>
      </c>
      <c r="CC184" s="994">
        <f>0</f>
        <v>0</v>
      </c>
      <c r="CD184" s="1658">
        <f>q_HFOL_AGING*(X_HFO_L+X_HFO_L_P)</f>
        <v>2E-50</v>
      </c>
      <c r="CF184" s="2385">
        <f>E220*E184+F220*F184+G220*G184+H220*H184+I220*I184+J220*J184+K220*K184+L220*L184+M220*M184+N220*N184+O220*O184+P220*P184+Q220*Q184+R220*R184+S220*S184+T220*T184+U220*U184+V220*V184+W220*W184+X220*X184+Y220*Y184+Z220*Z184+AA220*AA184+AB220*AB184+AC220*AC184+AD220*AD184+AE220*AE184+AF220*AF184+AG220*AG184+AH220*AH184+AI220*AI184+AJ220*AJ184+AK220*AK184+AL220*AL184+AM220*AM184+AN220*AN184+AO220*AO184+AP220*AP184+AQ220*AQ184+AR220*AR184+AS220*AS184+AT220*AT184+AU220*AU184+AV220*AV184+AW220*AW184+AX220*AX184+AY220*AY184+AZ220*AZ184+BA220*BA184+BB220*BB184+BC220*BC184+BD220*BD184+BE220*BE184+BF220*BF184+BG220*BG184+BH220*BH184+BI220*BI184+BJ220*BJ184+BK220*BK184+BL220*BL184+BM220*BM184+BN220*BN184+BO220*BO184+BP220*BP184+BQ220*BQ184+BR220*BR184+BS220*BS184+BT220*BT184+BU220*BU184+BV220*BV184+BW220*BW184+BX220*BX184+BY220*BY184+BZ220*BZ184+CA220*CA184+CB220*CB184+CC220*CC184</f>
        <v>0</v>
      </c>
      <c r="CG184" s="2385">
        <f>E221*E184+F221*F184+G221*G184+H221*H184+I221*I184+J221*J184+K221*K184+L221*L184+M221*M184+N221*N184+O221*O184+P221*P184+Q221*Q184+R221*R184+S221*S184+T221*T184+U221*U184+V221*V184+W221*W184+X221*X184+Y221*Y184+Z221*Z184+AA221*AA184+AB221*AB184+AC221*AC184+AD221*AD184+AE221*AE184+AF221*AF184+AG221*AG184+AH221*AH184+AI221*AI184+AJ221*AJ184+AK221*AK184+AL221*AL184+AM221*AM184+AN221*AN184+AO221*AO184+AP221*AP184+AQ221*AQ184+AR221*AR184+AS221*AS184+AT221*AT184+AU221*AU184+AV221*AV184+AW221*AW184+AX221*AX184+AY221*AY184+AZ221*AZ184+BA221*BA184+BB221*BB184+BC221*BC184+BD221*BD184+BE221*BE184+BF221*BF184+BG221*BG184+BH221*BH184+BI221*BI184+BJ221*BJ184+BK221*BK184+BL221*BL184+BM221*BM184+BN221*BN184+BO221*BO184+BP221*BP184+BQ221*BQ184+BR221*BR184+BS221*BS184+BT221*BT184+BU221*BU184+BV221*BV184+BW221*BW184+BX221*BX184+BY221*BY184+BZ221*BZ184+CA221*CA184+CB221*CB184+CC221*CC184</f>
        <v>0</v>
      </c>
      <c r="CH184" s="2386">
        <f>E222*E184+F222*F184+G222*G184+H222*H184+I222*I184+J222*J184+K222*K184+L222*L184+M222*M184+N222*N184+O222*O184+P222*P184+Q222*Q184+R222*R184+S222*S184+T222*T184+U222*U184+V222*V184+W222*W184+X222*X184+Y222*Y184+Z222*Z184+AA222*AA184+AB222*AB184+AC222*AC184+AD222*AD184+AE222*AE184+AF222*AF184+AG222*AG184+AH222*AH184+AI222*AI184+AJ222*AJ184+AK222*AK184+AL222*AL184+AM222*AM184+AN222*AN184+AO222*AO184+AP222*AP184+AQ222*AQ184+AR222*AR184+AS222*AS184+AT222*AT184+AU222*AU184+AV222*AV184+AW222*AW184+AX222*AX184+AY222*AY184+AZ222*AZ184+BA222*BA184+BB222*BB184+BC222*BC184+BD222*BD184+BE222*BE184+BF222*BF184+BG222*BG184+BH222*BH184+BI222*BI184+BJ222*BJ184+BK222*BK184+BL222*BL184+BM222*BM184+BN222*BN184+BO222*BO184+BP222*BP184+BQ222*BQ184+BR222*BR184+BS222*BS184+BT222*BT184+BU222*BU184+BV222*BV184+BW222*BW184+BX222*BX184+BY222*BY184+BZ222*BZ184+CA222*CA184+CB222*CB184+CC222*CC184</f>
        <v>0</v>
      </c>
      <c r="CI184" s="2387">
        <f>E223*E184+F223*F184+G223*G184+H223*H184+I223*I184+J223*J184+K223*K184+L223*L184+M223*M184+N223*N184+O223*O184+P223*P184+Q223*Q184+R223*R184+S223*S184+T223*T184+U223*U184+V223*V184+W223*W184+X223*X184+Y223*Y184+Z223*Z184+AA223*AA184+AB223*AB184+AC223*AC184+AD223*AD184+AE223*AE184+AF223*AF184+AG223*AG184+AH223*AH184+AI223*AI184+AJ223*AJ184+AK223*AK184+AL223*AL184+AM223*AM184+AN223*AN184+AO223*AO184+AP223*AP184+AQ223*AQ184+AR223*AR184+AS223*AS184+AT223*AT184+AU223*AU184+AV223*AV184+AW223*AW184+AX223*AX184+AY223*AY184+AZ223*AZ184+BA223*BA184+BB223*BB184+BC223*BC184+BD223*BD184+BE223*BE184+BF223*BF184+BG223*BG184+BH223*BH184+BI223*BI184+BJ223*BJ184+BK223*BK184+BL223*BL184+BM223*BM184+BN223*BN184+BO223*BO184+BP223*BP184+BQ223*BQ184+BR223*BR184+BS223*BS184+BT223*BT184+BU223*BU184+BV223*BV184+BW223*BW184+BX223*BX184+BY223*BY184+BZ223*BZ184+CA223*CA184+CB223*CB184+CC223*CC184</f>
        <v>0</v>
      </c>
      <c r="CJ184" s="2387">
        <f>E224*E184+F224*F184+G224*G184+H224*H184+I224*I184+J224*J184+K224*K184+L224*L184+M224*M184+N224*N184+O224*O184+P224*P184+Q224*Q184+R224*R184+S224*S184+T224*T184+U224*U184+V224*V184+W224*W184+X224*X184+Y224*Y184+Z224*Z184+AA224*AA184+AB224*AB184+AC224*AC184+AD224*AD184+AE224*AE184+AF224*AF184+AG224*AG184+AH224*AH184+AI224*AI184+AJ224*AJ184+AK224*AK184+AL224*AL184+AM224*AM184+AN224*AN184+AO224*AO184+AP224*AP184+AQ224*AQ184+AR224*AR184+AS224*AS184+AT224*AT184+AU224*AU184+AV224*AV184+AW224*AW184+AX224*AX184+AY224*AY184+AZ224*AZ184+BA224*BA184+BB224*BB184+BC224*BC184+BD224*BD184+BE224*BE184+BF224*BF184+BG224*BG184+BH224*BH184+BI224*BI184+BJ224*BJ184+BK224*BK184+BL224*BL184+BM224*BM184+BN224*BN184+BO224*BO184+BP224*BP184+BQ224*BQ184+BR224*BR184+BS224*BS184+BT224*BT184+BU224*BU184+BV224*BV184+BW224*BW184+BX224*BX184+BY224*BY184+BZ224*BZ184+CA224*CA184+CB224*CB184+CC224*CC184</f>
        <v>0</v>
      </c>
      <c r="CK184" s="2387">
        <f>E225*E184+F225*F184+G225*G184+H225*H184+I225*I184+J225*J184+K225*K184+L225*L184+M225*M184+N225*N184+O225*O184+P225*P184+Q225*Q184+R225*R184+S225*S184+T225*T184+U225*U184+V225*V184+W225*W184+X225*X184+Y225*Y184+Z225*Z184+AA225*AA184+AB225*AB184+AC225*AC184+AD225*AD184+AE225*AE184+AF225*AF184+AG225*AG184+AH225*AH184+AI225*AI184+AJ225*AJ184+AK225*AK184+AL225*AL184+AM225*AM184+AN225*AN184+AO225*AO184+AP225*AP184+AQ225*AQ184+AR225*AR184+AS225*AS184+AT225*AT184+AU225*AU184+AV225*AV184+AW225*AW184+AX225*AX184+AY225*AY184+AZ225*AZ184+BA225*BA184+BB225*BB184+BC225*BC184+BD225*BD184+BE225*BE184+BF225*BF184+BG225*BG184+BH225*BH184+BI225*BI184+BJ225*BJ184+BK225*BK184+BL225*BL184+BM225*BM184+BN225*BN184+BO225*BO184+BP225*BP184+BQ225*BQ184+BR225*BR184+BS225*BS184+BT225*BT184+BU225*BU184+BV225*BV184+BW225*BW184+BX225*BX184+BY225*BY184+BZ225*BZ184+CA225*CA184+CB225*CB184+CC225*CC184</f>
        <v>0</v>
      </c>
      <c r="CL184" s="2387">
        <f>E226*E184+F226*F184+G226*G184+H226*H184+I226*I184+J226*J184+K226*K184+L226*L184+M226*M184+N226*N184+O226*O184+P226*P184+Q226*Q184+R226*R184+S226*S184+T226*T184+U226*U184+V226*V184+W226*W184+X226*X184+Y226*Y184+Z226*Z184+AA226*AA184+AB226*AB184+AC226*AC184+AD226*AD184+AE226*AE184+AF226*AF184+AG226*AG184+AH226*AH184+AI226*AI184+AJ226*AJ184+AK226*AK184+AL226*AL184+AM226*AM184+AN226*AN184+AO226*AO184+AP226*AP184+AQ226*AQ184+AR226*AR184+AS226*AS184+AT226*AT184+AU226*AU184+AV226*AV184+AW226*AW184+AX226*AX184+AY226*AY184+AZ226*AZ184+BA226*BA184+BB226*BB184+BC226*BC184+BD226*BD184+BE226*BE184+BF226*BF184+BG226*BG184+BH226*BH184+BI226*BI184+BJ226*BJ184+BK226*BK184+BL226*BL184+BM226*BM184+BN226*BN184+BO226*BO184+BP226*BP184+BQ226*BQ184+BR226*BR184+BS226*BS184+BT226*BT184+BU226*BU184+BV226*BV184+BW226*BW184+BX226*BX184+BY226*BY184+BZ226*BZ184+CA226*CA184+CB226*CB184+CC226*CC184</f>
        <v>0</v>
      </c>
      <c r="CM184" s="2387">
        <f>E227*E184+F227*F184+G227*G184+H227*H184+I227*I184+J227*J184+K227*K184+L227*L184+M227*M184+N227*N184+O227*O184+P227*P184+Q227*Q184+R227*R184+S227*S184+T227*T184+U227*U184+V227*V184+W227*W184+X227*X184+Y227*Y184+Z227*Z184+AA227*AA184+AB227*AB184+AC227*AC184+AD227*AD184+AE227*AE184+AF227*AF184+AG227*AG184+AH227*AH184+AI227*AI184+AJ227*AJ184+AK227*AK184+AL227*AL184+AM227*AM184+AN227*AN184+AO227*AO184+AP227*AP184+AQ227*AQ184+AR227*AR184+AS227*AS184+AT227*AT184+AU227*AU184+AV227*AV184+AW227*AW184+AX227*AX184+AY227*AY184+AZ227*AZ184+BA227*BA184+BB227*BB184+BC227*BC184+BD227*BD184+BE227*BE184+BF227*BF184+BG227*BG184+BH227*BH184+BI227*BI184+BJ227*BJ184+BK227*BK184+BL227*BL184+BM227*BM184+BN227*BN184+BO227*BO184+BP227*BP184+BQ227*BQ184+BR227*BR184+BS227*BS184+BT227*BT184+BU227*BU184+BV227*BV184+BW227*BW184+BX227*BX184+BY227*BY184+BZ227*BZ184+CA227*CA184+CB227*CB184+CC227*CC184</f>
        <v>0</v>
      </c>
      <c r="CN184" s="2387">
        <f>E228*E184+F228*F184+G228*G184+H228*H184+I228*I184+J228*J184+K228*K184+L228*L184+M228*M184+N228*N184+O228*O184+P228*P184+Q228*Q184+R228*R184+S228*S184+T228*T184+U228*U184+V228*V184+W228*W184+X228*X184+Y228*Y184+Z228*Z184+AA228*AA184+AB228*AB184+AC228*AC184+AD228*AD184+AE228*AE184+AF228*AF184+AG228*AG184+AH228*AH184+AI228*AI184+AJ228*AJ184+AK228*AK184+AL228*AL184+AM228*AM184+AN228*AN184+AO228*AO184+AP228*AP184+AQ228*AQ184+AR228*AR184+AS228*AS184+AT228*AT184+AU228*AU184+AV228*AV184+AW228*AW184+AX228*AX184+AY228*AY184+AZ228*AZ184+BA228*BA184+BB228*BB184+BC228*BC184+BD228*BD184+BE228*BE184+BF228*BF184+BG228*BG184+BH228*BH184+BI228*BI184+BJ228*BJ184+BK228*BK184+BL228*BL184+BM228*BM184+BN228*BN184+BO228*BO184+BP228*BP184+BQ228*BQ184+BR228*BR184+BS228*BS184+BT228*BT184+BU228*BU184+BV228*BV184+BW228*BW184+BX228*BX184+BY228*BY184+BZ228*BZ184+CA228*CA184+CB228*CB184+CC228*CC184</f>
        <v>0</v>
      </c>
      <c r="CO184" s="2387">
        <f>E229*E184+F229*F184+G229*G184+H229*H184+I229*I184+J229*J184+K229*K184+L229*L184+M229*M184+N229*N184+O229*O184+P229*P184+Q229*Q184+R229*R184+S229*S184+T229*T184+U229*U184+V229*V184+W229*W184+X229*X184+Y229*Y184+Z229*Z184+AA229*AA184+AB229*AB184+AC229*AC184+AD229*AD184+AE229*AE184+AF229*AF184+AG229*AG184+AH229*AH184+AI229*AI184+AJ229*AJ184+AK229*AK184+AL229*AL184+AM229*AM184+AN229*AN184+AO229*AO184+AP229*AP184+AQ229*AQ184+AR229*AR184+AS229*AS184+AT229*AT184+AU229*AU184+AV229*AV184+AW229*AW184+AX229*AX184+AY229*AY184+AZ229*AZ184+BA229*BA184+BB229*BB184+BC229*BC184+BD229*BD184+BE229*BE184+BF229*BF184+BG229*BG184+BH229*BH184+BI229*BI184+BJ229*BJ184+BK229*BK184+BL229*BL184+BM229*BM184+BN229*BN184+BO229*BO184+BP229*BP184+BQ229*BQ184+BR229*BR184+BS229*BS184+BT229*BT184+BU229*BU184+BV229*BV184+BW229*BW184+BX229*BX184+BY229*BY184+BZ229*BZ184+CA229*CA184+CB229*CB184+CC229*CC184</f>
        <v>0</v>
      </c>
      <c r="CP184" s="2387">
        <f>E230*E184+F230*F184+G230*G184+H230*H184+I230*I184+J230*J184+K230*K184+L230*L184+M230*M184+N230*N184+O230*O184+P230*P184+Q230*Q184+R230*R184+S230*S184+T230*T184+U230*U184+V230*V184+W230*W184+X230*X184+Y230*Y184+Z230*Z184+AA230*AA184+AB230*AB184+AC230*AC184+AD230*AD184+AE230*AE184+AF230*AF184+AG230*AG184+AH230*AH184+AI230*AI184+AJ230*AJ184+AK230*AK184+AL230*AL184+AM230*AM184+AN230*AN184+AO230*AO184+AP230*AP184+AQ230*AQ184+AR230*AR184+AS230*AS184+AT230*AT184+AU230*AU184+AV230*AV184+AW230*AW184+AX230*AX184+AY230*AY184+AZ230*AZ184+BA230*BA184+BB230*BB184+BC230*BC184+BD230*BD184+BE230*BE184+BF230*BF184+BG230*BG184+BH230*BH184+BI230*BI184+BJ230*BJ184+BK230*BK184+BL230*BL184+BM230*BM184+BN230*BN184+BO230*BO184+BP230*BP184+BQ230*BQ184+BR230*BR184+BS230*BS184+BT230*BT184+BU230*BU184+BV230*BV184+BW230*BW184+BX230*BX184+BY230*BY184+BZ230*BZ184+CA230*CA184+CB230*CB184+CC230*CC184</f>
        <v>0</v>
      </c>
    </row>
    <row r="185" spans="2:94" x14ac:dyDescent="0.25">
      <c r="B185" s="1592">
        <v>66</v>
      </c>
      <c r="C185" s="1532" t="s">
        <v>2477</v>
      </c>
      <c r="D185" s="1537" t="s">
        <v>2964</v>
      </c>
      <c r="E185" s="985">
        <f>0</f>
        <v>0</v>
      </c>
      <c r="F185" s="985">
        <f>0</f>
        <v>0</v>
      </c>
      <c r="G185" s="985">
        <f>0</f>
        <v>0</v>
      </c>
      <c r="H185" s="985">
        <f>0</f>
        <v>0</v>
      </c>
      <c r="I185" s="985">
        <f>0</f>
        <v>0</v>
      </c>
      <c r="J185" s="985">
        <f>0</f>
        <v>0</v>
      </c>
      <c r="K185" s="985">
        <f>0</f>
        <v>0</v>
      </c>
      <c r="L185" s="985">
        <f>0</f>
        <v>0</v>
      </c>
      <c r="M185" s="985">
        <f>0</f>
        <v>0</v>
      </c>
      <c r="N185" s="985">
        <f>0</f>
        <v>0</v>
      </c>
      <c r="O185" s="985">
        <f>0</f>
        <v>0</v>
      </c>
      <c r="P185" s="985">
        <f>0</f>
        <v>0</v>
      </c>
      <c r="Q185" s="994">
        <f>0</f>
        <v>0</v>
      </c>
      <c r="R185" s="985">
        <f>0</f>
        <v>0</v>
      </c>
      <c r="S185" s="985">
        <f>0</f>
        <v>0</v>
      </c>
      <c r="T185" s="985">
        <f>0</f>
        <v>0</v>
      </c>
      <c r="U185" s="985">
        <f>0</f>
        <v>0</v>
      </c>
      <c r="V185" s="985">
        <f>0</f>
        <v>0</v>
      </c>
      <c r="W185" s="985">
        <f>0</f>
        <v>0</v>
      </c>
      <c r="X185" s="985">
        <f>0</f>
        <v>0</v>
      </c>
      <c r="Y185" s="985">
        <f>0</f>
        <v>0</v>
      </c>
      <c r="Z185" s="985">
        <f>0</f>
        <v>0</v>
      </c>
      <c r="AA185" s="985">
        <f>0</f>
        <v>0</v>
      </c>
      <c r="AB185" s="985">
        <f>0</f>
        <v>0</v>
      </c>
      <c r="AC185" s="985">
        <f>0</f>
        <v>0</v>
      </c>
      <c r="AD185" s="985">
        <f>0</f>
        <v>0</v>
      </c>
      <c r="AE185" s="985">
        <f>0</f>
        <v>0</v>
      </c>
      <c r="AF185" s="985">
        <f>-1</f>
        <v>-1</v>
      </c>
      <c r="AG185" s="985">
        <f>0</f>
        <v>0</v>
      </c>
      <c r="AH185" s="985">
        <f>0</f>
        <v>0</v>
      </c>
      <c r="AI185" s="985">
        <f>0</f>
        <v>0</v>
      </c>
      <c r="AJ185" s="985">
        <f>0</f>
        <v>0</v>
      </c>
      <c r="AK185" s="985">
        <f>0</f>
        <v>0</v>
      </c>
      <c r="AL185" s="985">
        <f>0</f>
        <v>0</v>
      </c>
      <c r="AM185" s="985">
        <f>0</f>
        <v>0</v>
      </c>
      <c r="AN185" s="985">
        <f>0</f>
        <v>0</v>
      </c>
      <c r="AO185" s="985">
        <f>0</f>
        <v>0</v>
      </c>
      <c r="AP185" s="985">
        <f>0</f>
        <v>0</v>
      </c>
      <c r="AQ185" s="985">
        <f>0</f>
        <v>0</v>
      </c>
      <c r="AR185" s="985">
        <f>0</f>
        <v>0</v>
      </c>
      <c r="AS185" s="985">
        <f>0</f>
        <v>0</v>
      </c>
      <c r="AT185" s="985">
        <f>0</f>
        <v>0</v>
      </c>
      <c r="AU185" s="985">
        <f>0</f>
        <v>0</v>
      </c>
      <c r="AV185" s="1630">
        <f>-1/(A_SFHFO_H*(A_MP/A_MFe))</f>
        <v>-1.5024813485524857</v>
      </c>
      <c r="AW185" s="1629">
        <f>0</f>
        <v>0</v>
      </c>
      <c r="AX185" s="1629">
        <f>0</f>
        <v>0</v>
      </c>
      <c r="AY185" s="1630">
        <f>1/(A_SFHFO_H*(A_MP/A_MFe))</f>
        <v>1.5024813485524857</v>
      </c>
      <c r="AZ185" s="1629">
        <f>0</f>
        <v>0</v>
      </c>
      <c r="BA185" s="1630">
        <f>0</f>
        <v>0</v>
      </c>
      <c r="BB185" s="1630">
        <f>0</f>
        <v>0</v>
      </c>
      <c r="BC185" s="994">
        <f>0</f>
        <v>0</v>
      </c>
      <c r="BD185" s="985">
        <f>0</f>
        <v>0</v>
      </c>
      <c r="BE185" s="985">
        <f>0</f>
        <v>0</v>
      </c>
      <c r="BF185" s="994">
        <f>0</f>
        <v>0</v>
      </c>
      <c r="BG185" s="985">
        <f>0</f>
        <v>0</v>
      </c>
      <c r="BH185" s="994">
        <f>0</f>
        <v>0</v>
      </c>
      <c r="BI185" s="994">
        <f>0</f>
        <v>0</v>
      </c>
      <c r="BJ185" s="985">
        <f>0</f>
        <v>0</v>
      </c>
      <c r="BK185" s="985">
        <f>0</f>
        <v>0</v>
      </c>
      <c r="BL185" s="1629">
        <f>0</f>
        <v>0</v>
      </c>
      <c r="BM185" s="994">
        <f>0</f>
        <v>0</v>
      </c>
      <c r="BN185" s="985">
        <f>0</f>
        <v>0</v>
      </c>
      <c r="BO185" s="985">
        <f>0</f>
        <v>0</v>
      </c>
      <c r="BP185" s="1428">
        <f>0</f>
        <v>0</v>
      </c>
      <c r="BQ185" s="2377">
        <f>0</f>
        <v>0</v>
      </c>
      <c r="BR185" s="994">
        <f>0</f>
        <v>0</v>
      </c>
      <c r="BS185" s="994">
        <f>0</f>
        <v>0</v>
      </c>
      <c r="BT185" s="994">
        <f>0</f>
        <v>0</v>
      </c>
      <c r="BU185" s="994">
        <f>0</f>
        <v>0</v>
      </c>
      <c r="BV185" s="994">
        <f>0</f>
        <v>0</v>
      </c>
      <c r="BW185" s="994">
        <f>0</f>
        <v>0</v>
      </c>
      <c r="BX185" s="994">
        <f>0</f>
        <v>0</v>
      </c>
      <c r="BY185" s="994">
        <f>0</f>
        <v>0</v>
      </c>
      <c r="BZ185" s="994">
        <f>0</f>
        <v>0</v>
      </c>
      <c r="CA185" s="994">
        <f>0</f>
        <v>0</v>
      </c>
      <c r="CB185" s="994">
        <f>0</f>
        <v>0</v>
      </c>
      <c r="CC185" s="994">
        <f>0</f>
        <v>0</v>
      </c>
      <c r="CD185" s="1658">
        <f>q_P_HFO_COPREC*X_HFO_H*M_satSPO4_KP_HFO_BIND</f>
        <v>1.25E-48</v>
      </c>
      <c r="CF185" s="2385">
        <f>E220*E185+F220*F185+G220*G185+H220*H185+I220*I185+J220*J185+K220*K185+L220*L185+M220*M185+N220*N185+O220*O185+P220*P185+Q220*Q185+R220*R185+S220*S185+T220*T185+U220*U185+V220*V185+W220*W185+X220*X185+Y220*Y185+Z220*Z185+AA220*AA185+AB220*AB185+AC220*AC185+AD220*AD185+AE220*AE185+AF220*AF185+AG220*AG185+AH220*AH185+AI220*AI185+AJ220*AJ185+AK220*AK185+AL220*AL185+AM220*AM185+AN220*AN185+AO220*AO185+AP220*AP185+AQ220*AQ185+AR220*AR185+AS220*AS185+AT220*AT185+AU220*AU185+AV220*AV185+AW220*AW185+AX220*AX185+AY220*AY185+AZ220*AZ185+BA220*BA185+BB220*BB185+BC220*BC185+BD220*BD185+BE220*BE185+BF220*BF185+BG220*BG185+BH220*BH185+BI220*BI185+BJ220*BJ185+BK220*BK185+BL220*BL185+BM220*BM185+BN220*BN185+BO220*BO185+BP220*BP185+BQ220*BQ185+BR220*BR185+BS220*BS185+BT220*BT185+BU220*BU185+BV220*BV185+BW220*BW185+BX220*BX185+BY220*BY185+BZ220*BZ185+CA220*CA185+CB220*CB185+CC220*CC185</f>
        <v>0</v>
      </c>
      <c r="CG185" s="2385">
        <f>E221*E185+F221*F185+G221*G185+H221*H185+I221*I185+J221*J185+K221*K185+L221*L185+M221*M185+N221*N185+O221*O185+P221*P185+Q221*Q185+R221*R185+S221*S185+T221*T185+U221*U185+V221*V185+W221*W185+X221*X185+Y221*Y185+Z221*Z185+AA221*AA185+AB221*AB185+AC221*AC185+AD221*AD185+AE221*AE185+AF221*AF185+AG221*AG185+AH221*AH185+AI221*AI185+AJ221*AJ185+AK221*AK185+AL221*AL185+AM221*AM185+AN221*AN185+AO221*AO185+AP221*AP185+AQ221*AQ185+AR221*AR185+AS221*AS185+AT221*AT185+AU221*AU185+AV221*AV185+AW221*AW185+AX221*AX185+AY221*AY185+AZ221*AZ185+BA221*BA185+BB221*BB185+BC221*BC185+BD221*BD185+BE221*BE185+BF221*BF185+BG221*BG185+BH221*BH185+BI221*BI185+BJ221*BJ185+BK221*BK185+BL221*BL185+BM221*BM185+BN221*BN185+BO221*BO185+BP221*BP185+BQ221*BQ185+BR221*BR185+BS221*BS185+BT221*BT185+BU221*BU185+BV221*BV185+BW221*BW185+BX221*BX185+BY221*BY185+BZ221*BZ185+CA221*CA185+CB221*CB185+CC221*CC185</f>
        <v>0</v>
      </c>
      <c r="CH185" s="2386">
        <f>E222*E185+F222*F185+G222*G185+H222*H185+I222*I185+J222*J185+K222*K185+L222*L185+M222*M185+N222*N185+O222*O185+P222*P185+Q222*Q185+R222*R185+S222*S185+T222*T185+U222*U185+V222*V185+W222*W185+X222*X185+Y222*Y185+Z222*Z185+AA222*AA185+AB222*AB185+AC222*AC185+AD222*AD185+AE222*AE185+AF222*AF185+AG222*AG185+AH222*AH185+AI222*AI185+AJ222*AJ185+AK222*AK185+AL222*AL185+AM222*AM185+AN222*AN185+AO222*AO185+AP222*AP185+AQ222*AQ185+AR222*AR185+AS222*AS185+AT222*AT185+AU222*AU185+AV222*AV185+AW222*AW185+AX222*AX185+AY222*AY185+AZ222*AZ185+BA222*BA185+BB222*BB185+BC222*BC185+BD222*BD185+BE222*BE185+BF222*BF185+BG222*BG185+BH222*BH185+BI222*BI185+BJ222*BJ185+BK222*BK185+BL222*BL185+BM222*BM185+BN222*BN185+BO222*BO185+BP222*BP185+BQ222*BQ185+BR222*BR185+BS222*BS185+BT222*BT185+BU222*BU185+BV222*BV185+BW222*BW185+BX222*BX185+BY222*BY185+BZ222*BZ185+CA222*CA185+CB222*CB185+CC222*CC185</f>
        <v>0</v>
      </c>
      <c r="CI185" s="2387">
        <f>E223*E185+F223*F185+G223*G185+H223*H185+I223*I185+J223*J185+K223*K185+L223*L185+M223*M185+N223*N185+O223*O185+P223*P185+Q223*Q185+R223*R185+S223*S185+T223*T185+U223*U185+V223*V185+W223*W185+X223*X185+Y223*Y185+Z223*Z185+AA223*AA185+AB223*AB185+AC223*AC185+AD223*AD185+AE223*AE185+AF223*AF185+AG223*AG185+AH223*AH185+AI223*AI185+AJ223*AJ185+AK223*AK185+AL223*AL185+AM223*AM185+AN223*AN185+AO223*AO185+AP223*AP185+AQ223*AQ185+AR223*AR185+AS223*AS185+AT223*AT185+AU223*AU185+AV223*AV185+AW223*AW185+AX223*AX185+AY223*AY185+AZ223*AZ185+BA223*BA185+BB223*BB185+BC223*BC185+BD223*BD185+BE223*BE185+BF223*BF185+BG223*BG185+BH223*BH185+BI223*BI185+BJ223*BJ185+BK223*BK185+BL223*BL185+BM223*BM185+BN223*BN185+BO223*BO185+BP223*BP185+BQ223*BQ185+BR223*BR185+BS223*BS185+BT223*BT185+BU223*BU185+BV223*BV185+BW223*BW185+BX223*BX185+BY223*BY185+BZ223*BZ185+CA223*CA185+CB223*CB185+CC223*CC185</f>
        <v>0</v>
      </c>
      <c r="CJ185" s="2387">
        <f>E224*E185+F224*F185+G224*G185+H224*H185+I224*I185+J224*J185+K224*K185+L224*L185+M224*M185+N224*N185+O224*O185+P224*P185+Q224*Q185+R224*R185+S224*S185+T224*T185+U224*U185+V224*V185+W224*W185+X224*X185+Y224*Y185+Z224*Z185+AA224*AA185+AB224*AB185+AC224*AC185+AD224*AD185+AE224*AE185+AF224*AF185+AG224*AG185+AH224*AH185+AI224*AI185+AJ224*AJ185+AK224*AK185+AL224*AL185+AM224*AM185+AN224*AN185+AO224*AO185+AP224*AP185+AQ224*AQ185+AR224*AR185+AS224*AS185+AT224*AT185+AU224*AU185+AV224*AV185+AW224*AW185+AX224*AX185+AY224*AY185+AZ224*AZ185+BA224*BA185+BB224*BB185+BC224*BC185+BD224*BD185+BE224*BE185+BF224*BF185+BG224*BG185+BH224*BH185+BI224*BI185+BJ224*BJ185+BK224*BK185+BL224*BL185+BM224*BM185+BN224*BN185+BO224*BO185+BP224*BP185+BQ224*BQ185+BR224*BR185+BS224*BS185+BT224*BT185+BU224*BU185+BV224*BV185+BW224*BW185+BX224*BX185+BY224*BY185+BZ224*BZ185+CA224*CA185+CB224*CB185+CC224*CC185</f>
        <v>0</v>
      </c>
      <c r="CK185" s="2387">
        <f>E225*E185+F225*F185+G225*G185+H225*H185+I225*I185+J225*J185+K225*K185+L225*L185+M225*M185+N225*N185+O225*O185+P225*P185+Q225*Q185+R225*R185+S225*S185+T225*T185+U225*U185+V225*V185+W225*W185+X225*X185+Y225*Y185+Z225*Z185+AA225*AA185+AB225*AB185+AC225*AC185+AD225*AD185+AE225*AE185+AF225*AF185+AG225*AG185+AH225*AH185+AI225*AI185+AJ225*AJ185+AK225*AK185+AL225*AL185+AM225*AM185+AN225*AN185+AO225*AO185+AP225*AP185+AQ225*AQ185+AR225*AR185+AS225*AS185+AT225*AT185+AU225*AU185+AV225*AV185+AW225*AW185+AX225*AX185+AY225*AY185+AZ225*AZ185+BA225*BA185+BB225*BB185+BC225*BC185+BD225*BD185+BE225*BE185+BF225*BF185+BG225*BG185+BH225*BH185+BI225*BI185+BJ225*BJ185+BK225*BK185+BL225*BL185+BM225*BM185+BN225*BN185+BO225*BO185+BP225*BP185+BQ225*BQ185+BR225*BR185+BS225*BS185+BT225*BT185+BU225*BU185+BV225*BV185+BW225*BW185+BX225*BX185+BY225*BY185+BZ225*BZ185+CA225*CA185+CB225*CB185+CC225*CC185</f>
        <v>0</v>
      </c>
      <c r="CL185" s="2387">
        <f>E226*E185+F226*F185+G226*G185+H226*H185+I226*I185+J226*J185+K226*K185+L226*L185+M226*M185+N226*N185+O226*O185+P226*P185+Q226*Q185+R226*R185+S226*S185+T226*T185+U226*U185+V226*V185+W226*W185+X226*X185+Y226*Y185+Z226*Z185+AA226*AA185+AB226*AB185+AC226*AC185+AD226*AD185+AE226*AE185+AF226*AF185+AG226*AG185+AH226*AH185+AI226*AI185+AJ226*AJ185+AK226*AK185+AL226*AL185+AM226*AM185+AN226*AN185+AO226*AO185+AP226*AP185+AQ226*AQ185+AR226*AR185+AS226*AS185+AT226*AT185+AU226*AU185+AV226*AV185+AW226*AW185+AX226*AX185+AY226*AY185+AZ226*AZ185+BA226*BA185+BB226*BB185+BC226*BC185+BD226*BD185+BE226*BE185+BF226*BF185+BG226*BG185+BH226*BH185+BI226*BI185+BJ226*BJ185+BK226*BK185+BL226*BL185+BM226*BM185+BN226*BN185+BO226*BO185+BP226*BP185+BQ226*BQ185+BR226*BR185+BS226*BS185+BT226*BT185+BU226*BU185+BV226*BV185+BW226*BW185+BX226*BX185+BY226*BY185+BZ226*BZ185+CA226*CA185+CB226*CB185+CC226*CC185</f>
        <v>0</v>
      </c>
      <c r="CM185" s="2387">
        <f>E227*E185+F227*F185+G227*G185+H227*H185+I227*I185+J227*J185+K227*K185+L227*L185+M227*M185+N227*N185+O227*O185+P227*P185+Q227*Q185+R227*R185+S227*S185+T227*T185+U227*U185+V227*V185+W227*W185+X227*X185+Y227*Y185+Z227*Z185+AA227*AA185+AB227*AB185+AC227*AC185+AD227*AD185+AE227*AE185+AF227*AF185+AG227*AG185+AH227*AH185+AI227*AI185+AJ227*AJ185+AK227*AK185+AL227*AL185+AM227*AM185+AN227*AN185+AO227*AO185+AP227*AP185+AQ227*AQ185+AR227*AR185+AS227*AS185+AT227*AT185+AU227*AU185+AV227*AV185+AW227*AW185+AX227*AX185+AY227*AY185+AZ227*AZ185+BA227*BA185+BB227*BB185+BC227*BC185+BD227*BD185+BE227*BE185+BF227*BF185+BG227*BG185+BH227*BH185+BI227*BI185+BJ227*BJ185+BK227*BK185+BL227*BL185+BM227*BM185+BN227*BN185+BO227*BO185+BP227*BP185+BQ227*BQ185+BR227*BR185+BS227*BS185+BT227*BT185+BU227*BU185+BV227*BV185+BW227*BW185+BX227*BX185+BY227*BY185+BZ227*BZ185+CA227*CA185+CB227*CB185+CC227*CC185</f>
        <v>0</v>
      </c>
      <c r="CN185" s="2387">
        <f>E228*E185+F228*F185+G228*G185+H228*H185+I228*I185+J228*J185+K228*K185+L228*L185+M228*M185+N228*N185+O228*O185+P228*P185+Q228*Q185+R228*R185+S228*S185+T228*T185+U228*U185+V228*V185+W228*W185+X228*X185+Y228*Y185+Z228*Z185+AA228*AA185+AB228*AB185+AC228*AC185+AD228*AD185+AE228*AE185+AF228*AF185+AG228*AG185+AH228*AH185+AI228*AI185+AJ228*AJ185+AK228*AK185+AL228*AL185+AM228*AM185+AN228*AN185+AO228*AO185+AP228*AP185+AQ228*AQ185+AR228*AR185+AS228*AS185+AT228*AT185+AU228*AU185+AV228*AV185+AW228*AW185+AX228*AX185+AY228*AY185+AZ228*AZ185+BA228*BA185+BB228*BB185+BC228*BC185+BD228*BD185+BE228*BE185+BF228*BF185+BG228*BG185+BH228*BH185+BI228*BI185+BJ228*BJ185+BK228*BK185+BL228*BL185+BM228*BM185+BN228*BN185+BO228*BO185+BP228*BP185+BQ228*BQ185+BR228*BR185+BS228*BS185+BT228*BT185+BU228*BU185+BV228*BV185+BW228*BW185+BX228*BX185+BY228*BY185+BZ228*BZ185+CA228*CA185+CB228*CB185+CC228*CC185</f>
        <v>0</v>
      </c>
      <c r="CO185" s="2387">
        <f>E229*E185+F229*F185+G229*G185+H229*H185+I229*I185+J229*J185+K229*K185+L229*L185+M229*M185+N229*N185+O229*O185+P229*P185+Q229*Q185+R229*R185+S229*S185+T229*T185+U229*U185+V229*V185+W229*W185+X229*X185+Y229*Y185+Z229*Z185+AA229*AA185+AB229*AB185+AC229*AC185+AD229*AD185+AE229*AE185+AF229*AF185+AG229*AG185+AH229*AH185+AI229*AI185+AJ229*AJ185+AK229*AK185+AL229*AL185+AM229*AM185+AN229*AN185+AO229*AO185+AP229*AP185+AQ229*AQ185+AR229*AR185+AS229*AS185+AT229*AT185+AU229*AU185+AV229*AV185+AW229*AW185+AX229*AX185+AY229*AY185+AZ229*AZ185+BA229*BA185+BB229*BB185+BC229*BC185+BD229*BD185+BE229*BE185+BF229*BF185+BG229*BG185+BH229*BH185+BI229*BI185+BJ229*BJ185+BK229*BK185+BL229*BL185+BM229*BM185+BN229*BN185+BO229*BO185+BP229*BP185+BQ229*BQ185+BR229*BR185+BS229*BS185+BT229*BT185+BU229*BU185+BV229*BV185+BW229*BW185+BX229*BX185+BY229*BY185+BZ229*BZ185+CA229*CA185+CB229*CB185+CC229*CC185</f>
        <v>0</v>
      </c>
      <c r="CP185" s="2387">
        <f>E230*E185+F230*F185+G230*G185+H230*H185+I230*I185+J230*J185+K230*K185+L230*L185+M230*M185+N230*N185+O230*O185+P230*P185+Q230*Q185+R230*R185+S230*S185+T230*T185+U230*U185+V230*V185+W230*W185+X230*X185+Y230*Y185+Z230*Z185+AA230*AA185+AB230*AB185+AC230*AC185+AD230*AD185+AE230*AE185+AF230*AF185+AG230*AG185+AH230*AH185+AI230*AI185+AJ230*AJ185+AK230*AK185+AL230*AL185+AM230*AM185+AN230*AN185+AO230*AO185+AP230*AP185+AQ230*AQ185+AR230*AR185+AS230*AS185+AT230*AT185+AU230*AU185+AV230*AV185+AW230*AW185+AX230*AX185+AY230*AY185+AZ230*AZ185+BA230*BA185+BB230*BB185+BC230*BC185+BD230*BD185+BE230*BE185+BF230*BF185+BG230*BG185+BH230*BH185+BI230*BI185+BJ230*BJ185+BK230*BK185+BL230*BL185+BM230*BM185+BN230*BN185+BO230*BO185+BP230*BP185+BQ230*BQ185+BR230*BR185+BS230*BS185+BT230*BT185+BU230*BU185+BV230*BV185+BW230*BW185+BX230*BX185+BY230*BY185+BZ230*BZ185+CA230*CA185+CB230*CB185+CC230*CC185</f>
        <v>0</v>
      </c>
    </row>
    <row r="186" spans="2:94" x14ac:dyDescent="0.25">
      <c r="B186" s="1592">
        <v>67</v>
      </c>
      <c r="C186" s="1532" t="s">
        <v>2478</v>
      </c>
      <c r="D186" s="1537" t="s">
        <v>2965</v>
      </c>
      <c r="E186" s="985">
        <f>0</f>
        <v>0</v>
      </c>
      <c r="F186" s="985">
        <f>0</f>
        <v>0</v>
      </c>
      <c r="G186" s="985">
        <f>0</f>
        <v>0</v>
      </c>
      <c r="H186" s="985">
        <f>0</f>
        <v>0</v>
      </c>
      <c r="I186" s="985">
        <f>0</f>
        <v>0</v>
      </c>
      <c r="J186" s="985">
        <f>0</f>
        <v>0</v>
      </c>
      <c r="K186" s="985">
        <f>0</f>
        <v>0</v>
      </c>
      <c r="L186" s="985">
        <f>0</f>
        <v>0</v>
      </c>
      <c r="M186" s="985">
        <f>0</f>
        <v>0</v>
      </c>
      <c r="N186" s="985">
        <f>0</f>
        <v>0</v>
      </c>
      <c r="O186" s="985">
        <f>0</f>
        <v>0</v>
      </c>
      <c r="P186" s="985">
        <f>0</f>
        <v>0</v>
      </c>
      <c r="Q186" s="994">
        <f>0</f>
        <v>0</v>
      </c>
      <c r="R186" s="985">
        <f>0</f>
        <v>0</v>
      </c>
      <c r="S186" s="985">
        <f>0</f>
        <v>0</v>
      </c>
      <c r="T186" s="985">
        <f>0</f>
        <v>0</v>
      </c>
      <c r="U186" s="985">
        <f>0</f>
        <v>0</v>
      </c>
      <c r="V186" s="985">
        <f>0</f>
        <v>0</v>
      </c>
      <c r="W186" s="985">
        <f>0</f>
        <v>0</v>
      </c>
      <c r="X186" s="985">
        <f>0</f>
        <v>0</v>
      </c>
      <c r="Y186" s="985">
        <f>0</f>
        <v>0</v>
      </c>
      <c r="Z186" s="985">
        <f>0</f>
        <v>0</v>
      </c>
      <c r="AA186" s="985">
        <f>0</f>
        <v>0</v>
      </c>
      <c r="AB186" s="985">
        <f>0</f>
        <v>0</v>
      </c>
      <c r="AC186" s="985">
        <f>0</f>
        <v>0</v>
      </c>
      <c r="AD186" s="985">
        <f>0</f>
        <v>0</v>
      </c>
      <c r="AE186" s="985">
        <f>0</f>
        <v>0</v>
      </c>
      <c r="AF186" s="985">
        <f>-1</f>
        <v>-1</v>
      </c>
      <c r="AG186" s="985">
        <f>0</f>
        <v>0</v>
      </c>
      <c r="AH186" s="985">
        <f>0</f>
        <v>0</v>
      </c>
      <c r="AI186" s="985">
        <f>0</f>
        <v>0</v>
      </c>
      <c r="AJ186" s="985">
        <f>0</f>
        <v>0</v>
      </c>
      <c r="AK186" s="985">
        <f>0</f>
        <v>0</v>
      </c>
      <c r="AL186" s="985">
        <f>0</f>
        <v>0</v>
      </c>
      <c r="AM186" s="985">
        <f>0</f>
        <v>0</v>
      </c>
      <c r="AN186" s="985">
        <f>0</f>
        <v>0</v>
      </c>
      <c r="AO186" s="985">
        <f>0</f>
        <v>0</v>
      </c>
      <c r="AP186" s="985">
        <f>0</f>
        <v>0</v>
      </c>
      <c r="AQ186" s="985">
        <f>0</f>
        <v>0</v>
      </c>
      <c r="AR186" s="985">
        <f>0</f>
        <v>0</v>
      </c>
      <c r="AS186" s="985">
        <f>0</f>
        <v>0</v>
      </c>
      <c r="AT186" s="985">
        <f>0</f>
        <v>0</v>
      </c>
      <c r="AU186" s="985">
        <f>0</f>
        <v>0</v>
      </c>
      <c r="AV186" s="1629">
        <f>0</f>
        <v>0</v>
      </c>
      <c r="AW186" s="1630">
        <f>-1/(A_SFHFO_L*(A_MP/A_MFe))</f>
        <v>-9.0148880913149121</v>
      </c>
      <c r="AX186" s="1629">
        <f>0</f>
        <v>0</v>
      </c>
      <c r="AY186" s="1629">
        <f>0</f>
        <v>0</v>
      </c>
      <c r="AZ186" s="1630">
        <f>1/(A_SFHFO_L*(A_MP/A_MFe))</f>
        <v>9.0148880913149121</v>
      </c>
      <c r="BA186" s="1629">
        <f>0</f>
        <v>0</v>
      </c>
      <c r="BB186" s="1629">
        <f>0</f>
        <v>0</v>
      </c>
      <c r="BC186" s="985">
        <f>0</f>
        <v>0</v>
      </c>
      <c r="BD186" s="994">
        <f>0</f>
        <v>0</v>
      </c>
      <c r="BE186" s="985">
        <f>0</f>
        <v>0</v>
      </c>
      <c r="BF186" s="985">
        <f>0</f>
        <v>0</v>
      </c>
      <c r="BG186" s="994">
        <f>0</f>
        <v>0</v>
      </c>
      <c r="BH186" s="985">
        <f>0</f>
        <v>0</v>
      </c>
      <c r="BI186" s="985">
        <f>0</f>
        <v>0</v>
      </c>
      <c r="BJ186" s="985">
        <f>0</f>
        <v>0</v>
      </c>
      <c r="BK186" s="985">
        <f>0</f>
        <v>0</v>
      </c>
      <c r="BL186" s="1629">
        <f>0</f>
        <v>0</v>
      </c>
      <c r="BM186" s="994">
        <f>0</f>
        <v>0</v>
      </c>
      <c r="BN186" s="985">
        <f>0</f>
        <v>0</v>
      </c>
      <c r="BO186" s="985">
        <f>0</f>
        <v>0</v>
      </c>
      <c r="BP186" s="1428">
        <f>0</f>
        <v>0</v>
      </c>
      <c r="BQ186" s="2377">
        <f>0</f>
        <v>0</v>
      </c>
      <c r="BR186" s="994">
        <f>0</f>
        <v>0</v>
      </c>
      <c r="BS186" s="994">
        <f>0</f>
        <v>0</v>
      </c>
      <c r="BT186" s="994">
        <f>0</f>
        <v>0</v>
      </c>
      <c r="BU186" s="994">
        <f>0</f>
        <v>0</v>
      </c>
      <c r="BV186" s="994">
        <f>0</f>
        <v>0</v>
      </c>
      <c r="BW186" s="994">
        <f>0</f>
        <v>0</v>
      </c>
      <c r="BX186" s="994">
        <f>0</f>
        <v>0</v>
      </c>
      <c r="BY186" s="994">
        <f>0</f>
        <v>0</v>
      </c>
      <c r="BZ186" s="994">
        <f>0</f>
        <v>0</v>
      </c>
      <c r="CA186" s="994">
        <f>0</f>
        <v>0</v>
      </c>
      <c r="CB186" s="994">
        <f>0</f>
        <v>0</v>
      </c>
      <c r="CC186" s="994">
        <f>0</f>
        <v>0</v>
      </c>
      <c r="CD186" s="1658">
        <f>q_P_HFO_BIND*X_HFO_L*M_satSPO4_KP_HFO_BIND</f>
        <v>8.3333333333333332E-51</v>
      </c>
      <c r="CF186" s="2385">
        <f>E220*E186+F220*F186+G220*G186+H220*H186+I220*I186+J220*J186+K220*K186+L220*L186+M220*M186+N220*N186+O220*O186+P220*P186+Q220*Q186+R220*R186+S220*S186+T220*T186+U220*U186+V220*V186+W220*W186+X220*X186+Y220*Y186+Z220*Z186+AA220*AA186+AB220*AB186+AC220*AC186+AD220*AD186+AE220*AE186+AF220*AF186+AG220*AG186+AH220*AH186+AI220*AI186+AJ220*AJ186+AK220*AK186+AL220*AL186+AM220*AM186+AN220*AN186+AO220*AO186+AP220*AP186+AQ220*AQ186+AR220*AR186+AS220*AS186+AT220*AT186+AU220*AU186+AV220*AV186+AW220*AW186+AX220*AX186+AY220*AY186+AZ220*AZ186+BA220*BA186+BB220*BB186+BC220*BC186+BD220*BD186+BE220*BE186+BF220*BF186+BG220*BG186+BH220*BH186+BI220*BI186+BJ220*BJ186+BK220*BK186+BL220*BL186+BM220*BM186+BN220*BN186+BO220*BO186+BP220*BP186+BQ220*BQ186+BR220*BR186+BS220*BS186+BT220*BT186+BU220*BU186+BV220*BV186+BW220*BW186+BX220*BX186+BY220*BY186+BZ220*BZ186+CA220*CA186+CB220*CB186+CC220*CC186</f>
        <v>0</v>
      </c>
      <c r="CG186" s="2385">
        <f>E221*E186+F221*F186+G221*G186+H221*H186+I221*I186+J221*J186+K221*K186+L221*L186+M221*M186+N221*N186+O221*O186+P221*P186+Q221*Q186+R221*R186+S221*S186+T221*T186+U221*U186+V221*V186+W221*W186+X221*X186+Y221*Y186+Z221*Z186+AA221*AA186+AB221*AB186+AC221*AC186+AD221*AD186+AE221*AE186+AF221*AF186+AG221*AG186+AH221*AH186+AI221*AI186+AJ221*AJ186+AK221*AK186+AL221*AL186+AM221*AM186+AN221*AN186+AO221*AO186+AP221*AP186+AQ221*AQ186+AR221*AR186+AS221*AS186+AT221*AT186+AU221*AU186+AV221*AV186+AW221*AW186+AX221*AX186+AY221*AY186+AZ221*AZ186+BA221*BA186+BB221*BB186+BC221*BC186+BD221*BD186+BE221*BE186+BF221*BF186+BG221*BG186+BH221*BH186+BI221*BI186+BJ221*BJ186+BK221*BK186+BL221*BL186+BM221*BM186+BN221*BN186+BO221*BO186+BP221*BP186+BQ221*BQ186+BR221*BR186+BS221*BS186+BT221*BT186+BU221*BU186+BV221*BV186+BW221*BW186+BX221*BX186+BY221*BY186+BZ221*BZ186+CA221*CA186+CB221*CB186+CC221*CC186</f>
        <v>0</v>
      </c>
      <c r="CH186" s="2386">
        <f>E222*E186+F222*F186+G222*G186+H222*H186+I222*I186+J222*J186+K222*K186+L222*L186+M222*M186+N222*N186+O222*O186+P222*P186+Q222*Q186+R222*R186+S222*S186+T222*T186+U222*U186+V222*V186+W222*W186+X222*X186+Y222*Y186+Z222*Z186+AA222*AA186+AB222*AB186+AC222*AC186+AD222*AD186+AE222*AE186+AF222*AF186+AG222*AG186+AH222*AH186+AI222*AI186+AJ222*AJ186+AK222*AK186+AL222*AL186+AM222*AM186+AN222*AN186+AO222*AO186+AP222*AP186+AQ222*AQ186+AR222*AR186+AS222*AS186+AT222*AT186+AU222*AU186+AV222*AV186+AW222*AW186+AX222*AX186+AY222*AY186+AZ222*AZ186+BA222*BA186+BB222*BB186+BC222*BC186+BD222*BD186+BE222*BE186+BF222*BF186+BG222*BG186+BH222*BH186+BI222*BI186+BJ222*BJ186+BK222*BK186+BL222*BL186+BM222*BM186+BN222*BN186+BO222*BO186+BP222*BP186+BQ222*BQ186+BR222*BR186+BS222*BS186+BT222*BT186+BU222*BU186+BV222*BV186+BW222*BW186+BX222*BX186+BY222*BY186+BZ222*BZ186+CA222*CA186+CB222*CB186+CC222*CC186</f>
        <v>0</v>
      </c>
      <c r="CI186" s="2387">
        <f>E223*E186+F223*F186+G223*G186+H223*H186+I223*I186+J223*J186+K223*K186+L223*L186+M223*M186+N223*N186+O223*O186+P223*P186+Q223*Q186+R223*R186+S223*S186+T223*T186+U223*U186+V223*V186+W223*W186+X223*X186+Y223*Y186+Z223*Z186+AA223*AA186+AB223*AB186+AC223*AC186+AD223*AD186+AE223*AE186+AF223*AF186+AG223*AG186+AH223*AH186+AI223*AI186+AJ223*AJ186+AK223*AK186+AL223*AL186+AM223*AM186+AN223*AN186+AO223*AO186+AP223*AP186+AQ223*AQ186+AR223*AR186+AS223*AS186+AT223*AT186+AU223*AU186+AV223*AV186+AW223*AW186+AX223*AX186+AY223*AY186+AZ223*AZ186+BA223*BA186+BB223*BB186+BC223*BC186+BD223*BD186+BE223*BE186+BF223*BF186+BG223*BG186+BH223*BH186+BI223*BI186+BJ223*BJ186+BK223*BK186+BL223*BL186+BM223*BM186+BN223*BN186+BO223*BO186+BP223*BP186+BQ223*BQ186+BR223*BR186+BS223*BS186+BT223*BT186+BU223*BU186+BV223*BV186+BW223*BW186+BX223*BX186+BY223*BY186+BZ223*BZ186+CA223*CA186+CB223*CB186+CC223*CC186</f>
        <v>0</v>
      </c>
      <c r="CJ186" s="2387">
        <f>E224*E186+F224*F186+G224*G186+H224*H186+I224*I186+J224*J186+K224*K186+L224*L186+M224*M186+N224*N186+O224*O186+P224*P186+Q224*Q186+R224*R186+S224*S186+T224*T186+U224*U186+V224*V186+W224*W186+X224*X186+Y224*Y186+Z224*Z186+AA224*AA186+AB224*AB186+AC224*AC186+AD224*AD186+AE224*AE186+AF224*AF186+AG224*AG186+AH224*AH186+AI224*AI186+AJ224*AJ186+AK224*AK186+AL224*AL186+AM224*AM186+AN224*AN186+AO224*AO186+AP224*AP186+AQ224*AQ186+AR224*AR186+AS224*AS186+AT224*AT186+AU224*AU186+AV224*AV186+AW224*AW186+AX224*AX186+AY224*AY186+AZ224*AZ186+BA224*BA186+BB224*BB186+BC224*BC186+BD224*BD186+BE224*BE186+BF224*BF186+BG224*BG186+BH224*BH186+BI224*BI186+BJ224*BJ186+BK224*BK186+BL224*BL186+BM224*BM186+BN224*BN186+BO224*BO186+BP224*BP186+BQ224*BQ186+BR224*BR186+BS224*BS186+BT224*BT186+BU224*BU186+BV224*BV186+BW224*BW186+BX224*BX186+BY224*BY186+BZ224*BZ186+CA224*CA186+CB224*CB186+CC224*CC186</f>
        <v>0</v>
      </c>
      <c r="CK186" s="2387">
        <f>E225*E186+F225*F186+G225*G186+H225*H186+I225*I186+J225*J186+K225*K186+L225*L186+M225*M186+N225*N186+O225*O186+P225*P186+Q225*Q186+R225*R186+S225*S186+T225*T186+U225*U186+V225*V186+W225*W186+X225*X186+Y225*Y186+Z225*Z186+AA225*AA186+AB225*AB186+AC225*AC186+AD225*AD186+AE225*AE186+AF225*AF186+AG225*AG186+AH225*AH186+AI225*AI186+AJ225*AJ186+AK225*AK186+AL225*AL186+AM225*AM186+AN225*AN186+AO225*AO186+AP225*AP186+AQ225*AQ186+AR225*AR186+AS225*AS186+AT225*AT186+AU225*AU186+AV225*AV186+AW225*AW186+AX225*AX186+AY225*AY186+AZ225*AZ186+BA225*BA186+BB225*BB186+BC225*BC186+BD225*BD186+BE225*BE186+BF225*BF186+BG225*BG186+BH225*BH186+BI225*BI186+BJ225*BJ186+BK225*BK186+BL225*BL186+BM225*BM186+BN225*BN186+BO225*BO186+BP225*BP186+BQ225*BQ186+BR225*BR186+BS225*BS186+BT225*BT186+BU225*BU186+BV225*BV186+BW225*BW186+BX225*BX186+BY225*BY186+BZ225*BZ186+CA225*CA186+CB225*CB186+CC225*CC186</f>
        <v>0</v>
      </c>
      <c r="CL186" s="2387">
        <f>E226*E186+F226*F186+G226*G186+H226*H186+I226*I186+J226*J186+K226*K186+L226*L186+M226*M186+N226*N186+O226*O186+P226*P186+Q226*Q186+R226*R186+S226*S186+T226*T186+U226*U186+V226*V186+W226*W186+X226*X186+Y226*Y186+Z226*Z186+AA226*AA186+AB226*AB186+AC226*AC186+AD226*AD186+AE226*AE186+AF226*AF186+AG226*AG186+AH226*AH186+AI226*AI186+AJ226*AJ186+AK226*AK186+AL226*AL186+AM226*AM186+AN226*AN186+AO226*AO186+AP226*AP186+AQ226*AQ186+AR226*AR186+AS226*AS186+AT226*AT186+AU226*AU186+AV226*AV186+AW226*AW186+AX226*AX186+AY226*AY186+AZ226*AZ186+BA226*BA186+BB226*BB186+BC226*BC186+BD226*BD186+BE226*BE186+BF226*BF186+BG226*BG186+BH226*BH186+BI226*BI186+BJ226*BJ186+BK226*BK186+BL226*BL186+BM226*BM186+BN226*BN186+BO226*BO186+BP226*BP186+BQ226*BQ186+BR226*BR186+BS226*BS186+BT226*BT186+BU226*BU186+BV226*BV186+BW226*BW186+BX226*BX186+BY226*BY186+BZ226*BZ186+CA226*CA186+CB226*CB186+CC226*CC186</f>
        <v>0</v>
      </c>
      <c r="CM186" s="2387">
        <f>E227*E186+F227*F186+G227*G186+H227*H186+I227*I186+J227*J186+K227*K186+L227*L186+M227*M186+N227*N186+O227*O186+P227*P186+Q227*Q186+R227*R186+S227*S186+T227*T186+U227*U186+V227*V186+W227*W186+X227*X186+Y227*Y186+Z227*Z186+AA227*AA186+AB227*AB186+AC227*AC186+AD227*AD186+AE227*AE186+AF227*AF186+AG227*AG186+AH227*AH186+AI227*AI186+AJ227*AJ186+AK227*AK186+AL227*AL186+AM227*AM186+AN227*AN186+AO227*AO186+AP227*AP186+AQ227*AQ186+AR227*AR186+AS227*AS186+AT227*AT186+AU227*AU186+AV227*AV186+AW227*AW186+AX227*AX186+AY227*AY186+AZ227*AZ186+BA227*BA186+BB227*BB186+BC227*BC186+BD227*BD186+BE227*BE186+BF227*BF186+BG227*BG186+BH227*BH186+BI227*BI186+BJ227*BJ186+BK227*BK186+BL227*BL186+BM227*BM186+BN227*BN186+BO227*BO186+BP227*BP186+BQ227*BQ186+BR227*BR186+BS227*BS186+BT227*BT186+BU227*BU186+BV227*BV186+BW227*BW186+BX227*BX186+BY227*BY186+BZ227*BZ186+CA227*CA186+CB227*CB186+CC227*CC186</f>
        <v>0</v>
      </c>
      <c r="CN186" s="2387">
        <f>E228*E186+F228*F186+G228*G186+H228*H186+I228*I186+J228*J186+K228*K186+L228*L186+M228*M186+N228*N186+O228*O186+P228*P186+Q228*Q186+R228*R186+S228*S186+T228*T186+U228*U186+V228*V186+W228*W186+X228*X186+Y228*Y186+Z228*Z186+AA228*AA186+AB228*AB186+AC228*AC186+AD228*AD186+AE228*AE186+AF228*AF186+AG228*AG186+AH228*AH186+AI228*AI186+AJ228*AJ186+AK228*AK186+AL228*AL186+AM228*AM186+AN228*AN186+AO228*AO186+AP228*AP186+AQ228*AQ186+AR228*AR186+AS228*AS186+AT228*AT186+AU228*AU186+AV228*AV186+AW228*AW186+AX228*AX186+AY228*AY186+AZ228*AZ186+BA228*BA186+BB228*BB186+BC228*BC186+BD228*BD186+BE228*BE186+BF228*BF186+BG228*BG186+BH228*BH186+BI228*BI186+BJ228*BJ186+BK228*BK186+BL228*BL186+BM228*BM186+BN228*BN186+BO228*BO186+BP228*BP186+BQ228*BQ186+BR228*BR186+BS228*BS186+BT228*BT186+BU228*BU186+BV228*BV186+BW228*BW186+BX228*BX186+BY228*BY186+BZ228*BZ186+CA228*CA186+CB228*CB186+CC228*CC186</f>
        <v>0</v>
      </c>
      <c r="CO186" s="2387">
        <f>E229*E186+F229*F186+G229*G186+H229*H186+I229*I186+J229*J186+K229*K186+L229*L186+M229*M186+N229*N186+O229*O186+P229*P186+Q229*Q186+R229*R186+S229*S186+T229*T186+U229*U186+V229*V186+W229*W186+X229*X186+Y229*Y186+Z229*Z186+AA229*AA186+AB229*AB186+AC229*AC186+AD229*AD186+AE229*AE186+AF229*AF186+AG229*AG186+AH229*AH186+AI229*AI186+AJ229*AJ186+AK229*AK186+AL229*AL186+AM229*AM186+AN229*AN186+AO229*AO186+AP229*AP186+AQ229*AQ186+AR229*AR186+AS229*AS186+AT229*AT186+AU229*AU186+AV229*AV186+AW229*AW186+AX229*AX186+AY229*AY186+AZ229*AZ186+BA229*BA186+BB229*BB186+BC229*BC186+BD229*BD186+BE229*BE186+BF229*BF186+BG229*BG186+BH229*BH186+BI229*BI186+BJ229*BJ186+BK229*BK186+BL229*BL186+BM229*BM186+BN229*BN186+BO229*BO186+BP229*BP186+BQ229*BQ186+BR229*BR186+BS229*BS186+BT229*BT186+BU229*BU186+BV229*BV186+BW229*BW186+BX229*BX186+BY229*BY186+BZ229*BZ186+CA229*CA186+CB229*CB186+CC229*CC186</f>
        <v>0</v>
      </c>
      <c r="CP186" s="2387">
        <f>E230*E186+F230*F186+G230*G186+H230*H186+I230*I186+J230*J186+K230*K186+L230*L186+M230*M186+N230*N186+O230*O186+P230*P186+Q230*Q186+R230*R186+S230*S186+T230*T186+U230*U186+V230*V186+W230*W186+X230*X186+Y230*Y186+Z230*Z186+AA230*AA186+AB230*AB186+AC230*AC186+AD230*AD186+AE230*AE186+AF230*AF186+AG230*AG186+AH230*AH186+AI230*AI186+AJ230*AJ186+AK230*AK186+AL230*AL186+AM230*AM186+AN230*AN186+AO230*AO186+AP230*AP186+AQ230*AQ186+AR230*AR186+AS230*AS186+AT230*AT186+AU230*AU186+AV230*AV186+AW230*AW186+AX230*AX186+AY230*AY186+AZ230*AZ186+BA230*BA186+BB230*BB186+BC230*BC186+BD230*BD186+BE230*BE186+BF230*BF186+BG230*BG186+BH230*BH186+BI230*BI186+BJ230*BJ186+BK230*BK186+BL230*BL186+BM230*BM186+BN230*BN186+BO230*BO186+BP230*BP186+BQ230*BQ186+BR230*BR186+BS230*BS186+BT230*BT186+BU230*BU186+BV230*BV186+BW230*BW186+BX230*BX186+BY230*BY186+BZ230*BZ186+CA230*CA186+CB230*CB186+CC230*CC186</f>
        <v>0</v>
      </c>
    </row>
    <row r="187" spans="2:94" ht="18" x14ac:dyDescent="0.25">
      <c r="B187" s="1592">
        <v>68</v>
      </c>
      <c r="C187" s="1532" t="s">
        <v>2479</v>
      </c>
      <c r="D187" s="1537" t="s">
        <v>3452</v>
      </c>
      <c r="E187" s="985">
        <f>0</f>
        <v>0</v>
      </c>
      <c r="F187" s="985">
        <f>0</f>
        <v>0</v>
      </c>
      <c r="G187" s="985">
        <f>0</f>
        <v>0</v>
      </c>
      <c r="H187" s="985">
        <f>0</f>
        <v>0</v>
      </c>
      <c r="I187" s="985">
        <f>0</f>
        <v>0</v>
      </c>
      <c r="J187" s="985">
        <f>0</f>
        <v>0</v>
      </c>
      <c r="K187" s="985">
        <f>0</f>
        <v>0</v>
      </c>
      <c r="L187" s="985">
        <f>0</f>
        <v>0</v>
      </c>
      <c r="M187" s="985">
        <f>0</f>
        <v>0</v>
      </c>
      <c r="N187" s="985">
        <f>0</f>
        <v>0</v>
      </c>
      <c r="O187" s="985">
        <f>0</f>
        <v>0</v>
      </c>
      <c r="P187" s="985">
        <f>0</f>
        <v>0</v>
      </c>
      <c r="Q187" s="994">
        <f>0</f>
        <v>0</v>
      </c>
      <c r="R187" s="985">
        <f>0</f>
        <v>0</v>
      </c>
      <c r="S187" s="985">
        <f>0</f>
        <v>0</v>
      </c>
      <c r="T187" s="985">
        <f>0</f>
        <v>0</v>
      </c>
      <c r="U187" s="985">
        <f>0</f>
        <v>0</v>
      </c>
      <c r="V187" s="985">
        <f>0</f>
        <v>0</v>
      </c>
      <c r="W187" s="985">
        <f>0</f>
        <v>0</v>
      </c>
      <c r="X187" s="985">
        <f>0</f>
        <v>0</v>
      </c>
      <c r="Y187" s="985">
        <f>0</f>
        <v>0</v>
      </c>
      <c r="Z187" s="985">
        <f>0</f>
        <v>0</v>
      </c>
      <c r="AA187" s="985">
        <f>0</f>
        <v>0</v>
      </c>
      <c r="AB187" s="985">
        <f>0</f>
        <v>0</v>
      </c>
      <c r="AC187" s="985">
        <f>0</f>
        <v>0</v>
      </c>
      <c r="AD187" s="985">
        <f>0</f>
        <v>0</v>
      </c>
      <c r="AE187" s="985">
        <f>0</f>
        <v>0</v>
      </c>
      <c r="AF187" s="1429">
        <f>(A_SFHFO_H*(A_MP/A_MFe))</f>
        <v>0.66556566639806602</v>
      </c>
      <c r="AG187" s="985">
        <f>0</f>
        <v>0</v>
      </c>
      <c r="AH187" s="985">
        <f>0</f>
        <v>0</v>
      </c>
      <c r="AI187" s="985">
        <f>0</f>
        <v>0</v>
      </c>
      <c r="AJ187" s="985">
        <f>0</f>
        <v>0</v>
      </c>
      <c r="AK187" s="985">
        <f>0</f>
        <v>0</v>
      </c>
      <c r="AL187" s="985">
        <f>0</f>
        <v>0</v>
      </c>
      <c r="AM187" s="985">
        <f>0</f>
        <v>0</v>
      </c>
      <c r="AN187" s="985">
        <f>0</f>
        <v>0</v>
      </c>
      <c r="AO187" s="985">
        <f>0</f>
        <v>0</v>
      </c>
      <c r="AP187" s="985">
        <f>0</f>
        <v>0</v>
      </c>
      <c r="AQ187" s="985">
        <f>0</f>
        <v>0</v>
      </c>
      <c r="AR187" s="985">
        <f>0</f>
        <v>0</v>
      </c>
      <c r="AS187" s="985">
        <f>0</f>
        <v>0</v>
      </c>
      <c r="AT187" s="985">
        <f>0</f>
        <v>0</v>
      </c>
      <c r="AU187" s="994">
        <f>0</f>
        <v>0</v>
      </c>
      <c r="AV187" s="1629">
        <f>1</f>
        <v>1</v>
      </c>
      <c r="AW187" s="1629">
        <f>0</f>
        <v>0</v>
      </c>
      <c r="AX187" s="1630">
        <f>0</f>
        <v>0</v>
      </c>
      <c r="AY187" s="1630">
        <f>-1</f>
        <v>-1</v>
      </c>
      <c r="AZ187" s="1629">
        <f>0</f>
        <v>0</v>
      </c>
      <c r="BA187" s="1630">
        <f>0</f>
        <v>0</v>
      </c>
      <c r="BB187" s="1630">
        <f>0</f>
        <v>0</v>
      </c>
      <c r="BC187" s="985">
        <f>0</f>
        <v>0</v>
      </c>
      <c r="BD187" s="985">
        <f>0</f>
        <v>0</v>
      </c>
      <c r="BE187" s="994">
        <f>0</f>
        <v>0</v>
      </c>
      <c r="BF187" s="994">
        <f>0</f>
        <v>0</v>
      </c>
      <c r="BG187" s="985">
        <f>0</f>
        <v>0</v>
      </c>
      <c r="BH187" s="994">
        <f>0</f>
        <v>0</v>
      </c>
      <c r="BI187" s="994">
        <f>0</f>
        <v>0</v>
      </c>
      <c r="BJ187" s="994">
        <f>0</f>
        <v>0</v>
      </c>
      <c r="BK187" s="994">
        <f>0</f>
        <v>0</v>
      </c>
      <c r="BL187" s="1630">
        <f>0</f>
        <v>0</v>
      </c>
      <c r="BM187" s="994">
        <f>0</f>
        <v>0</v>
      </c>
      <c r="BN187" s="994">
        <f>0</f>
        <v>0</v>
      </c>
      <c r="BO187" s="994">
        <f>0</f>
        <v>0</v>
      </c>
      <c r="BP187" s="1429">
        <f>0</f>
        <v>0</v>
      </c>
      <c r="BQ187" s="2378">
        <f>0</f>
        <v>0</v>
      </c>
      <c r="BR187" s="994">
        <f>0</f>
        <v>0</v>
      </c>
      <c r="BS187" s="994">
        <f>0</f>
        <v>0</v>
      </c>
      <c r="BT187" s="994">
        <f>0</f>
        <v>0</v>
      </c>
      <c r="BU187" s="994">
        <f>0</f>
        <v>0</v>
      </c>
      <c r="BV187" s="994">
        <f>0</f>
        <v>0</v>
      </c>
      <c r="BW187" s="994">
        <f>0</f>
        <v>0</v>
      </c>
      <c r="BX187" s="994">
        <f>0</f>
        <v>0</v>
      </c>
      <c r="BY187" s="994">
        <f>0</f>
        <v>0</v>
      </c>
      <c r="BZ187" s="994">
        <f>0</f>
        <v>0</v>
      </c>
      <c r="CA187" s="994">
        <f>0</f>
        <v>0</v>
      </c>
      <c r="CB187" s="994">
        <f>0</f>
        <v>0</v>
      </c>
      <c r="CC187" s="994">
        <f>0</f>
        <v>0</v>
      </c>
      <c r="CD187" s="1658">
        <f>q_HFOH_DESORP*X_HFO_H_P*M_inhSPO4_KiP_HFO_DESORP</f>
        <v>1.6666666666666669E-49</v>
      </c>
      <c r="CF187" s="2385">
        <f>E220*E187+F220*F187+G220*G187+H220*H187+I220*I187+J220*J187+K220*K187+L220*L187+M220*M187+N220*N187+O220*O187+P220*P187+Q220*Q187+R220*R187+S220*S187+T220*T187+U220*U187+V220*V187+W220*W187+X220*X187+Y220*Y187+Z220*Z187+AA220*AA187+AB220*AB187+AC220*AC187+AD220*AD187+AE220*AE187+AF220*AF187+AG220*AG187+AH220*AH187+AI220*AI187+AJ220*AJ187+AK220*AK187+AL220*AL187+AM220*AM187+AN220*AN187+AO220*AO187+AP220*AP187+AQ220*AQ187+AR220*AR187+AS220*AS187+AT220*AT187+AU220*AU187+AV220*AV187+AW220*AW187+AX220*AX187+AY220*AY187+AZ220*AZ187+BA220*BA187+BB220*BB187+BC220*BC187+BD220*BD187+BE220*BE187+BF220*BF187+BG220*BG187+BH220*BH187+BI220*BI187+BJ220*BJ187+BK220*BK187+BL220*BL187+BM220*BM187+BN220*BN187+BO220*BO187+BP220*BP187+BQ220*BQ187+BR220*BR187+BS220*BS187+BT220*BT187+BU220*BU187+BV220*BV187+BW220*BW187+BX220*BX187+BY220*BY187+BZ220*BZ187+CA220*CA187+CB220*CB187+CC220*CC187</f>
        <v>0</v>
      </c>
      <c r="CG187" s="2385">
        <f>E221*E187+F221*F187+G221*G187+H221*H187+I221*I187+J221*J187+K221*K187+L221*L187+M221*M187+N221*N187+O221*O187+P221*P187+Q221*Q187+R221*R187+S221*S187+T221*T187+U221*U187+V221*V187+W221*W187+X221*X187+Y221*Y187+Z221*Z187+AA221*AA187+AB221*AB187+AC221*AC187+AD221*AD187+AE221*AE187+AF221*AF187+AG221*AG187+AH221*AH187+AI221*AI187+AJ221*AJ187+AK221*AK187+AL221*AL187+AM221*AM187+AN221*AN187+AO221*AO187+AP221*AP187+AQ221*AQ187+AR221*AR187+AS221*AS187+AT221*AT187+AU221*AU187+AV221*AV187+AW221*AW187+AX221*AX187+AY221*AY187+AZ221*AZ187+BA221*BA187+BB221*BB187+BC221*BC187+BD221*BD187+BE221*BE187+BF221*BF187+BG221*BG187+BH221*BH187+BI221*BI187+BJ221*BJ187+BK221*BK187+BL221*BL187+BM221*BM187+BN221*BN187+BO221*BO187+BP221*BP187+BQ221*BQ187+BR221*BR187+BS221*BS187+BT221*BT187+BU221*BU187+BV221*BV187+BW221*BW187+BX221*BX187+BY221*BY187+BZ221*BZ187+CA221*CA187+CB221*CB187+CC221*CC187</f>
        <v>0</v>
      </c>
      <c r="CH187" s="2386">
        <f>E222*E187+F222*F187+G222*G187+H222*H187+I222*I187+J222*J187+K222*K187+L222*L187+M222*M187+N222*N187+O222*O187+P222*P187+Q222*Q187+R222*R187+S222*S187+T222*T187+U222*U187+V222*V187+W222*W187+X222*X187+Y222*Y187+Z222*Z187+AA222*AA187+AB222*AB187+AC222*AC187+AD222*AD187+AE222*AE187+AF222*AF187+AG222*AG187+AH222*AH187+AI222*AI187+AJ222*AJ187+AK222*AK187+AL222*AL187+AM222*AM187+AN222*AN187+AO222*AO187+AP222*AP187+AQ222*AQ187+AR222*AR187+AS222*AS187+AT222*AT187+AU222*AU187+AV222*AV187+AW222*AW187+AX222*AX187+AY222*AY187+AZ222*AZ187+BA222*BA187+BB222*BB187+BC222*BC187+BD222*BD187+BE222*BE187+BF222*BF187+BG222*BG187+BH222*BH187+BI222*BI187+BJ222*BJ187+BK222*BK187+BL222*BL187+BM222*BM187+BN222*BN187+BO222*BO187+BP222*BP187+BQ222*BQ187+BR222*BR187+BS222*BS187+BT222*BT187+BU222*BU187+BV222*BV187+BW222*BW187+BX222*BX187+BY222*BY187+BZ222*BZ187+CA222*CA187+CB222*CB187+CC222*CC187</f>
        <v>0</v>
      </c>
      <c r="CI187" s="2387">
        <f>E223*E187+F223*F187+G223*G187+H223*H187+I223*I187+J223*J187+K223*K187+L223*L187+M223*M187+N223*N187+O223*O187+P223*P187+Q223*Q187+R223*R187+S223*S187+T223*T187+U223*U187+V223*V187+W223*W187+X223*X187+Y223*Y187+Z223*Z187+AA223*AA187+AB223*AB187+AC223*AC187+AD223*AD187+AE223*AE187+AF223*AF187+AG223*AG187+AH223*AH187+AI223*AI187+AJ223*AJ187+AK223*AK187+AL223*AL187+AM223*AM187+AN223*AN187+AO223*AO187+AP223*AP187+AQ223*AQ187+AR223*AR187+AS223*AS187+AT223*AT187+AU223*AU187+AV223*AV187+AW223*AW187+AX223*AX187+AY223*AY187+AZ223*AZ187+BA223*BA187+BB223*BB187+BC223*BC187+BD223*BD187+BE223*BE187+BF223*BF187+BG223*BG187+BH223*BH187+BI223*BI187+BJ223*BJ187+BK223*BK187+BL223*BL187+BM223*BM187+BN223*BN187+BO223*BO187+BP223*BP187+BQ223*BQ187+BR223*BR187+BS223*BS187+BT223*BT187+BU223*BU187+BV223*BV187+BW223*BW187+BX223*BX187+BY223*BY187+BZ223*BZ187+CA223*CA187+CB223*CB187+CC223*CC187</f>
        <v>0</v>
      </c>
      <c r="CJ187" s="2387">
        <f>E224*E187+F224*F187+G224*G187+H224*H187+I224*I187+J224*J187+K224*K187+L224*L187+M224*M187+N224*N187+O224*O187+P224*P187+Q224*Q187+R224*R187+S224*S187+T224*T187+U224*U187+V224*V187+W224*W187+X224*X187+Y224*Y187+Z224*Z187+AA224*AA187+AB224*AB187+AC224*AC187+AD224*AD187+AE224*AE187+AF224*AF187+AG224*AG187+AH224*AH187+AI224*AI187+AJ224*AJ187+AK224*AK187+AL224*AL187+AM224*AM187+AN224*AN187+AO224*AO187+AP224*AP187+AQ224*AQ187+AR224*AR187+AS224*AS187+AT224*AT187+AU224*AU187+AV224*AV187+AW224*AW187+AX224*AX187+AY224*AY187+AZ224*AZ187+BA224*BA187+BB224*BB187+BC224*BC187+BD224*BD187+BE224*BE187+BF224*BF187+BG224*BG187+BH224*BH187+BI224*BI187+BJ224*BJ187+BK224*BK187+BL224*BL187+BM224*BM187+BN224*BN187+BO224*BO187+BP224*BP187+BQ224*BQ187+BR224*BR187+BS224*BS187+BT224*BT187+BU224*BU187+BV224*BV187+BW224*BW187+BX224*BX187+BY224*BY187+BZ224*BZ187+CA224*CA187+CB224*CB187+CC224*CC187</f>
        <v>0</v>
      </c>
      <c r="CK187" s="2387">
        <f>E225*E187+F225*F187+G225*G187+H225*H187+I225*I187+J225*J187+K225*K187+L225*L187+M225*M187+N225*N187+O225*O187+P225*P187+Q225*Q187+R225*R187+S225*S187+T225*T187+U225*U187+V225*V187+W225*W187+X225*X187+Y225*Y187+Z225*Z187+AA225*AA187+AB225*AB187+AC225*AC187+AD225*AD187+AE225*AE187+AF225*AF187+AG225*AG187+AH225*AH187+AI225*AI187+AJ225*AJ187+AK225*AK187+AL225*AL187+AM225*AM187+AN225*AN187+AO225*AO187+AP225*AP187+AQ225*AQ187+AR225*AR187+AS225*AS187+AT225*AT187+AU225*AU187+AV225*AV187+AW225*AW187+AX225*AX187+AY225*AY187+AZ225*AZ187+BA225*BA187+BB225*BB187+BC225*BC187+BD225*BD187+BE225*BE187+BF225*BF187+BG225*BG187+BH225*BH187+BI225*BI187+BJ225*BJ187+BK225*BK187+BL225*BL187+BM225*BM187+BN225*BN187+BO225*BO187+BP225*BP187+BQ225*BQ187+BR225*BR187+BS225*BS187+BT225*BT187+BU225*BU187+BV225*BV187+BW225*BW187+BX225*BX187+BY225*BY187+BZ225*BZ187+CA225*CA187+CB225*CB187+CC225*CC187</f>
        <v>0</v>
      </c>
      <c r="CL187" s="2387">
        <f>E226*E187+F226*F187+G226*G187+H226*H187+I226*I187+J226*J187+K226*K187+L226*L187+M226*M187+N226*N187+O226*O187+P226*P187+Q226*Q187+R226*R187+S226*S187+T226*T187+U226*U187+V226*V187+W226*W187+X226*X187+Y226*Y187+Z226*Z187+AA226*AA187+AB226*AB187+AC226*AC187+AD226*AD187+AE226*AE187+AF226*AF187+AG226*AG187+AH226*AH187+AI226*AI187+AJ226*AJ187+AK226*AK187+AL226*AL187+AM226*AM187+AN226*AN187+AO226*AO187+AP226*AP187+AQ226*AQ187+AR226*AR187+AS226*AS187+AT226*AT187+AU226*AU187+AV226*AV187+AW226*AW187+AX226*AX187+AY226*AY187+AZ226*AZ187+BA226*BA187+BB226*BB187+BC226*BC187+BD226*BD187+BE226*BE187+BF226*BF187+BG226*BG187+BH226*BH187+BI226*BI187+BJ226*BJ187+BK226*BK187+BL226*BL187+BM226*BM187+BN226*BN187+BO226*BO187+BP226*BP187+BQ226*BQ187+BR226*BR187+BS226*BS187+BT226*BT187+BU226*BU187+BV226*BV187+BW226*BW187+BX226*BX187+BY226*BY187+BZ226*BZ187+CA226*CA187+CB226*CB187+CC226*CC187</f>
        <v>0</v>
      </c>
      <c r="CM187" s="2387">
        <f>E227*E187+F227*F187+G227*G187+H227*H187+I227*I187+J227*J187+K227*K187+L227*L187+M227*M187+N227*N187+O227*O187+P227*P187+Q227*Q187+R227*R187+S227*S187+T227*T187+U227*U187+V227*V187+W227*W187+X227*X187+Y227*Y187+Z227*Z187+AA227*AA187+AB227*AB187+AC227*AC187+AD227*AD187+AE227*AE187+AF227*AF187+AG227*AG187+AH227*AH187+AI227*AI187+AJ227*AJ187+AK227*AK187+AL227*AL187+AM227*AM187+AN227*AN187+AO227*AO187+AP227*AP187+AQ227*AQ187+AR227*AR187+AS227*AS187+AT227*AT187+AU227*AU187+AV227*AV187+AW227*AW187+AX227*AX187+AY227*AY187+AZ227*AZ187+BA227*BA187+BB227*BB187+BC227*BC187+BD227*BD187+BE227*BE187+BF227*BF187+BG227*BG187+BH227*BH187+BI227*BI187+BJ227*BJ187+BK227*BK187+BL227*BL187+BM227*BM187+BN227*BN187+BO227*BO187+BP227*BP187+BQ227*BQ187+BR227*BR187+BS227*BS187+BT227*BT187+BU227*BU187+BV227*BV187+BW227*BW187+BX227*BX187+BY227*BY187+BZ227*BZ187+CA227*CA187+CB227*CB187+CC227*CC187</f>
        <v>0</v>
      </c>
      <c r="CN187" s="2387">
        <f>E228*E187+F228*F187+G228*G187+H228*H187+I228*I187+J228*J187+K228*K187+L228*L187+M228*M187+N228*N187+O228*O187+P228*P187+Q228*Q187+R228*R187+S228*S187+T228*T187+U228*U187+V228*V187+W228*W187+X228*X187+Y228*Y187+Z228*Z187+AA228*AA187+AB228*AB187+AC228*AC187+AD228*AD187+AE228*AE187+AF228*AF187+AG228*AG187+AH228*AH187+AI228*AI187+AJ228*AJ187+AK228*AK187+AL228*AL187+AM228*AM187+AN228*AN187+AO228*AO187+AP228*AP187+AQ228*AQ187+AR228*AR187+AS228*AS187+AT228*AT187+AU228*AU187+AV228*AV187+AW228*AW187+AX228*AX187+AY228*AY187+AZ228*AZ187+BA228*BA187+BB228*BB187+BC228*BC187+BD228*BD187+BE228*BE187+BF228*BF187+BG228*BG187+BH228*BH187+BI228*BI187+BJ228*BJ187+BK228*BK187+BL228*BL187+BM228*BM187+BN228*BN187+BO228*BO187+BP228*BP187+BQ228*BQ187+BR228*BR187+BS228*BS187+BT228*BT187+BU228*BU187+BV228*BV187+BW228*BW187+BX228*BX187+BY228*BY187+BZ228*BZ187+CA228*CA187+CB228*CB187+CC228*CC187</f>
        <v>0</v>
      </c>
      <c r="CO187" s="2387">
        <f>E229*E187+F229*F187+G229*G187+H229*H187+I229*I187+J229*J187+K229*K187+L229*L187+M229*M187+N229*N187+O229*O187+P229*P187+Q229*Q187+R229*R187+S229*S187+T229*T187+U229*U187+V229*V187+W229*W187+X229*X187+Y229*Y187+Z229*Z187+AA229*AA187+AB229*AB187+AC229*AC187+AD229*AD187+AE229*AE187+AF229*AF187+AG229*AG187+AH229*AH187+AI229*AI187+AJ229*AJ187+AK229*AK187+AL229*AL187+AM229*AM187+AN229*AN187+AO229*AO187+AP229*AP187+AQ229*AQ187+AR229*AR187+AS229*AS187+AT229*AT187+AU229*AU187+AV229*AV187+AW229*AW187+AX229*AX187+AY229*AY187+AZ229*AZ187+BA229*BA187+BB229*BB187+BC229*BC187+BD229*BD187+BE229*BE187+BF229*BF187+BG229*BG187+BH229*BH187+BI229*BI187+BJ229*BJ187+BK229*BK187+BL229*BL187+BM229*BM187+BN229*BN187+BO229*BO187+BP229*BP187+BQ229*BQ187+BR229*BR187+BS229*BS187+BT229*BT187+BU229*BU187+BV229*BV187+BW229*BW187+BX229*BX187+BY229*BY187+BZ229*BZ187+CA229*CA187+CB229*CB187+CC229*CC187</f>
        <v>0</v>
      </c>
      <c r="CP187" s="2387">
        <f>E230*E187+F230*F187+G230*G187+H230*H187+I230*I187+J230*J187+K230*K187+L230*L187+M230*M187+N230*N187+O230*O187+P230*P187+Q230*Q187+R230*R187+S230*S187+T230*T187+U230*U187+V230*V187+W230*W187+X230*X187+Y230*Y187+Z230*Z187+AA230*AA187+AB230*AB187+AC230*AC187+AD230*AD187+AE230*AE187+AF230*AF187+AG230*AG187+AH230*AH187+AI230*AI187+AJ230*AJ187+AK230*AK187+AL230*AL187+AM230*AM187+AN230*AN187+AO230*AO187+AP230*AP187+AQ230*AQ187+AR230*AR187+AS230*AS187+AT230*AT187+AU230*AU187+AV230*AV187+AW230*AW187+AX230*AX187+AY230*AY187+AZ230*AZ187+BA230*BA187+BB230*BB187+BC230*BC187+BD230*BD187+BE230*BE187+BF230*BF187+BG230*BG187+BH230*BH187+BI230*BI187+BJ230*BJ187+BK230*BK187+BL230*BL187+BM230*BM187+BN230*BN187+BO230*BO187+BP230*BP187+BQ230*BQ187+BR230*BR187+BS230*BS187+BT230*BT187+BU230*BU187+BV230*BV187+BW230*BW187+BX230*BX187+BY230*BY187+BZ230*BZ187+CA230*CA187+CB230*CB187+CC230*CC187</f>
        <v>0</v>
      </c>
    </row>
    <row r="188" spans="2:94" ht="18" x14ac:dyDescent="0.25">
      <c r="B188" s="1592">
        <v>69</v>
      </c>
      <c r="C188" s="1532" t="s">
        <v>2480</v>
      </c>
      <c r="D188" s="1537" t="s">
        <v>3453</v>
      </c>
      <c r="E188" s="985">
        <f>0</f>
        <v>0</v>
      </c>
      <c r="F188" s="985">
        <f>0</f>
        <v>0</v>
      </c>
      <c r="G188" s="985">
        <f>0</f>
        <v>0</v>
      </c>
      <c r="H188" s="985">
        <f>0</f>
        <v>0</v>
      </c>
      <c r="I188" s="985">
        <f>0</f>
        <v>0</v>
      </c>
      <c r="J188" s="985">
        <f>0</f>
        <v>0</v>
      </c>
      <c r="K188" s="985">
        <f>0</f>
        <v>0</v>
      </c>
      <c r="L188" s="985">
        <f>0</f>
        <v>0</v>
      </c>
      <c r="M188" s="985">
        <f>0</f>
        <v>0</v>
      </c>
      <c r="N188" s="985">
        <f>0</f>
        <v>0</v>
      </c>
      <c r="O188" s="985">
        <f>0</f>
        <v>0</v>
      </c>
      <c r="P188" s="985">
        <f>0</f>
        <v>0</v>
      </c>
      <c r="Q188" s="994">
        <f>0</f>
        <v>0</v>
      </c>
      <c r="R188" s="985">
        <f>0</f>
        <v>0</v>
      </c>
      <c r="S188" s="985">
        <f>0</f>
        <v>0</v>
      </c>
      <c r="T188" s="985">
        <f>0</f>
        <v>0</v>
      </c>
      <c r="U188" s="985">
        <f>0</f>
        <v>0</v>
      </c>
      <c r="V188" s="985">
        <f>0</f>
        <v>0</v>
      </c>
      <c r="W188" s="985">
        <f>0</f>
        <v>0</v>
      </c>
      <c r="X188" s="985">
        <f>0</f>
        <v>0</v>
      </c>
      <c r="Y188" s="985">
        <f>0</f>
        <v>0</v>
      </c>
      <c r="Z188" s="985">
        <f>0</f>
        <v>0</v>
      </c>
      <c r="AA188" s="985">
        <f>0</f>
        <v>0</v>
      </c>
      <c r="AB188" s="985">
        <f>0</f>
        <v>0</v>
      </c>
      <c r="AC188" s="985">
        <f>0</f>
        <v>0</v>
      </c>
      <c r="AD188" s="985">
        <f>0</f>
        <v>0</v>
      </c>
      <c r="AE188" s="985">
        <f>0</f>
        <v>0</v>
      </c>
      <c r="AF188" s="1429">
        <f>(A_SFHFO_L*(A_MP/A_MFe))</f>
        <v>0.11092761106634436</v>
      </c>
      <c r="AG188" s="985">
        <f>0</f>
        <v>0</v>
      </c>
      <c r="AH188" s="985">
        <f>0</f>
        <v>0</v>
      </c>
      <c r="AI188" s="985">
        <f>0</f>
        <v>0</v>
      </c>
      <c r="AJ188" s="985">
        <f>0</f>
        <v>0</v>
      </c>
      <c r="AK188" s="985">
        <f>0</f>
        <v>0</v>
      </c>
      <c r="AL188" s="985">
        <f>0</f>
        <v>0</v>
      </c>
      <c r="AM188" s="985">
        <f>0</f>
        <v>0</v>
      </c>
      <c r="AN188" s="985">
        <f>0</f>
        <v>0</v>
      </c>
      <c r="AO188" s="985">
        <f>0</f>
        <v>0</v>
      </c>
      <c r="AP188" s="985">
        <f>0</f>
        <v>0</v>
      </c>
      <c r="AQ188" s="985">
        <f>0</f>
        <v>0</v>
      </c>
      <c r="AR188" s="985">
        <f>0</f>
        <v>0</v>
      </c>
      <c r="AS188" s="985">
        <f>0</f>
        <v>0</v>
      </c>
      <c r="AT188" s="985">
        <f>0</f>
        <v>0</v>
      </c>
      <c r="AU188" s="994">
        <f>0</f>
        <v>0</v>
      </c>
      <c r="AV188" s="1629">
        <f>0</f>
        <v>0</v>
      </c>
      <c r="AW188" s="1629">
        <f>1</f>
        <v>1</v>
      </c>
      <c r="AX188" s="1630">
        <f>0</f>
        <v>0</v>
      </c>
      <c r="AY188" s="1630">
        <f>0</f>
        <v>0</v>
      </c>
      <c r="AZ188" s="1629">
        <f>-1</f>
        <v>-1</v>
      </c>
      <c r="BA188" s="1630">
        <f>0</f>
        <v>0</v>
      </c>
      <c r="BB188" s="1630">
        <f>0</f>
        <v>0</v>
      </c>
      <c r="BC188" s="985">
        <f>0</f>
        <v>0</v>
      </c>
      <c r="BD188" s="985">
        <f>0</f>
        <v>0</v>
      </c>
      <c r="BE188" s="994">
        <f>0</f>
        <v>0</v>
      </c>
      <c r="BF188" s="994">
        <f>0</f>
        <v>0</v>
      </c>
      <c r="BG188" s="985">
        <f>0</f>
        <v>0</v>
      </c>
      <c r="BH188" s="994">
        <f>0</f>
        <v>0</v>
      </c>
      <c r="BI188" s="994">
        <f>0</f>
        <v>0</v>
      </c>
      <c r="BJ188" s="994">
        <f>0</f>
        <v>0</v>
      </c>
      <c r="BK188" s="994">
        <f>0</f>
        <v>0</v>
      </c>
      <c r="BL188" s="1630">
        <f>0</f>
        <v>0</v>
      </c>
      <c r="BM188" s="994">
        <f>0</f>
        <v>0</v>
      </c>
      <c r="BN188" s="994">
        <f>0</f>
        <v>0</v>
      </c>
      <c r="BO188" s="994">
        <f>0</f>
        <v>0</v>
      </c>
      <c r="BP188" s="1429">
        <f>0</f>
        <v>0</v>
      </c>
      <c r="BQ188" s="2378">
        <f>0</f>
        <v>0</v>
      </c>
      <c r="BR188" s="994">
        <f>0</f>
        <v>0</v>
      </c>
      <c r="BS188" s="994">
        <f>0</f>
        <v>0</v>
      </c>
      <c r="BT188" s="994">
        <f>0</f>
        <v>0</v>
      </c>
      <c r="BU188" s="994">
        <f>0</f>
        <v>0</v>
      </c>
      <c r="BV188" s="994">
        <f>0</f>
        <v>0</v>
      </c>
      <c r="BW188" s="994">
        <f>0</f>
        <v>0</v>
      </c>
      <c r="BX188" s="994">
        <f>0</f>
        <v>0</v>
      </c>
      <c r="BY188" s="994">
        <f>0</f>
        <v>0</v>
      </c>
      <c r="BZ188" s="994">
        <f>0</f>
        <v>0</v>
      </c>
      <c r="CA188" s="994">
        <f>0</f>
        <v>0</v>
      </c>
      <c r="CB188" s="994">
        <f>0</f>
        <v>0</v>
      </c>
      <c r="CC188" s="994">
        <f>0</f>
        <v>0</v>
      </c>
      <c r="CD188" s="1658">
        <f>q_HFOL_DESORP*X_HFO_L_P*M_inhSPO4_KiP_HFO_DESORP</f>
        <v>1.6666666666666666E-50</v>
      </c>
      <c r="CF188" s="2385">
        <f>E220*E188+F220*F188+G220*G188+H220*H188+I220*I188+J220*J188+K220*K188+L220*L188+M220*M188+N220*N188+O220*O188+P220*P188+Q220*Q188+R220*R188+S220*S188+T220*T188+U220*U188+V220*V188+W220*W188+X220*X188+Y220*Y188+Z220*Z188+AA220*AA188+AB220*AB188+AC220*AC188+AD220*AD188+AE220*AE188+AF220*AF188+AG220*AG188+AH220*AH188+AI220*AI188+AJ220*AJ188+AK220*AK188+AL220*AL188+AM220*AM188+AN220*AN188+AO220*AO188+AP220*AP188+AQ220*AQ188+AR220*AR188+AS220*AS188+AT220*AT188+AU220*AU188+AV220*AV188+AW220*AW188+AX220*AX188+AY220*AY188+AZ220*AZ188+BA220*BA188+BB220*BB188+BC220*BC188+BD220*BD188+BE220*BE188+BF220*BF188+BG220*BG188+BH220*BH188+BI220*BI188+BJ220*BJ188+BK220*BK188+BL220*BL188+BM220*BM188+BN220*BN188+BO220*BO188+BP220*BP188+BQ220*BQ188+BR220*BR188+BS220*BS188+BT220*BT188+BU220*BU188+BV220*BV188+BW220*BW188+BX220*BX188+BY220*BY188+BZ220*BZ188+CA220*CA188+CB220*CB188+CC220*CC188</f>
        <v>0</v>
      </c>
      <c r="CG188" s="2385">
        <f>E221*E188+F221*F188+G221*G188+H221*H188+I221*I188+J221*J188+K221*K188+L221*L188+M221*M188+N221*N188+O221*O188+P221*P188+Q221*Q188+R221*R188+S221*S188+T221*T188+U221*U188+V221*V188+W221*W188+X221*X188+Y221*Y188+Z221*Z188+AA221*AA188+AB221*AB188+AC221*AC188+AD221*AD188+AE221*AE188+AF221*AF188+AG221*AG188+AH221*AH188+AI221*AI188+AJ221*AJ188+AK221*AK188+AL221*AL188+AM221*AM188+AN221*AN188+AO221*AO188+AP221*AP188+AQ221*AQ188+AR221*AR188+AS221*AS188+AT221*AT188+AU221*AU188+AV221*AV188+AW221*AW188+AX221*AX188+AY221*AY188+AZ221*AZ188+BA221*BA188+BB221*BB188+BC221*BC188+BD221*BD188+BE221*BE188+BF221*BF188+BG221*BG188+BH221*BH188+BI221*BI188+BJ221*BJ188+BK221*BK188+BL221*BL188+BM221*BM188+BN221*BN188+BO221*BO188+BP221*BP188+BQ221*BQ188+BR221*BR188+BS221*BS188+BT221*BT188+BU221*BU188+BV221*BV188+BW221*BW188+BX221*BX188+BY221*BY188+BZ221*BZ188+CA221*CA188+CB221*CB188+CC221*CC188</f>
        <v>0</v>
      </c>
      <c r="CH188" s="2386">
        <f>E222*E188+F222*F188+G222*G188+H222*H188+I222*I188+J222*J188+K222*K188+L222*L188+M222*M188+N222*N188+O222*O188+P222*P188+Q222*Q188+R222*R188+S222*S188+T222*T188+U222*U188+V222*V188+W222*W188+X222*X188+Y222*Y188+Z222*Z188+AA222*AA188+AB222*AB188+AC222*AC188+AD222*AD188+AE222*AE188+AF222*AF188+AG222*AG188+AH222*AH188+AI222*AI188+AJ222*AJ188+AK222*AK188+AL222*AL188+AM222*AM188+AN222*AN188+AO222*AO188+AP222*AP188+AQ222*AQ188+AR222*AR188+AS222*AS188+AT222*AT188+AU222*AU188+AV222*AV188+AW222*AW188+AX222*AX188+AY222*AY188+AZ222*AZ188+BA222*BA188+BB222*BB188+BC222*BC188+BD222*BD188+BE222*BE188+BF222*BF188+BG222*BG188+BH222*BH188+BI222*BI188+BJ222*BJ188+BK222*BK188+BL222*BL188+BM222*BM188+BN222*BN188+BO222*BO188+BP222*BP188+BQ222*BQ188+BR222*BR188+BS222*BS188+BT222*BT188+BU222*BU188+BV222*BV188+BW222*BW188+BX222*BX188+BY222*BY188+BZ222*BZ188+CA222*CA188+CB222*CB188+CC222*CC188</f>
        <v>0</v>
      </c>
      <c r="CI188" s="2387">
        <f>E223*E188+F223*F188+G223*G188+H223*H188+I223*I188+J223*J188+K223*K188+L223*L188+M223*M188+N223*N188+O223*O188+P223*P188+Q223*Q188+R223*R188+S223*S188+T223*T188+U223*U188+V223*V188+W223*W188+X223*X188+Y223*Y188+Z223*Z188+AA223*AA188+AB223*AB188+AC223*AC188+AD223*AD188+AE223*AE188+AF223*AF188+AG223*AG188+AH223*AH188+AI223*AI188+AJ223*AJ188+AK223*AK188+AL223*AL188+AM223*AM188+AN223*AN188+AO223*AO188+AP223*AP188+AQ223*AQ188+AR223*AR188+AS223*AS188+AT223*AT188+AU223*AU188+AV223*AV188+AW223*AW188+AX223*AX188+AY223*AY188+AZ223*AZ188+BA223*BA188+BB223*BB188+BC223*BC188+BD223*BD188+BE223*BE188+BF223*BF188+BG223*BG188+BH223*BH188+BI223*BI188+BJ223*BJ188+BK223*BK188+BL223*BL188+BM223*BM188+BN223*BN188+BO223*BO188+BP223*BP188+BQ223*BQ188+BR223*BR188+BS223*BS188+BT223*BT188+BU223*BU188+BV223*BV188+BW223*BW188+BX223*BX188+BY223*BY188+BZ223*BZ188+CA223*CA188+CB223*CB188+CC223*CC188</f>
        <v>0</v>
      </c>
      <c r="CJ188" s="2387">
        <f>E224*E188+F224*F188+G224*G188+H224*H188+I224*I188+J224*J188+K224*K188+L224*L188+M224*M188+N224*N188+O224*O188+P224*P188+Q224*Q188+R224*R188+S224*S188+T224*T188+U224*U188+V224*V188+W224*W188+X224*X188+Y224*Y188+Z224*Z188+AA224*AA188+AB224*AB188+AC224*AC188+AD224*AD188+AE224*AE188+AF224*AF188+AG224*AG188+AH224*AH188+AI224*AI188+AJ224*AJ188+AK224*AK188+AL224*AL188+AM224*AM188+AN224*AN188+AO224*AO188+AP224*AP188+AQ224*AQ188+AR224*AR188+AS224*AS188+AT224*AT188+AU224*AU188+AV224*AV188+AW224*AW188+AX224*AX188+AY224*AY188+AZ224*AZ188+BA224*BA188+BB224*BB188+BC224*BC188+BD224*BD188+BE224*BE188+BF224*BF188+BG224*BG188+BH224*BH188+BI224*BI188+BJ224*BJ188+BK224*BK188+BL224*BL188+BM224*BM188+BN224*BN188+BO224*BO188+BP224*BP188+BQ224*BQ188+BR224*BR188+BS224*BS188+BT224*BT188+BU224*BU188+BV224*BV188+BW224*BW188+BX224*BX188+BY224*BY188+BZ224*BZ188+CA224*CA188+CB224*CB188+CC224*CC188</f>
        <v>0</v>
      </c>
      <c r="CK188" s="2387">
        <f>E225*E188+F225*F188+G225*G188+H225*H188+I225*I188+J225*J188+K225*K188+L225*L188+M225*M188+N225*N188+O225*O188+P225*P188+Q225*Q188+R225*R188+S225*S188+T225*T188+U225*U188+V225*V188+W225*W188+X225*X188+Y225*Y188+Z225*Z188+AA225*AA188+AB225*AB188+AC225*AC188+AD225*AD188+AE225*AE188+AF225*AF188+AG225*AG188+AH225*AH188+AI225*AI188+AJ225*AJ188+AK225*AK188+AL225*AL188+AM225*AM188+AN225*AN188+AO225*AO188+AP225*AP188+AQ225*AQ188+AR225*AR188+AS225*AS188+AT225*AT188+AU225*AU188+AV225*AV188+AW225*AW188+AX225*AX188+AY225*AY188+AZ225*AZ188+BA225*BA188+BB225*BB188+BC225*BC188+BD225*BD188+BE225*BE188+BF225*BF188+BG225*BG188+BH225*BH188+BI225*BI188+BJ225*BJ188+BK225*BK188+BL225*BL188+BM225*BM188+BN225*BN188+BO225*BO188+BP225*BP188+BQ225*BQ188+BR225*BR188+BS225*BS188+BT225*BT188+BU225*BU188+BV225*BV188+BW225*BW188+BX225*BX188+BY225*BY188+BZ225*BZ188+CA225*CA188+CB225*CB188+CC225*CC188</f>
        <v>0</v>
      </c>
      <c r="CL188" s="2387">
        <f>E226*E188+F226*F188+G226*G188+H226*H188+I226*I188+J226*J188+K226*K188+L226*L188+M226*M188+N226*N188+O226*O188+P226*P188+Q226*Q188+R226*R188+S226*S188+T226*T188+U226*U188+V226*V188+W226*W188+X226*X188+Y226*Y188+Z226*Z188+AA226*AA188+AB226*AB188+AC226*AC188+AD226*AD188+AE226*AE188+AF226*AF188+AG226*AG188+AH226*AH188+AI226*AI188+AJ226*AJ188+AK226*AK188+AL226*AL188+AM226*AM188+AN226*AN188+AO226*AO188+AP226*AP188+AQ226*AQ188+AR226*AR188+AS226*AS188+AT226*AT188+AU226*AU188+AV226*AV188+AW226*AW188+AX226*AX188+AY226*AY188+AZ226*AZ188+BA226*BA188+BB226*BB188+BC226*BC188+BD226*BD188+BE226*BE188+BF226*BF188+BG226*BG188+BH226*BH188+BI226*BI188+BJ226*BJ188+BK226*BK188+BL226*BL188+BM226*BM188+BN226*BN188+BO226*BO188+BP226*BP188+BQ226*BQ188+BR226*BR188+BS226*BS188+BT226*BT188+BU226*BU188+BV226*BV188+BW226*BW188+BX226*BX188+BY226*BY188+BZ226*BZ188+CA226*CA188+CB226*CB188+CC226*CC188</f>
        <v>0</v>
      </c>
      <c r="CM188" s="2387">
        <f>E227*E188+F227*F188+G227*G188+H227*H188+I227*I188+J227*J188+K227*K188+L227*L188+M227*M188+N227*N188+O227*O188+P227*P188+Q227*Q188+R227*R188+S227*S188+T227*T188+U227*U188+V227*V188+W227*W188+X227*X188+Y227*Y188+Z227*Z188+AA227*AA188+AB227*AB188+AC227*AC188+AD227*AD188+AE227*AE188+AF227*AF188+AG227*AG188+AH227*AH188+AI227*AI188+AJ227*AJ188+AK227*AK188+AL227*AL188+AM227*AM188+AN227*AN188+AO227*AO188+AP227*AP188+AQ227*AQ188+AR227*AR188+AS227*AS188+AT227*AT188+AU227*AU188+AV227*AV188+AW227*AW188+AX227*AX188+AY227*AY188+AZ227*AZ188+BA227*BA188+BB227*BB188+BC227*BC188+BD227*BD188+BE227*BE188+BF227*BF188+BG227*BG188+BH227*BH188+BI227*BI188+BJ227*BJ188+BK227*BK188+BL227*BL188+BM227*BM188+BN227*BN188+BO227*BO188+BP227*BP188+BQ227*BQ188+BR227*BR188+BS227*BS188+BT227*BT188+BU227*BU188+BV227*BV188+BW227*BW188+BX227*BX188+BY227*BY188+BZ227*BZ188+CA227*CA188+CB227*CB188+CC227*CC188</f>
        <v>0</v>
      </c>
      <c r="CN188" s="2387">
        <f>E228*E188+F228*F188+G228*G188+H228*H188+I228*I188+J228*J188+K228*K188+L228*L188+M228*M188+N228*N188+O228*O188+P228*P188+Q228*Q188+R228*R188+S228*S188+T228*T188+U228*U188+V228*V188+W228*W188+X228*X188+Y228*Y188+Z228*Z188+AA228*AA188+AB228*AB188+AC228*AC188+AD228*AD188+AE228*AE188+AF228*AF188+AG228*AG188+AH228*AH188+AI228*AI188+AJ228*AJ188+AK228*AK188+AL228*AL188+AM228*AM188+AN228*AN188+AO228*AO188+AP228*AP188+AQ228*AQ188+AR228*AR188+AS228*AS188+AT228*AT188+AU228*AU188+AV228*AV188+AW228*AW188+AX228*AX188+AY228*AY188+AZ228*AZ188+BA228*BA188+BB228*BB188+BC228*BC188+BD228*BD188+BE228*BE188+BF228*BF188+BG228*BG188+BH228*BH188+BI228*BI188+BJ228*BJ188+BK228*BK188+BL228*BL188+BM228*BM188+BN228*BN188+BO228*BO188+BP228*BP188+BQ228*BQ188+BR228*BR188+BS228*BS188+BT228*BT188+BU228*BU188+BV228*BV188+BW228*BW188+BX228*BX188+BY228*BY188+BZ228*BZ188+CA228*CA188+CB228*CB188+CC228*CC188</f>
        <v>0</v>
      </c>
      <c r="CO188" s="2387">
        <f>E229*E188+F229*F188+G229*G188+H229*H188+I229*I188+J229*J188+K229*K188+L229*L188+M229*M188+N229*N188+O229*O188+P229*P188+Q229*Q188+R229*R188+S229*S188+T229*T188+U229*U188+V229*V188+W229*W188+X229*X188+Y229*Y188+Z229*Z188+AA229*AA188+AB229*AB188+AC229*AC188+AD229*AD188+AE229*AE188+AF229*AF188+AG229*AG188+AH229*AH188+AI229*AI188+AJ229*AJ188+AK229*AK188+AL229*AL188+AM229*AM188+AN229*AN188+AO229*AO188+AP229*AP188+AQ229*AQ188+AR229*AR188+AS229*AS188+AT229*AT188+AU229*AU188+AV229*AV188+AW229*AW188+AX229*AX188+AY229*AY188+AZ229*AZ188+BA229*BA188+BB229*BB188+BC229*BC188+BD229*BD188+BE229*BE188+BF229*BF188+BG229*BG188+BH229*BH188+BI229*BI188+BJ229*BJ188+BK229*BK188+BL229*BL188+BM229*BM188+BN229*BN188+BO229*BO188+BP229*BP188+BQ229*BQ188+BR229*BR188+BS229*BS188+BT229*BT188+BU229*BU188+BV229*BV188+BW229*BW188+BX229*BX188+BY229*BY188+BZ229*BZ188+CA229*CA188+CB229*CB188+CC229*CC188</f>
        <v>0</v>
      </c>
      <c r="CP188" s="2387">
        <f>E230*E188+F230*F188+G230*G188+H230*H188+I230*I188+J230*J188+K230*K188+L230*L188+M230*M188+N230*N188+O230*O188+P230*P188+Q230*Q188+R230*R188+S230*S188+T230*T188+U230*U188+V230*V188+W230*W188+X230*X188+Y230*Y188+Z230*Z188+AA230*AA188+AB230*AB188+AC230*AC188+AD230*AD188+AE230*AE188+AF230*AF188+AG230*AG188+AH230*AH188+AI230*AI188+AJ230*AJ188+AK230*AK188+AL230*AL188+AM230*AM188+AN230*AN188+AO230*AO188+AP230*AP188+AQ230*AQ188+AR230*AR188+AS230*AS188+AT230*AT188+AU230*AU188+AV230*AV188+AW230*AW188+AX230*AX188+AY230*AY188+AZ230*AZ188+BA230*BA188+BB230*BB188+BC230*BC188+BD230*BD188+BE230*BE188+BF230*BF188+BG230*BG188+BH230*BH188+BI230*BI188+BJ230*BJ188+BK230*BK188+BL230*BL188+BM230*BM188+BN230*BN188+BO230*BO188+BP230*BP188+BQ230*BQ188+BR230*BR188+BS230*BS188+BT230*BT188+BU230*BU188+BV230*BV188+BW230*BW188+BX230*BX188+BY230*BY188+BZ230*BZ188+CA230*CA188+CB230*CB188+CC230*CC188</f>
        <v>0</v>
      </c>
    </row>
    <row r="189" spans="2:94" ht="18" x14ac:dyDescent="0.25">
      <c r="B189" s="1592">
        <v>70</v>
      </c>
      <c r="C189" s="1532" t="s">
        <v>2481</v>
      </c>
      <c r="D189" s="1537" t="s">
        <v>3454</v>
      </c>
      <c r="E189" s="985">
        <f>0</f>
        <v>0</v>
      </c>
      <c r="F189" s="985">
        <f>0</f>
        <v>0</v>
      </c>
      <c r="G189" s="985">
        <f>0</f>
        <v>0</v>
      </c>
      <c r="H189" s="985">
        <f>0</f>
        <v>0</v>
      </c>
      <c r="I189" s="985">
        <f>0</f>
        <v>0</v>
      </c>
      <c r="J189" s="985">
        <f>0</f>
        <v>0</v>
      </c>
      <c r="K189" s="985">
        <f>0</f>
        <v>0</v>
      </c>
      <c r="L189" s="985">
        <f>0</f>
        <v>0</v>
      </c>
      <c r="M189" s="985">
        <f>0</f>
        <v>0</v>
      </c>
      <c r="N189" s="985">
        <f>0</f>
        <v>0</v>
      </c>
      <c r="O189" s="985">
        <f>0</f>
        <v>0</v>
      </c>
      <c r="P189" s="985">
        <f>0</f>
        <v>0</v>
      </c>
      <c r="Q189" s="994">
        <f>0</f>
        <v>0</v>
      </c>
      <c r="R189" s="985">
        <f>0</f>
        <v>0</v>
      </c>
      <c r="S189" s="985">
        <f>0</f>
        <v>0</v>
      </c>
      <c r="T189" s="985">
        <f>0</f>
        <v>0</v>
      </c>
      <c r="U189" s="985">
        <f>0</f>
        <v>0</v>
      </c>
      <c r="V189" s="985">
        <f>0</f>
        <v>0</v>
      </c>
      <c r="W189" s="985">
        <f>0</f>
        <v>0</v>
      </c>
      <c r="X189" s="985">
        <f>0</f>
        <v>0</v>
      </c>
      <c r="Y189" s="985">
        <f>0</f>
        <v>0</v>
      </c>
      <c r="Z189" s="985">
        <f>0</f>
        <v>0</v>
      </c>
      <c r="AA189" s="985">
        <f>0</f>
        <v>0</v>
      </c>
      <c r="AB189" s="985">
        <f>0</f>
        <v>0</v>
      </c>
      <c r="AC189" s="985">
        <f>0</f>
        <v>0</v>
      </c>
      <c r="AD189" s="985">
        <f>0</f>
        <v>0</v>
      </c>
      <c r="AE189" s="985">
        <f>0</f>
        <v>0</v>
      </c>
      <c r="AF189" s="1429">
        <f>(A_SFHFO_H*(A_MP/A_MFe))*X_HFO_H_P_old/(X_HFO_H_P_old+X_HFO_L_P_old)+(A_SFHFO_L*(A_MP/A_MFe))*X_HFO_L_P_old/(X_HFO_H_P_old+X_HFO_L_P_old)</f>
        <v>0.38824663873220522</v>
      </c>
      <c r="AG189" s="985">
        <f>0</f>
        <v>0</v>
      </c>
      <c r="AH189" s="985">
        <f>0</f>
        <v>0</v>
      </c>
      <c r="AI189" s="985">
        <f>0</f>
        <v>0</v>
      </c>
      <c r="AJ189" s="985">
        <f>0</f>
        <v>0</v>
      </c>
      <c r="AK189" s="985">
        <f>0</f>
        <v>0</v>
      </c>
      <c r="AL189" s="985">
        <f>0</f>
        <v>0</v>
      </c>
      <c r="AM189" s="985">
        <f>0</f>
        <v>0</v>
      </c>
      <c r="AN189" s="985">
        <f>0</f>
        <v>0</v>
      </c>
      <c r="AO189" s="985">
        <f>0</f>
        <v>0</v>
      </c>
      <c r="AP189" s="985">
        <f>0</f>
        <v>0</v>
      </c>
      <c r="AQ189" s="985">
        <f>0</f>
        <v>0</v>
      </c>
      <c r="AR189" s="985">
        <f>0</f>
        <v>0</v>
      </c>
      <c r="AS189" s="985">
        <f>0</f>
        <v>0</v>
      </c>
      <c r="AT189" s="985">
        <f>0</f>
        <v>0</v>
      </c>
      <c r="AU189" s="994">
        <f>0</f>
        <v>0</v>
      </c>
      <c r="AV189" s="1629">
        <f>0</f>
        <v>0</v>
      </c>
      <c r="AW189" s="1629">
        <f>0</f>
        <v>0</v>
      </c>
      <c r="AX189" s="1630">
        <f>1</f>
        <v>1</v>
      </c>
      <c r="AY189" s="1630">
        <f>0</f>
        <v>0</v>
      </c>
      <c r="AZ189" s="1629">
        <f>0</f>
        <v>0</v>
      </c>
      <c r="BA189" s="1628">
        <f>-X_HFO_H_P_old/(X_HFO_H_P_old+X_HFO_L_P_old)</f>
        <v>-0.5</v>
      </c>
      <c r="BB189" s="1628">
        <f>-X_HFO_L_P_old/(X_HFO_H_P_old+X_HFO_L_P_old)</f>
        <v>-0.5</v>
      </c>
      <c r="BC189" s="985">
        <f>0</f>
        <v>0</v>
      </c>
      <c r="BD189" s="985">
        <f>0</f>
        <v>0</v>
      </c>
      <c r="BE189" s="994">
        <f>0</f>
        <v>0</v>
      </c>
      <c r="BF189" s="994">
        <f>0</f>
        <v>0</v>
      </c>
      <c r="BG189" s="985">
        <f>0</f>
        <v>0</v>
      </c>
      <c r="BH189" s="1632">
        <f>0</f>
        <v>0</v>
      </c>
      <c r="BI189" s="1632">
        <f>0</f>
        <v>0</v>
      </c>
      <c r="BJ189" s="994">
        <f>0</f>
        <v>0</v>
      </c>
      <c r="BK189" s="994">
        <f>0</f>
        <v>0</v>
      </c>
      <c r="BL189" s="1630">
        <f>0</f>
        <v>0</v>
      </c>
      <c r="BM189" s="994">
        <f>0</f>
        <v>0</v>
      </c>
      <c r="BN189" s="994">
        <f>0</f>
        <v>0</v>
      </c>
      <c r="BO189" s="994">
        <f>0</f>
        <v>0</v>
      </c>
      <c r="BP189" s="1429">
        <f>0</f>
        <v>0</v>
      </c>
      <c r="BQ189" s="2378">
        <f>0</f>
        <v>0</v>
      </c>
      <c r="BR189" s="994">
        <f>0</f>
        <v>0</v>
      </c>
      <c r="BS189" s="994">
        <f>0</f>
        <v>0</v>
      </c>
      <c r="BT189" s="994">
        <f>0</f>
        <v>0</v>
      </c>
      <c r="BU189" s="994">
        <f>0</f>
        <v>0</v>
      </c>
      <c r="BV189" s="994">
        <f>0</f>
        <v>0</v>
      </c>
      <c r="BW189" s="994">
        <f>0</f>
        <v>0</v>
      </c>
      <c r="BX189" s="994">
        <f>0</f>
        <v>0</v>
      </c>
      <c r="BY189" s="994">
        <f>0</f>
        <v>0</v>
      </c>
      <c r="BZ189" s="994">
        <f>0</f>
        <v>0</v>
      </c>
      <c r="CA189" s="994">
        <f>0</f>
        <v>0</v>
      </c>
      <c r="CB189" s="994">
        <f>0</f>
        <v>0</v>
      </c>
      <c r="CC189" s="994">
        <f>0</f>
        <v>0</v>
      </c>
      <c r="CD189" s="1658">
        <f>q_HFO_DISS*(X_HFO_H_P_old+X_HFO_L_P_old)*L_oginhSPO4_KiP_HFO_DISS</f>
        <v>0</v>
      </c>
      <c r="CF189" s="2385">
        <f>E220*E189+F220*F189+G220*G189+H220*H189+I220*I189+J220*J189+K220*K189+L220*L189+M220*M189+N220*N189+O220*O189+P220*P189+Q220*Q189+R220*R189+S220*S189+T220*T189+U220*U189+V220*V189+W220*W189+X220*X189+Y220*Y189+Z220*Z189+AA220*AA189+AB220*AB189+AC220*AC189+AD220*AD189+AE220*AE189+AF220*AF189+AG220*AG189+AH220*AH189+AI220*AI189+AJ220*AJ189+AK220*AK189+AL220*AL189+AM220*AM189+AN220*AN189+AO220*AO189+AP220*AP189+AQ220*AQ189+AR220*AR189+AS220*AS189+AT220*AT189+AU220*AU189+AV220*AV189+AW220*AW189+AX220*AX189+AY220*AY189+AZ220*AZ189+BA220*BA189+BB220*BB189+BC220*BC189+BD220*BD189+BE220*BE189+BF220*BF189+BG220*BG189+BH220*BH189+BI220*BI189+BJ220*BJ189+BK220*BK189+BL220*BL189+BM220*BM189+BN220*BN189+BO220*BO189+BP220*BP189+BQ220*BQ189+BR220*BR189+BS220*BS189+BT220*BT189+BU220*BU189+BV220*BV189+BW220*BW189+BX220*BX189+BY220*BY189+BZ220*BZ189+CA220*CA189+CB220*CB189+CC220*CC189</f>
        <v>0</v>
      </c>
      <c r="CG189" s="2385">
        <f>E221*E189+F221*F189+G221*G189+H221*H189+I221*I189+J221*J189+K221*K189+L221*L189+M221*M189+N221*N189+O221*O189+P221*P189+Q221*Q189+R221*R189+S221*S189+T221*T189+U221*U189+V221*V189+W221*W189+X221*X189+Y221*Y189+Z221*Z189+AA221*AA189+AB221*AB189+AC221*AC189+AD221*AD189+AE221*AE189+AF221*AF189+AG221*AG189+AH221*AH189+AI221*AI189+AJ221*AJ189+AK221*AK189+AL221*AL189+AM221*AM189+AN221*AN189+AO221*AO189+AP221*AP189+AQ221*AQ189+AR221*AR189+AS221*AS189+AT221*AT189+AU221*AU189+AV221*AV189+AW221*AW189+AX221*AX189+AY221*AY189+AZ221*AZ189+BA221*BA189+BB221*BB189+BC221*BC189+BD221*BD189+BE221*BE189+BF221*BF189+BG221*BG189+BH221*BH189+BI221*BI189+BJ221*BJ189+BK221*BK189+BL221*BL189+BM221*BM189+BN221*BN189+BO221*BO189+BP221*BP189+BQ221*BQ189+BR221*BR189+BS221*BS189+BT221*BT189+BU221*BU189+BV221*BV189+BW221*BW189+BX221*BX189+BY221*BY189+BZ221*BZ189+CA221*CA189+CB221*CB189+CC221*CC189</f>
        <v>0</v>
      </c>
      <c r="CH189" s="2386">
        <f>E222*E189+F222*F189+G222*G189+H222*H189+I222*I189+J222*J189+K222*K189+L222*L189+M222*M189+N222*N189+O222*O189+P222*P189+Q222*Q189+R222*R189+S222*S189+T222*T189+U222*U189+V222*V189+W222*W189+X222*X189+Y222*Y189+Z222*Z189+AA222*AA189+AB222*AB189+AC222*AC189+AD222*AD189+AE222*AE189+AF222*AF189+AG222*AG189+AH222*AH189+AI222*AI189+AJ222*AJ189+AK222*AK189+AL222*AL189+AM222*AM189+AN222*AN189+AO222*AO189+AP222*AP189+AQ222*AQ189+AR222*AR189+AS222*AS189+AT222*AT189+AU222*AU189+AV222*AV189+AW222*AW189+AX222*AX189+AY222*AY189+AZ222*AZ189+BA222*BA189+BB222*BB189+BC222*BC189+BD222*BD189+BE222*BE189+BF222*BF189+BG222*BG189+BH222*BH189+BI222*BI189+BJ222*BJ189+BK222*BK189+BL222*BL189+BM222*BM189+BN222*BN189+BO222*BO189+BP222*BP189+BQ222*BQ189+BR222*BR189+BS222*BS189+BT222*BT189+BU222*BU189+BV222*BV189+BW222*BW189+BX222*BX189+BY222*BY189+BZ222*BZ189+CA222*CA189+CB222*CB189+CC222*CC189</f>
        <v>0</v>
      </c>
      <c r="CI189" s="2387">
        <f>E223*E189+F223*F189+G223*G189+H223*H189+I223*I189+J223*J189+K223*K189+L223*L189+M223*M189+N223*N189+O223*O189+P223*P189+Q223*Q189+R223*R189+S223*S189+T223*T189+U223*U189+V223*V189+W223*W189+X223*X189+Y223*Y189+Z223*Z189+AA223*AA189+AB223*AB189+AC223*AC189+AD223*AD189+AE223*AE189+AF223*AF189+AG223*AG189+AH223*AH189+AI223*AI189+AJ223*AJ189+AK223*AK189+AL223*AL189+AM223*AM189+AN223*AN189+AO223*AO189+AP223*AP189+AQ223*AQ189+AR223*AR189+AS223*AS189+AT223*AT189+AU223*AU189+AV223*AV189+AW223*AW189+AX223*AX189+AY223*AY189+AZ223*AZ189+BA223*BA189+BB223*BB189+BC223*BC189+BD223*BD189+BE223*BE189+BF223*BF189+BG223*BG189+BH223*BH189+BI223*BI189+BJ223*BJ189+BK223*BK189+BL223*BL189+BM223*BM189+BN223*BN189+BO223*BO189+BP223*BP189+BQ223*BQ189+BR223*BR189+BS223*BS189+BT223*BT189+BU223*BU189+BV223*BV189+BW223*BW189+BX223*BX189+BY223*BY189+BZ223*BZ189+CA223*CA189+CB223*CB189+CC223*CC189</f>
        <v>2.7755575615628914E-17</v>
      </c>
      <c r="CJ189" s="2387">
        <f>E224*E189+F224*F189+G224*G189+H224*H189+I224*I189+J224*J189+K224*K189+L224*L189+M224*M189+N224*N189+O224*O189+P224*P189+Q224*Q189+R224*R189+S224*S189+T224*T189+U224*U189+V224*V189+W224*W189+X224*X189+Y224*Y189+Z224*Z189+AA224*AA189+AB224*AB189+AC224*AC189+AD224*AD189+AE224*AE189+AF224*AF189+AG224*AG189+AH224*AH189+AI224*AI189+AJ224*AJ189+AK224*AK189+AL224*AL189+AM224*AM189+AN224*AN189+AO224*AO189+AP224*AP189+AQ224*AQ189+AR224*AR189+AS224*AS189+AT224*AT189+AU224*AU189+AV224*AV189+AW224*AW189+AX224*AX189+AY224*AY189+AZ224*AZ189+BA224*BA189+BB224*BB189+BC224*BC189+BD224*BD189+BE224*BE189+BF224*BF189+BG224*BG189+BH224*BH189+BI224*BI189+BJ224*BJ189+BK224*BK189+BL224*BL189+BM224*BM189+BN224*BN189+BO224*BO189+BP224*BP189+BQ224*BQ189+BR224*BR189+BS224*BS189+BT224*BT189+BU224*BU189+BV224*BV189+BW224*BW189+BX224*BX189+BY224*BY189+BZ224*BZ189+CA224*CA189+CB224*CB189+CC224*CC189</f>
        <v>0</v>
      </c>
      <c r="CK189" s="2387">
        <f>E225*E189+F225*F189+G225*G189+H225*H189+I225*I189+J225*J189+K225*K189+L225*L189+M225*M189+N225*N189+O225*O189+P225*P189+Q225*Q189+R225*R189+S225*S189+T225*T189+U225*U189+V225*V189+W225*W189+X225*X189+Y225*Y189+Z225*Z189+AA225*AA189+AB225*AB189+AC225*AC189+AD225*AD189+AE225*AE189+AF225*AF189+AG225*AG189+AH225*AH189+AI225*AI189+AJ225*AJ189+AK225*AK189+AL225*AL189+AM225*AM189+AN225*AN189+AO225*AO189+AP225*AP189+AQ225*AQ189+AR225*AR189+AS225*AS189+AT225*AT189+AU225*AU189+AV225*AV189+AW225*AW189+AX225*AX189+AY225*AY189+AZ225*AZ189+BA225*BA189+BB225*BB189+BC225*BC189+BD225*BD189+BE225*BE189+BF225*BF189+BG225*BG189+BH225*BH189+BI225*BI189+BJ225*BJ189+BK225*BK189+BL225*BL189+BM225*BM189+BN225*BN189+BO225*BO189+BP225*BP189+BQ225*BQ189+BR225*BR189+BS225*BS189+BT225*BT189+BU225*BU189+BV225*BV189+BW225*BW189+BX225*BX189+BY225*BY189+BZ225*BZ189+CA225*CA189+CB225*CB189+CC225*CC189</f>
        <v>0</v>
      </c>
      <c r="CL189" s="2387">
        <f>E226*E189+F226*F189+G226*G189+H226*H189+I226*I189+J226*J189+K226*K189+L226*L189+M226*M189+N226*N189+O226*O189+P226*P189+Q226*Q189+R226*R189+S226*S189+T226*T189+U226*U189+V226*V189+W226*W189+X226*X189+Y226*Y189+Z226*Z189+AA226*AA189+AB226*AB189+AC226*AC189+AD226*AD189+AE226*AE189+AF226*AF189+AG226*AG189+AH226*AH189+AI226*AI189+AJ226*AJ189+AK226*AK189+AL226*AL189+AM226*AM189+AN226*AN189+AO226*AO189+AP226*AP189+AQ226*AQ189+AR226*AR189+AS226*AS189+AT226*AT189+AU226*AU189+AV226*AV189+AW226*AW189+AX226*AX189+AY226*AY189+AZ226*AZ189+BA226*BA189+BB226*BB189+BC226*BC189+BD226*BD189+BE226*BE189+BF226*BF189+BG226*BG189+BH226*BH189+BI226*BI189+BJ226*BJ189+BK226*BK189+BL226*BL189+BM226*BM189+BN226*BN189+BO226*BO189+BP226*BP189+BQ226*BQ189+BR226*BR189+BS226*BS189+BT226*BT189+BU226*BU189+BV226*BV189+BW226*BW189+BX226*BX189+BY226*BY189+BZ226*BZ189+CA226*CA189+CB226*CB189+CC226*CC189</f>
        <v>0</v>
      </c>
      <c r="CM189" s="2387">
        <f>E227*E189+F227*F189+G227*G189+H227*H189+I227*I189+J227*J189+K227*K189+L227*L189+M227*M189+N227*N189+O227*O189+P227*P189+Q227*Q189+R227*R189+S227*S189+T227*T189+U227*U189+V227*V189+W227*W189+X227*X189+Y227*Y189+Z227*Z189+AA227*AA189+AB227*AB189+AC227*AC189+AD227*AD189+AE227*AE189+AF227*AF189+AG227*AG189+AH227*AH189+AI227*AI189+AJ227*AJ189+AK227*AK189+AL227*AL189+AM227*AM189+AN227*AN189+AO227*AO189+AP227*AP189+AQ227*AQ189+AR227*AR189+AS227*AS189+AT227*AT189+AU227*AU189+AV227*AV189+AW227*AW189+AX227*AX189+AY227*AY189+AZ227*AZ189+BA227*BA189+BB227*BB189+BC227*BC189+BD227*BD189+BE227*BE189+BF227*BF189+BG227*BG189+BH227*BH189+BI227*BI189+BJ227*BJ189+BK227*BK189+BL227*BL189+BM227*BM189+BN227*BN189+BO227*BO189+BP227*BP189+BQ227*BQ189+BR227*BR189+BS227*BS189+BT227*BT189+BU227*BU189+BV227*BV189+BW227*BW189+BX227*BX189+BY227*BY189+BZ227*BZ189+CA227*CA189+CB227*CB189+CC227*CC189</f>
        <v>0</v>
      </c>
      <c r="CN189" s="2387">
        <f>E228*E189+F228*F189+G228*G189+H228*H189+I228*I189+J228*J189+K228*K189+L228*L189+M228*M189+N228*N189+O228*O189+P228*P189+Q228*Q189+R228*R189+S228*S189+T228*T189+U228*U189+V228*V189+W228*W189+X228*X189+Y228*Y189+Z228*Z189+AA228*AA189+AB228*AB189+AC228*AC189+AD228*AD189+AE228*AE189+AF228*AF189+AG228*AG189+AH228*AH189+AI228*AI189+AJ228*AJ189+AK228*AK189+AL228*AL189+AM228*AM189+AN228*AN189+AO228*AO189+AP228*AP189+AQ228*AQ189+AR228*AR189+AS228*AS189+AT228*AT189+AU228*AU189+AV228*AV189+AW228*AW189+AX228*AX189+AY228*AY189+AZ228*AZ189+BA228*BA189+BB228*BB189+BC228*BC189+BD228*BD189+BE228*BE189+BF228*BF189+BG228*BG189+BH228*BH189+BI228*BI189+BJ228*BJ189+BK228*BK189+BL228*BL189+BM228*BM189+BN228*BN189+BO228*BO189+BP228*BP189+BQ228*BQ189+BR228*BR189+BS228*BS189+BT228*BT189+BU228*BU189+BV228*BV189+BW228*BW189+BX228*BX189+BY228*BY189+BZ228*BZ189+CA228*CA189+CB228*CB189+CC228*CC189</f>
        <v>0</v>
      </c>
      <c r="CO189" s="2387">
        <f>E229*E189+F229*F189+G229*G189+H229*H189+I229*I189+J229*J189+K229*K189+L229*L189+M229*M189+N229*N189+O229*O189+P229*P189+Q229*Q189+R229*R189+S229*S189+T229*T189+U229*U189+V229*V189+W229*W189+X229*X189+Y229*Y189+Z229*Z189+AA229*AA189+AB229*AB189+AC229*AC189+AD229*AD189+AE229*AE189+AF229*AF189+AG229*AG189+AH229*AH189+AI229*AI189+AJ229*AJ189+AK229*AK189+AL229*AL189+AM229*AM189+AN229*AN189+AO229*AO189+AP229*AP189+AQ229*AQ189+AR229*AR189+AS229*AS189+AT229*AT189+AU229*AU189+AV229*AV189+AW229*AW189+AX229*AX189+AY229*AY189+AZ229*AZ189+BA229*BA189+BB229*BB189+BC229*BC189+BD229*BD189+BE229*BE189+BF229*BF189+BG229*BG189+BH229*BH189+BI229*BI189+BJ229*BJ189+BK229*BK189+BL229*BL189+BM229*BM189+BN229*BN189+BO229*BO189+BP229*BP189+BQ229*BQ189+BR229*BR189+BS229*BS189+BT229*BT189+BU229*BU189+BV229*BV189+BW229*BW189+BX229*BX189+BY229*BY189+BZ229*BZ189+CA229*CA189+CB229*CB189+CC229*CC189</f>
        <v>0</v>
      </c>
      <c r="CP189" s="2387">
        <f>E230*E189+F230*F189+G230*G189+H230*H189+I230*I189+J230*J189+K230*K189+L230*L189+M230*M189+N230*N189+O230*O189+P230*P189+Q230*Q189+R230*R189+S230*S189+T230*T189+U230*U189+V230*V189+W230*W189+X230*X189+Y230*Y189+Z230*Z189+AA230*AA189+AB230*AB189+AC230*AC189+AD230*AD189+AE230*AE189+AF230*AF189+AG230*AG189+AH230*AH189+AI230*AI189+AJ230*AJ189+AK230*AK189+AL230*AL189+AM230*AM189+AN230*AN189+AO230*AO189+AP230*AP189+AQ230*AQ189+AR230*AR189+AS230*AS189+AT230*AT189+AU230*AU189+AV230*AV189+AW230*AW189+AX230*AX189+AY230*AY189+AZ230*AZ189+BA230*BA189+BB230*BB189+BC230*BC189+BD230*BD189+BE230*BE189+BF230*BF189+BG230*BG189+BH230*BH189+BI230*BI189+BJ230*BJ189+BK230*BK189+BL230*BL189+BM230*BM189+BN230*BN189+BO230*BO189+BP230*BP189+BQ230*BQ189+BR230*BR189+BS230*BS189+BT230*BT189+BU230*BU189+BV230*BV189+BW230*BW189+BX230*BX189+BY230*BY189+BZ230*BZ189+CA230*CA189+CB230*CB189+CC230*CC189</f>
        <v>0</v>
      </c>
    </row>
    <row r="190" spans="2:94" ht="18" x14ac:dyDescent="0.25">
      <c r="B190" s="1593">
        <v>71</v>
      </c>
      <c r="C190" s="666" t="s">
        <v>2492</v>
      </c>
      <c r="D190" s="667" t="s">
        <v>1701</v>
      </c>
      <c r="E190" s="986">
        <f>-E_EQFe2*S_VFA/(S_B+S_VFA)</f>
        <v>-1.4183529553600002E-3</v>
      </c>
      <c r="F190" s="986">
        <f>-E_EQFe2*S_B/(S_B+S_VFA)</f>
        <v>-0.14183529553600002</v>
      </c>
      <c r="G190" s="987">
        <f>0</f>
        <v>0</v>
      </c>
      <c r="H190" s="987">
        <f>0</f>
        <v>0</v>
      </c>
      <c r="I190" s="987">
        <f>0</f>
        <v>0</v>
      </c>
      <c r="J190" s="987">
        <f>0</f>
        <v>0</v>
      </c>
      <c r="K190" s="987">
        <f>0</f>
        <v>0</v>
      </c>
      <c r="L190" s="987">
        <f>0</f>
        <v>0</v>
      </c>
      <c r="M190" s="987">
        <f>0</f>
        <v>0</v>
      </c>
      <c r="N190" s="987">
        <f>0</f>
        <v>0</v>
      </c>
      <c r="O190" s="987">
        <f>0</f>
        <v>0</v>
      </c>
      <c r="P190" s="987">
        <f>0</f>
        <v>0</v>
      </c>
      <c r="Q190" s="986">
        <f>0</f>
        <v>0</v>
      </c>
      <c r="R190" s="987">
        <f>0</f>
        <v>0</v>
      </c>
      <c r="S190" s="987">
        <f>0</f>
        <v>0</v>
      </c>
      <c r="T190" s="987">
        <f>0</f>
        <v>0</v>
      </c>
      <c r="U190" s="987">
        <f>0</f>
        <v>0</v>
      </c>
      <c r="V190" s="987">
        <f>0</f>
        <v>0</v>
      </c>
      <c r="W190" s="987">
        <f>0</f>
        <v>0</v>
      </c>
      <c r="X190" s="987">
        <f>0</f>
        <v>0</v>
      </c>
      <c r="Y190" s="987">
        <f>0</f>
        <v>0</v>
      </c>
      <c r="Z190" s="987">
        <f>0</f>
        <v>0</v>
      </c>
      <c r="AA190" s="987">
        <f>0</f>
        <v>0</v>
      </c>
      <c r="AB190" s="987">
        <f>0</f>
        <v>0</v>
      </c>
      <c r="AC190" s="987">
        <f>0</f>
        <v>0</v>
      </c>
      <c r="AD190" s="987">
        <f>0</f>
        <v>0</v>
      </c>
      <c r="AE190" s="987">
        <f>0</f>
        <v>0</v>
      </c>
      <c r="AF190" s="1627">
        <f>X_HFO_P/X_HFO</f>
        <v>1.5529865549288207E-48</v>
      </c>
      <c r="AG190" s="987">
        <f>0</f>
        <v>0</v>
      </c>
      <c r="AH190" s="987">
        <f>0</f>
        <v>0</v>
      </c>
      <c r="AI190" s="987">
        <f>0</f>
        <v>0</v>
      </c>
      <c r="AJ190" s="987">
        <f>0</f>
        <v>0</v>
      </c>
      <c r="AK190" s="987">
        <f>0</f>
        <v>0</v>
      </c>
      <c r="AL190" s="987">
        <f>0</f>
        <v>0</v>
      </c>
      <c r="AM190" s="987">
        <f>0</f>
        <v>0</v>
      </c>
      <c r="AN190" s="986">
        <f>i_CIT_SB*E_EQFe2*S_B/(S_B+S_VFA)+i_CIT_VFA*E_EQFe2*S_VFA/(S_B+S_VFA)</f>
        <v>4.1096776881556003E-2</v>
      </c>
      <c r="AO190" s="987">
        <f>0</f>
        <v>0</v>
      </c>
      <c r="AP190" s="987">
        <f>0</f>
        <v>0</v>
      </c>
      <c r="AQ190" s="987">
        <f>0</f>
        <v>0</v>
      </c>
      <c r="AR190" s="987">
        <f>0</f>
        <v>0</v>
      </c>
      <c r="AS190" s="987">
        <f>0</f>
        <v>0</v>
      </c>
      <c r="AT190" s="987">
        <f>0</f>
        <v>0</v>
      </c>
      <c r="AU190" s="986">
        <f>1</f>
        <v>1</v>
      </c>
      <c r="AV190" s="1627">
        <f>-X_HFO_H/X_HFO</f>
        <v>-9.9999999999999997E-49</v>
      </c>
      <c r="AW190" s="1627">
        <f>-X_HFO_L/X_HFO</f>
        <v>-9.9999999999999997E-49</v>
      </c>
      <c r="AX190" s="1627">
        <f>-X_HFO_old/X_HFO</f>
        <v>-1</v>
      </c>
      <c r="AY190" s="1627">
        <f>-X_HFO_H_P/X_HFO</f>
        <v>-9.9999999999999997E-49</v>
      </c>
      <c r="AZ190" s="1627">
        <f>-X_HFO_L_P/X_HFO</f>
        <v>-9.9999999999999997E-49</v>
      </c>
      <c r="BA190" s="1627">
        <f>-X_HFO_H_P_old/X_HFO</f>
        <v>-9.9999999999999997E-49</v>
      </c>
      <c r="BB190" s="1627">
        <f>-X_HFO_L_P_old/X_HFO</f>
        <v>-9.9999999999999997E-49</v>
      </c>
      <c r="BC190" s="1627">
        <f>0</f>
        <v>0</v>
      </c>
      <c r="BD190" s="1627">
        <f>0</f>
        <v>0</v>
      </c>
      <c r="BE190" s="1627">
        <f>0</f>
        <v>0</v>
      </c>
      <c r="BF190" s="1627">
        <f>0</f>
        <v>0</v>
      </c>
      <c r="BG190" s="1627">
        <f>0</f>
        <v>0</v>
      </c>
      <c r="BH190" s="1627">
        <f>0</f>
        <v>0</v>
      </c>
      <c r="BI190" s="1627">
        <f>0</f>
        <v>0</v>
      </c>
      <c r="BJ190" s="986">
        <f>0</f>
        <v>0</v>
      </c>
      <c r="BK190" s="986">
        <f>0</f>
        <v>0</v>
      </c>
      <c r="BL190" s="1641">
        <f>0</f>
        <v>0</v>
      </c>
      <c r="BM190" s="986">
        <f>0</f>
        <v>0</v>
      </c>
      <c r="BN190" s="986">
        <f>0</f>
        <v>0</v>
      </c>
      <c r="BO190" s="986">
        <f>0</f>
        <v>0</v>
      </c>
      <c r="BP190" s="1430">
        <f>0</f>
        <v>0</v>
      </c>
      <c r="BQ190" s="2379">
        <f>0</f>
        <v>0</v>
      </c>
      <c r="BR190" s="986">
        <f>0</f>
        <v>0</v>
      </c>
      <c r="BS190" s="986">
        <f>0</f>
        <v>0</v>
      </c>
      <c r="BT190" s="986">
        <f>0</f>
        <v>0</v>
      </c>
      <c r="BU190" s="986">
        <f>0</f>
        <v>0</v>
      </c>
      <c r="BV190" s="986">
        <f>0</f>
        <v>0</v>
      </c>
      <c r="BW190" s="986">
        <f>0</f>
        <v>0</v>
      </c>
      <c r="BX190" s="986">
        <f>0</f>
        <v>0</v>
      </c>
      <c r="BY190" s="986">
        <f>0</f>
        <v>0</v>
      </c>
      <c r="BZ190" s="986">
        <f>0</f>
        <v>0</v>
      </c>
      <c r="CA190" s="986">
        <f>0</f>
        <v>0</v>
      </c>
      <c r="CB190" s="986">
        <f>0</f>
        <v>0</v>
      </c>
      <c r="CC190" s="986">
        <f>0</f>
        <v>0</v>
      </c>
      <c r="CD190" s="1659">
        <f>q_HFO_RED_T*X_HFO*L_oginhORP_HFO*(M_satSB_KSB+M_satSVFA_KVFA)</f>
        <v>6.8384401301643267E-20</v>
      </c>
      <c r="CF190" s="2385">
        <f>E220*E190+F220*F190+G220*G190+H220*H190+I220*I190+J220*J190+K220*K190+L220*L190+M220*M190+N220*N190+O220*O190+P220*P190+Q220*Q190+R220*R190+S220*S190+T220*T190+U220*U190+V220*V190+W220*W190+X220*X190+Y220*Y190+Z220*Z190+AA220*AA190+AB220*AB190+AC220*AC190+AD220*AD190+AE220*AE190+AF220*AF190+AG220*AG190+AH220*AH190+AI220*AI190+AJ220*AJ190+AK220*AK190+AL220*AL190+AM220*AM190+AN220*AN190+AO220*AO190+AP220*AP190+AQ220*AQ190+AR220*AR190+AS220*AS190+AT220*AT190+AU220*AU190+AV220*AV190+AW220*AW190+AX220*AX190+AY220*AY190+AZ220*AZ190+BA220*BA190+BB220*BB190+BC220*BC190+BD220*BD190+BE220*BE190+BF220*BF190+BG220*BG190+BH220*BH190+BI220*BI190+BJ220*BJ190+BK220*BK190+BL220*BL190+BM220*BM190+BN220*BN190+BO220*BO190+BP220*BP190+BQ220*BQ190+BR220*BR190+BS220*BS190+BT220*BT190+BU220*BU190+BV220*BV190+BW220*BW190+BX220*BX190+BY220*BY190+BZ220*BZ190+CA220*CA190+CB220*CB190+CC220*CC190</f>
        <v>0</v>
      </c>
      <c r="CG190" s="2385">
        <f>E221*E190+F221*F190+G221*G190+H221*H190+I221*I190+J221*J190+K221*K190+L221*L190+M221*M190+N221*N190+O221*O190+P221*P190+Q221*Q190+R221*R190+S221*S190+T221*T190+U221*U190+V221*V190+W221*W190+X221*X190+Y221*Y190+Z221*Z190+AA221*AA190+AB221*AB190+AC221*AC190+AD221*AD190+AE221*AE190+AF221*AF190+AG221*AG190+AH221*AH190+AI221*AI190+AJ221*AJ190+AK221*AK190+AL221*AL190+AM221*AM190+AN221*AN190+AO221*AO190+AP221*AP190+AQ221*AQ190+AR221*AR190+AS221*AS190+AT221*AT190+AU221*AU190+AV221*AV190+AW221*AW190+AX221*AX190+AY221*AY190+AZ221*AZ190+BA221*BA190+BB221*BB190+BC221*BC190+BD221*BD190+BE221*BE190+BF221*BF190+BG221*BG190+BH221*BH190+BI221*BI190+BJ221*BJ190+BK221*BK190+BL221*BL190+BM221*BM190+BN221*BN190+BO221*BO190+BP221*BP190+BQ221*BQ190+BR221*BR190+BS221*BS190+BT221*BT190+BU221*BU190+BV221*BV190+BW221*BW190+BX221*BX190+BY221*BY190+BZ221*BZ190+CA221*CA190+CB221*CB190+CC221*CC190</f>
        <v>0</v>
      </c>
      <c r="CH190" s="2386">
        <f>E222*E190+F222*F190+G222*G190+H222*H190+I222*I190+J222*J190+K222*K190+L222*L190+M222*M190+N222*N190+O222*O190+P222*P190+Q222*Q190+R222*R190+S222*S190+T222*T190+U222*U190+V222*V190+W222*W190+X222*X190+Y222*Y190+Z222*Z190+AA222*AA190+AB222*AB190+AC222*AC190+AD222*AD190+AE222*AE190+AF222*AF190+AG222*AG190+AH222*AH190+AI222*AI190+AJ222*AJ190+AK222*AK190+AL222*AL190+AM222*AM190+AN222*AN190+AO222*AO190+AP222*AP190+AQ222*AQ190+AR222*AR190+AS222*AS190+AT222*AT190+AU222*AU190+AV222*AV190+AW222*AW190+AX222*AX190+AY222*AY190+AZ222*AZ190+BA222*BA190+BB222*BB190+BC222*BC190+BD222*BD190+BE222*BE190+BF222*BF190+BG222*BG190+BH222*BH190+BI222*BI190+BJ222*BJ190+BK222*BK190+BL222*BL190+BM222*BM190+BN222*BN190+BO222*BO190+BP222*BP190+BQ222*BQ190+BR222*BR190+BS222*BS190+BT222*BT190+BU222*BU190+BV222*BV190+BW222*BW190+BX222*BX190+BY222*BY190+BZ222*BZ190+CA222*CA190+CB222*CB190+CC222*CC190</f>
        <v>0</v>
      </c>
      <c r="CI190" s="2387">
        <f>E223*E190+F223*F190+G223*G190+H223*H190+I223*I190+J223*J190+K223*K190+L223*L190+M223*M190+N223*N190+O223*O190+P223*P190+Q223*Q190+R223*R190+S223*S190+T223*T190+U223*U190+V223*V190+W223*W190+X223*X190+Y223*Y190+Z223*Z190+AA223*AA190+AB223*AB190+AC223*AC190+AD223*AD190+AE223*AE190+AF223*AF190+AG223*AG190+AH223*AH190+AI223*AI190+AJ223*AJ190+AK223*AK190+AL223*AL190+AM223*AM190+AN223*AN190+AO223*AO190+AP223*AP190+AQ223*AQ190+AR223*AR190+AS223*AS190+AT223*AT190+AU223*AU190+AV223*AV190+AW223*AW190+AX223*AX190+AY223*AY190+AZ223*AZ190+BA223*BA190+BB223*BB190+BC223*BC190+BD223*BD190+BE223*BE190+BF223*BF190+BG223*BG190+BH223*BH190+BI223*BI190+BJ223*BJ190+BK223*BK190+BL223*BL190+BM223*BM190+BN223*BN190+BO223*BO190+BP223*BP190+BQ223*BQ190+BR223*BR190+BS223*BS190+BT223*BT190+BU223*BU190+BV223*BV190+BW223*BW190+BX223*BX190+BY223*BY190+BZ223*BZ190+CA223*CA190+CB223*CB190+CC223*CC190</f>
        <v>0</v>
      </c>
      <c r="CJ190" s="2387">
        <f>E224*E190+F224*F190+G224*G190+H224*H190+I224*I190+J224*J190+K224*K190+L224*L190+M224*M190+N224*N190+O224*O190+P224*P190+Q224*Q190+R224*R190+S224*S190+T224*T190+U224*U190+V224*V190+W224*W190+X224*X190+Y224*Y190+Z224*Z190+AA224*AA190+AB224*AB190+AC224*AC190+AD224*AD190+AE224*AE190+AF224*AF190+AG224*AG190+AH224*AH190+AI224*AI190+AJ224*AJ190+AK224*AK190+AL224*AL190+AM224*AM190+AN224*AN190+AO224*AO190+AP224*AP190+AQ224*AQ190+AR224*AR190+AS224*AS190+AT224*AT190+AU224*AU190+AV224*AV190+AW224*AW190+AX224*AX190+AY224*AY190+AZ224*AZ190+BA224*BA190+BB224*BB190+BC224*BC190+BD224*BD190+BE224*BE190+BF224*BF190+BG224*BG190+BH224*BH190+BI224*BI190+BJ224*BJ190+BK224*BK190+BL224*BL190+BM224*BM190+BN224*BN190+BO224*BO190+BP224*BP190+BQ224*BQ190+BR224*BR190+BS224*BS190+BT224*BT190+BU224*BU190+BV224*BV190+BW224*BW190+BX224*BX190+BY224*BY190+BZ224*BZ190+CA224*CA190+CB224*CB190+CC224*CC190</f>
        <v>0</v>
      </c>
      <c r="CK190" s="2387">
        <f>E225*E190+F225*F190+G225*G190+H225*H190+I225*I190+J225*J190+K225*K190+L225*L190+M225*M190+N225*N190+O225*O190+P225*P190+Q225*Q190+R225*R190+S225*S190+T225*T190+U225*U190+V225*V190+W225*W190+X225*X190+Y225*Y190+Z225*Z190+AA225*AA190+AB225*AB190+AC225*AC190+AD225*AD190+AE225*AE190+AF225*AF190+AG225*AG190+AH225*AH190+AI225*AI190+AJ225*AJ190+AK225*AK190+AL225*AL190+AM225*AM190+AN225*AN190+AO225*AO190+AP225*AP190+AQ225*AQ190+AR225*AR190+AS225*AS190+AT225*AT190+AU225*AU190+AV225*AV190+AW225*AW190+AX225*AX190+AY225*AY190+AZ225*AZ190+BA225*BA190+BB225*BB190+BC225*BC190+BD225*BD190+BE225*BE190+BF225*BF190+BG225*BG190+BH225*BH190+BI225*BI190+BJ225*BJ190+BK225*BK190+BL225*BL190+BM225*BM190+BN225*BN190+BO225*BO190+BP225*BP190+BQ225*BQ190+BR225*BR190+BS225*BS190+BT225*BT190+BU225*BU190+BV225*BV190+BW225*BW190+BX225*BX190+BY225*BY190+BZ225*BZ190+CA225*CA190+CB225*CB190+CC225*CC190</f>
        <v>0</v>
      </c>
      <c r="CL190" s="2387">
        <f>E226*E190+F226*F190+G226*G190+H226*H190+I226*I190+J226*J190+K226*K190+L226*L190+M226*M190+N226*N190+O226*O190+P226*P190+Q226*Q190+R226*R190+S226*S190+T226*T190+U226*U190+V226*V190+W226*W190+X226*X190+Y226*Y190+Z226*Z190+AA226*AA190+AB226*AB190+AC226*AC190+AD226*AD190+AE226*AE190+AF226*AF190+AG226*AG190+AH226*AH190+AI226*AI190+AJ226*AJ190+AK226*AK190+AL226*AL190+AM226*AM190+AN226*AN190+AO226*AO190+AP226*AP190+AQ226*AQ190+AR226*AR190+AS226*AS190+AT226*AT190+AU226*AU190+AV226*AV190+AW226*AW190+AX226*AX190+AY226*AY190+AZ226*AZ190+BA226*BA190+BB226*BB190+BC226*BC190+BD226*BD190+BE226*BE190+BF226*BF190+BG226*BG190+BH226*BH190+BI226*BI190+BJ226*BJ190+BK226*BK190+BL226*BL190+BM226*BM190+BN226*BN190+BO226*BO190+BP226*BP190+BQ226*BQ190+BR226*BR190+BS226*BS190+BT226*BT190+BU226*BU190+BV226*BV190+BW226*BW190+BX226*BX190+BY226*BY190+BZ226*BZ190+CA226*CA190+CB226*CB190+CC226*CC190</f>
        <v>0</v>
      </c>
      <c r="CM190" s="2387">
        <f>E227*E190+F227*F190+G227*G190+H227*H190+I227*I190+J227*J190+K227*K190+L227*L190+M227*M190+N227*N190+O227*O190+P227*P190+Q227*Q190+R227*R190+S227*S190+T227*T190+U227*U190+V227*V190+W227*W190+X227*X190+Y227*Y190+Z227*Z190+AA227*AA190+AB227*AB190+AC227*AC190+AD227*AD190+AE227*AE190+AF227*AF190+AG227*AG190+AH227*AH190+AI227*AI190+AJ227*AJ190+AK227*AK190+AL227*AL190+AM227*AM190+AN227*AN190+AO227*AO190+AP227*AP190+AQ227*AQ190+AR227*AR190+AS227*AS190+AT227*AT190+AU227*AU190+AV227*AV190+AW227*AW190+AX227*AX190+AY227*AY190+AZ227*AZ190+BA227*BA190+BB227*BB190+BC227*BC190+BD227*BD190+BE227*BE190+BF227*BF190+BG227*BG190+BH227*BH190+BI227*BI190+BJ227*BJ190+BK227*BK190+BL227*BL190+BM227*BM190+BN227*BN190+BO227*BO190+BP227*BP190+BQ227*BQ190+BR227*BR190+BS227*BS190+BT227*BT190+BU227*BU190+BV227*BV190+BW227*BW190+BX227*BX190+BY227*BY190+BZ227*BZ190+CA227*CA190+CB227*CB190+CC227*CC190</f>
        <v>0</v>
      </c>
      <c r="CN190" s="2387">
        <f>E228*E190+F228*F190+G228*G190+H228*H190+I228*I190+J228*J190+K228*K190+L228*L190+M228*M190+N228*N190+O228*O190+P228*P190+Q228*Q190+R228*R190+S228*S190+T228*T190+U228*U190+V228*V190+W228*W190+X228*X190+Y228*Y190+Z228*Z190+AA228*AA190+AB228*AB190+AC228*AC190+AD228*AD190+AE228*AE190+AF228*AF190+AG228*AG190+AH228*AH190+AI228*AI190+AJ228*AJ190+AK228*AK190+AL228*AL190+AM228*AM190+AN228*AN190+AO228*AO190+AP228*AP190+AQ228*AQ190+AR228*AR190+AS228*AS190+AT228*AT190+AU228*AU190+AV228*AV190+AW228*AW190+AX228*AX190+AY228*AY190+AZ228*AZ190+BA228*BA190+BB228*BB190+BC228*BC190+BD228*BD190+BE228*BE190+BF228*BF190+BG228*BG190+BH228*BH190+BI228*BI190+BJ228*BJ190+BK228*BK190+BL228*BL190+BM228*BM190+BN228*BN190+BO228*BO190+BP228*BP190+BQ228*BQ190+BR228*BR190+BS228*BS190+BT228*BT190+BU228*BU190+BV228*BV190+BW228*BW190+BX228*BX190+BY228*BY190+BZ228*BZ190+CA228*CA190+CB228*CB190+CC228*CC190</f>
        <v>0</v>
      </c>
      <c r="CO190" s="2387">
        <f>E229*E190+F229*F190+G229*G190+H229*H190+I229*I190+J229*J190+K229*K190+L229*L190+M229*M190+N229*N190+O229*O190+P229*P190+Q229*Q190+R229*R190+S229*S190+T229*T190+U229*U190+V229*V190+W229*W190+X229*X190+Y229*Y190+Z229*Z190+AA229*AA190+AB229*AB190+AC229*AC190+AD229*AD190+AE229*AE190+AF229*AF190+AG229*AG190+AH229*AH190+AI229*AI190+AJ229*AJ190+AK229*AK190+AL229*AL190+AM229*AM190+AN229*AN190+AO229*AO190+AP229*AP190+AQ229*AQ190+AR229*AR190+AS229*AS190+AT229*AT190+AU229*AU190+AV229*AV190+AW229*AW190+AX229*AX190+AY229*AY190+AZ229*AZ190+BA229*BA190+BB229*BB190+BC229*BC190+BD229*BD190+BE229*BE190+BF229*BF190+BG229*BG190+BH229*BH190+BI229*BI190+BJ229*BJ190+BK229*BK190+BL229*BL190+BM229*BM190+BN229*BN190+BO229*BO190+BP229*BP190+BQ229*BQ190+BR229*BR190+BS229*BS190+BT229*BT190+BU229*BU190+BV229*BV190+BW229*BW190+BX229*BX190+BY229*BY190+BZ229*BZ190+CA229*CA190+CB229*CB190+CC229*CC190</f>
        <v>-3.9999999999999999E-48</v>
      </c>
      <c r="CP190" s="2387">
        <f>E230*E190+F230*F190+G230*G190+H230*H190+I230*I190+J230*J190+K230*K190+L230*L190+M230*M190+N230*N190+O230*O190+P230*P190+Q230*Q190+R230*R190+S230*S190+T230*T190+U230*U190+V230*V190+W230*W190+X230*X190+Y230*Y190+Z230*Z190+AA230*AA190+AB230*AB190+AC230*AC190+AD230*AD190+AE230*AE190+AF230*AF190+AG230*AG190+AH230*AH190+AI230*AI190+AJ230*AJ190+AK230*AK190+AL230*AL190+AM230*AM190+AN230*AN190+AO230*AO190+AP230*AP190+AQ230*AQ190+AR230*AR190+AS230*AS190+AT230*AT190+AU230*AU190+AV230*AV190+AW230*AW190+AX230*AX190+AY230*AY190+AZ230*AZ190+BA230*BA190+BB230*BB190+BC230*BC190+BD230*BD190+BE230*BE190+BF230*BF190+BG230*BG190+BH230*BH190+BI230*BI190+BJ230*BJ190+BK230*BK190+BL230*BL190+BM230*BM190+BN230*BN190+BO230*BO190+BP230*BP190+BQ230*BQ190+BR230*BR190+BS230*BS190+BT230*BT190+BU230*BU190+BV230*BV190+BW230*BW190+BX230*BX190+BY230*BY190+BZ230*BZ190+CA230*CA190+CB230*CB190+CC230*CC190</f>
        <v>0</v>
      </c>
    </row>
    <row r="191" spans="2:94" ht="17.25" x14ac:dyDescent="0.25">
      <c r="B191" s="1594">
        <v>72</v>
      </c>
      <c r="C191" s="1533" t="s">
        <v>2493</v>
      </c>
      <c r="D191" s="1538" t="s">
        <v>1702</v>
      </c>
      <c r="E191" s="987">
        <f>0</f>
        <v>0</v>
      </c>
      <c r="F191" s="987">
        <f>0</f>
        <v>0</v>
      </c>
      <c r="G191" s="987">
        <f>0</f>
        <v>0</v>
      </c>
      <c r="H191" s="987">
        <f>0</f>
        <v>0</v>
      </c>
      <c r="I191" s="987">
        <f>0</f>
        <v>0</v>
      </c>
      <c r="J191" s="987">
        <f>0</f>
        <v>0</v>
      </c>
      <c r="K191" s="987">
        <f>0</f>
        <v>0</v>
      </c>
      <c r="L191" s="987">
        <f>0</f>
        <v>0</v>
      </c>
      <c r="M191" s="987">
        <f>0</f>
        <v>0</v>
      </c>
      <c r="N191" s="987">
        <f>0</f>
        <v>0</v>
      </c>
      <c r="O191" s="987">
        <f>0</f>
        <v>0</v>
      </c>
      <c r="P191" s="987">
        <f>0</f>
        <v>0</v>
      </c>
      <c r="Q191" s="986">
        <f>0</f>
        <v>0</v>
      </c>
      <c r="R191" s="987">
        <f>0</f>
        <v>0</v>
      </c>
      <c r="S191" s="987">
        <f>0</f>
        <v>0</v>
      </c>
      <c r="T191" s="987">
        <f>0</f>
        <v>0</v>
      </c>
      <c r="U191" s="987">
        <f>0</f>
        <v>0</v>
      </c>
      <c r="V191" s="987">
        <f>0</f>
        <v>0</v>
      </c>
      <c r="W191" s="987">
        <f>0</f>
        <v>0</v>
      </c>
      <c r="X191" s="987">
        <f>0</f>
        <v>0</v>
      </c>
      <c r="Y191" s="987">
        <f>0</f>
        <v>0</v>
      </c>
      <c r="Z191" s="987">
        <f>0</f>
        <v>0</v>
      </c>
      <c r="AA191" s="987">
        <f>0</f>
        <v>0</v>
      </c>
      <c r="AB191" s="987">
        <f>0</f>
        <v>0</v>
      </c>
      <c r="AC191" s="987">
        <f>0</f>
        <v>0</v>
      </c>
      <c r="AD191" s="987">
        <f>0</f>
        <v>0</v>
      </c>
      <c r="AE191" s="987">
        <f>0</f>
        <v>0</v>
      </c>
      <c r="AF191" s="986">
        <f>0</f>
        <v>0</v>
      </c>
      <c r="AG191" s="987">
        <f>0</f>
        <v>0</v>
      </c>
      <c r="AH191" s="987">
        <f>0</f>
        <v>0</v>
      </c>
      <c r="AI191" s="987">
        <f>0</f>
        <v>0</v>
      </c>
      <c r="AJ191" s="987">
        <f>0</f>
        <v>0</v>
      </c>
      <c r="AK191" s="986">
        <f>-E_EQFe2</f>
        <v>-0.14325364849136002</v>
      </c>
      <c r="AL191" s="987">
        <f>0</f>
        <v>0</v>
      </c>
      <c r="AM191" s="987">
        <f>0</f>
        <v>0</v>
      </c>
      <c r="AN191" s="986">
        <f>0</f>
        <v>0</v>
      </c>
      <c r="AO191" s="987">
        <f>0</f>
        <v>0</v>
      </c>
      <c r="AP191" s="987">
        <f>0</f>
        <v>0</v>
      </c>
      <c r="AQ191" s="987">
        <f>0</f>
        <v>0</v>
      </c>
      <c r="AR191" s="987">
        <f>0</f>
        <v>0</v>
      </c>
      <c r="AS191" s="987">
        <f>0</f>
        <v>0</v>
      </c>
      <c r="AT191" s="987">
        <f>0</f>
        <v>0</v>
      </c>
      <c r="AU191" s="986">
        <f>-1</f>
        <v>-1</v>
      </c>
      <c r="AV191" s="987">
        <f>1</f>
        <v>1</v>
      </c>
      <c r="AW191" s="987">
        <f>0</f>
        <v>0</v>
      </c>
      <c r="AX191" s="987">
        <f>0</f>
        <v>0</v>
      </c>
      <c r="AY191" s="986">
        <f>0</f>
        <v>0</v>
      </c>
      <c r="AZ191" s="987">
        <f>0</f>
        <v>0</v>
      </c>
      <c r="BA191" s="986">
        <f>0</f>
        <v>0</v>
      </c>
      <c r="BB191" s="986">
        <f>0</f>
        <v>0</v>
      </c>
      <c r="BC191" s="987">
        <f>0</f>
        <v>0</v>
      </c>
      <c r="BD191" s="987">
        <f>0</f>
        <v>0</v>
      </c>
      <c r="BE191" s="987">
        <f>0</f>
        <v>0</v>
      </c>
      <c r="BF191" s="986">
        <f>0</f>
        <v>0</v>
      </c>
      <c r="BG191" s="987">
        <f>0</f>
        <v>0</v>
      </c>
      <c r="BH191" s="986">
        <f>0</f>
        <v>0</v>
      </c>
      <c r="BI191" s="986">
        <f>0</f>
        <v>0</v>
      </c>
      <c r="BJ191" s="986">
        <f>0</f>
        <v>0</v>
      </c>
      <c r="BK191" s="986">
        <f>0</f>
        <v>0</v>
      </c>
      <c r="BL191" s="1641">
        <f>0</f>
        <v>0</v>
      </c>
      <c r="BM191" s="986">
        <f>0</f>
        <v>0</v>
      </c>
      <c r="BN191" s="986">
        <f>0</f>
        <v>0</v>
      </c>
      <c r="BO191" s="986">
        <f>0</f>
        <v>0</v>
      </c>
      <c r="BP191" s="1430">
        <f>0</f>
        <v>0</v>
      </c>
      <c r="BQ191" s="2379">
        <f>0</f>
        <v>0</v>
      </c>
      <c r="BR191" s="986">
        <f>0</f>
        <v>0</v>
      </c>
      <c r="BS191" s="986">
        <f>0</f>
        <v>0</v>
      </c>
      <c r="BT191" s="986">
        <f>0</f>
        <v>0</v>
      </c>
      <c r="BU191" s="986">
        <f>0</f>
        <v>0</v>
      </c>
      <c r="BV191" s="986">
        <f>0</f>
        <v>0</v>
      </c>
      <c r="BW191" s="986">
        <f>0</f>
        <v>0</v>
      </c>
      <c r="BX191" s="986">
        <f>0</f>
        <v>0</v>
      </c>
      <c r="BY191" s="986">
        <f>0</f>
        <v>0</v>
      </c>
      <c r="BZ191" s="986">
        <f>0</f>
        <v>0</v>
      </c>
      <c r="CA191" s="986">
        <f>0</f>
        <v>0</v>
      </c>
      <c r="CB191" s="986">
        <f>0</f>
        <v>0</v>
      </c>
      <c r="CC191" s="986">
        <f>0</f>
        <v>0</v>
      </c>
      <c r="CD191" s="1659">
        <f>q_Fe2_OX_T*S_Fe2*M_satSO2_KO2_OHO</f>
        <v>9.3023255813953485E-51</v>
      </c>
      <c r="CF191" s="2385">
        <f>E220*E191+F220*F191+G220*G191+H220*H191+I220*I191+J220*J191+K220*K191+L220*L191+M220*M191+N220*N191+O220*O191+P220*P191+Q220*Q191+R220*R191+S220*S191+T220*T191+U220*U191+V220*V191+W220*W191+X220*X191+Y220*Y191+Z220*Z191+AA220*AA191+AB220*AB191+AC220*AC191+AD220*AD191+AE220*AE191+AF220*AF191+AG220*AG191+AH220*AH191+AI220*AI191+AJ220*AJ191+AK220*AK191+AL220*AL191+AM220*AM191+AN220*AN191+AO220*AO191+AP220*AP191+AQ220*AQ191+AR220*AR191+AS220*AS191+AT220*AT191+AU220*AU191+AV220*AV191+AW220*AW191+AX220*AX191+AY220*AY191+AZ220*AZ191+BA220*BA191+BB220*BB191+BC220*BC191+BD220*BD191+BE220*BE191+BF220*BF191+BG220*BG191+BH220*BH191+BI220*BI191+BJ220*BJ191+BK220*BK191+BL220*BL191+BM220*BM191+BN220*BN191+BO220*BO191+BP220*BP191+BQ220*BQ191+BR220*BR191+BS220*BS191+BT220*BT191+BU220*BU191+BV220*BV191+BW220*BW191+BX220*BX191+BY220*BY191+BZ220*BZ191+CA220*CA191+CB220*CB191+CC220*CC191</f>
        <v>0</v>
      </c>
      <c r="CG191" s="2385">
        <f>E221*E191+F221*F191+G221*G191+H221*H191+I221*I191+J221*J191+K221*K191+L221*L191+M221*M191+N221*N191+O221*O191+P221*P191+Q221*Q191+R221*R191+S221*S191+T221*T191+U221*U191+V221*V191+W221*W191+X221*X191+Y221*Y191+Z221*Z191+AA221*AA191+AB221*AB191+AC221*AC191+AD221*AD191+AE221*AE191+AF221*AF191+AG221*AG191+AH221*AH191+AI221*AI191+AJ221*AJ191+AK221*AK191+AL221*AL191+AM221*AM191+AN221*AN191+AO221*AO191+AP221*AP191+AQ221*AQ191+AR221*AR191+AS221*AS191+AT221*AT191+AU221*AU191+AV221*AV191+AW221*AW191+AX221*AX191+AY221*AY191+AZ221*AZ191+BA221*BA191+BB221*BB191+BC221*BC191+BD221*BD191+BE221*BE191+BF221*BF191+BG221*BG191+BH221*BH191+BI221*BI191+BJ221*BJ191+BK221*BK191+BL221*BL191+BM221*BM191+BN221*BN191+BO221*BO191+BP221*BP191+BQ221*BQ191+BR221*BR191+BS221*BS191+BT221*BT191+BU221*BU191+BV221*BV191+BW221*BW191+BX221*BX191+BY221*BY191+BZ221*BZ191+CA221*CA191+CB221*CB191+CC221*CC191</f>
        <v>0</v>
      </c>
      <c r="CH191" s="2386">
        <f>E222*E191+F222*F191+G222*G191+H222*H191+I222*I191+J222*J191+K222*K191+L222*L191+M222*M191+N222*N191+O222*O191+P222*P191+Q222*Q191+R222*R191+S222*S191+T222*T191+U222*U191+V222*V191+W222*W191+X222*X191+Y222*Y191+Z222*Z191+AA222*AA191+AB222*AB191+AC222*AC191+AD222*AD191+AE222*AE191+AF222*AF191+AG222*AG191+AH222*AH191+AI222*AI191+AJ222*AJ191+AK222*AK191+AL222*AL191+AM222*AM191+AN222*AN191+AO222*AO191+AP222*AP191+AQ222*AQ191+AR222*AR191+AS222*AS191+AT222*AT191+AU222*AU191+AV222*AV191+AW222*AW191+AX222*AX191+AY222*AY191+AZ222*AZ191+BA222*BA191+BB222*BB191+BC222*BC191+BD222*BD191+BE222*BE191+BF222*BF191+BG222*BG191+BH222*BH191+BI222*BI191+BJ222*BJ191+BK222*BK191+BL222*BL191+BM222*BM191+BN222*BN191+BO222*BO191+BP222*BP191+BQ222*BQ191+BR222*BR191+BS222*BS191+BT222*BT191+BU222*BU191+BV222*BV191+BW222*BW191+BX222*BX191+BY222*BY191+BZ222*BZ191+CA222*CA191+CB222*CB191+CC222*CC191</f>
        <v>0</v>
      </c>
      <c r="CI191" s="2387">
        <f>E223*E191+F223*F191+G223*G191+H223*H191+I223*I191+J223*J191+K223*K191+L223*L191+M223*M191+N223*N191+O223*O191+P223*P191+Q223*Q191+R223*R191+S223*S191+T223*T191+U223*U191+V223*V191+W223*W191+X223*X191+Y223*Y191+Z223*Z191+AA223*AA191+AB223*AB191+AC223*AC191+AD223*AD191+AE223*AE191+AF223*AF191+AG223*AG191+AH223*AH191+AI223*AI191+AJ223*AJ191+AK223*AK191+AL223*AL191+AM223*AM191+AN223*AN191+AO223*AO191+AP223*AP191+AQ223*AQ191+AR223*AR191+AS223*AS191+AT223*AT191+AU223*AU191+AV223*AV191+AW223*AW191+AX223*AX191+AY223*AY191+AZ223*AZ191+BA223*BA191+BB223*BB191+BC223*BC191+BD223*BD191+BE223*BE191+BF223*BF191+BG223*BG191+BH223*BH191+BI223*BI191+BJ223*BJ191+BK223*BK191+BL223*BL191+BM223*BM191+BN223*BN191+BO223*BO191+BP223*BP191+BQ223*BQ191+BR223*BR191+BS223*BS191+BT223*BT191+BU223*BU191+BV223*BV191+BW223*BW191+BX223*BX191+BY223*BY191+BZ223*BZ191+CA223*CA191+CB223*CB191+CC223*CC191</f>
        <v>0</v>
      </c>
      <c r="CJ191" s="2387">
        <f>E224*E191+F224*F191+G224*G191+H224*H191+I224*I191+J224*J191+K224*K191+L224*L191+M224*M191+N224*N191+O224*O191+P224*P191+Q224*Q191+R224*R191+S224*S191+T224*T191+U224*U191+V224*V191+W224*W191+X224*X191+Y224*Y191+Z224*Z191+AA224*AA191+AB224*AB191+AC224*AC191+AD224*AD191+AE224*AE191+AF224*AF191+AG224*AG191+AH224*AH191+AI224*AI191+AJ224*AJ191+AK224*AK191+AL224*AL191+AM224*AM191+AN224*AN191+AO224*AO191+AP224*AP191+AQ224*AQ191+AR224*AR191+AS224*AS191+AT224*AT191+AU224*AU191+AV224*AV191+AW224*AW191+AX224*AX191+AY224*AY191+AZ224*AZ191+BA224*BA191+BB224*BB191+BC224*BC191+BD224*BD191+BE224*BE191+BF224*BF191+BG224*BG191+BH224*BH191+BI224*BI191+BJ224*BJ191+BK224*BK191+BL224*BL191+BM224*BM191+BN224*BN191+BO224*BO191+BP224*BP191+BQ224*BQ191+BR224*BR191+BS224*BS191+BT224*BT191+BU224*BU191+BV224*BV191+BW224*BW191+BX224*BX191+BY224*BY191+BZ224*BZ191+CA224*CA191+CB224*CB191+CC224*CC191</f>
        <v>0</v>
      </c>
      <c r="CK191" s="2387">
        <f>E225*E191+F225*F191+G225*G191+H225*H191+I225*I191+J225*J191+K225*K191+L225*L191+M225*M191+N225*N191+O225*O191+P225*P191+Q225*Q191+R225*R191+S225*S191+T225*T191+U225*U191+V225*V191+W225*W191+X225*X191+Y225*Y191+Z225*Z191+AA225*AA191+AB225*AB191+AC225*AC191+AD225*AD191+AE225*AE191+AF225*AF191+AG225*AG191+AH225*AH191+AI225*AI191+AJ225*AJ191+AK225*AK191+AL225*AL191+AM225*AM191+AN225*AN191+AO225*AO191+AP225*AP191+AQ225*AQ191+AR225*AR191+AS225*AS191+AT225*AT191+AU225*AU191+AV225*AV191+AW225*AW191+AX225*AX191+AY225*AY191+AZ225*AZ191+BA225*BA191+BB225*BB191+BC225*BC191+BD225*BD191+BE225*BE191+BF225*BF191+BG225*BG191+BH225*BH191+BI225*BI191+BJ225*BJ191+BK225*BK191+BL225*BL191+BM225*BM191+BN225*BN191+BO225*BO191+BP225*BP191+BQ225*BQ191+BR225*BR191+BS225*BS191+BT225*BT191+BU225*BU191+BV225*BV191+BW225*BW191+BX225*BX191+BY225*BY191+BZ225*BZ191+CA225*CA191+CB225*CB191+CC225*CC191</f>
        <v>0</v>
      </c>
      <c r="CL191" s="2387">
        <f>E226*E191+F226*F191+G226*G191+H226*H191+I226*I191+J226*J191+K226*K191+L226*L191+M226*M191+N226*N191+O226*O191+P226*P191+Q226*Q191+R226*R191+S226*S191+T226*T191+U226*U191+V226*V191+W226*W191+X226*X191+Y226*Y191+Z226*Z191+AA226*AA191+AB226*AB191+AC226*AC191+AD226*AD191+AE226*AE191+AF226*AF191+AG226*AG191+AH226*AH191+AI226*AI191+AJ226*AJ191+AK226*AK191+AL226*AL191+AM226*AM191+AN226*AN191+AO226*AO191+AP226*AP191+AQ226*AQ191+AR226*AR191+AS226*AS191+AT226*AT191+AU226*AU191+AV226*AV191+AW226*AW191+AX226*AX191+AY226*AY191+AZ226*AZ191+BA226*BA191+BB226*BB191+BC226*BC191+BD226*BD191+BE226*BE191+BF226*BF191+BG226*BG191+BH226*BH191+BI226*BI191+BJ226*BJ191+BK226*BK191+BL226*BL191+BM226*BM191+BN226*BN191+BO226*BO191+BP226*BP191+BQ226*BQ191+BR226*BR191+BS226*BS191+BT226*BT191+BU226*BU191+BV226*BV191+BW226*BW191+BX226*BX191+BY226*BY191+BZ226*BZ191+CA226*CA191+CB226*CB191+CC226*CC191</f>
        <v>0</v>
      </c>
      <c r="CM191" s="2387">
        <f>E227*E191+F227*F191+G227*G191+H227*H191+I227*I191+J227*J191+K227*K191+L227*L191+M227*M191+N227*N191+O227*O191+P227*P191+Q227*Q191+R227*R191+S227*S191+T227*T191+U227*U191+V227*V191+W227*W191+X227*X191+Y227*Y191+Z227*Z191+AA227*AA191+AB227*AB191+AC227*AC191+AD227*AD191+AE227*AE191+AF227*AF191+AG227*AG191+AH227*AH191+AI227*AI191+AJ227*AJ191+AK227*AK191+AL227*AL191+AM227*AM191+AN227*AN191+AO227*AO191+AP227*AP191+AQ227*AQ191+AR227*AR191+AS227*AS191+AT227*AT191+AU227*AU191+AV227*AV191+AW227*AW191+AX227*AX191+AY227*AY191+AZ227*AZ191+BA227*BA191+BB227*BB191+BC227*BC191+BD227*BD191+BE227*BE191+BF227*BF191+BG227*BG191+BH227*BH191+BI227*BI191+BJ227*BJ191+BK227*BK191+BL227*BL191+BM227*BM191+BN227*BN191+BO227*BO191+BP227*BP191+BQ227*BQ191+BR227*BR191+BS227*BS191+BT227*BT191+BU227*BU191+BV227*BV191+BW227*BW191+BX227*BX191+BY227*BY191+BZ227*BZ191+CA227*CA191+CB227*CB191+CC227*CC191</f>
        <v>0</v>
      </c>
      <c r="CN191" s="2387">
        <f>E228*E191+F228*F191+G228*G191+H228*H191+I228*I191+J228*J191+K228*K191+L228*L191+M228*M191+N228*N191+O228*O191+P228*P191+Q228*Q191+R228*R191+S228*S191+T228*T191+U228*U191+V228*V191+W228*W191+X228*X191+Y228*Y191+Z228*Z191+AA228*AA191+AB228*AB191+AC228*AC191+AD228*AD191+AE228*AE191+AF228*AF191+AG228*AG191+AH228*AH191+AI228*AI191+AJ228*AJ191+AK228*AK191+AL228*AL191+AM228*AM191+AN228*AN191+AO228*AO191+AP228*AP191+AQ228*AQ191+AR228*AR191+AS228*AS191+AT228*AT191+AU228*AU191+AV228*AV191+AW228*AW191+AX228*AX191+AY228*AY191+AZ228*AZ191+BA228*BA191+BB228*BB191+BC228*BC191+BD228*BD191+BE228*BE191+BF228*BF191+BG228*BG191+BH228*BH191+BI228*BI191+BJ228*BJ191+BK228*BK191+BL228*BL191+BM228*BM191+BN228*BN191+BO228*BO191+BP228*BP191+BQ228*BQ191+BR228*BR191+BS228*BS191+BT228*BT191+BU228*BU191+BV228*BV191+BW228*BW191+BX228*BX191+BY228*BY191+BZ228*BZ191+CA228*CA191+CB228*CB191+CC228*CC191</f>
        <v>0</v>
      </c>
      <c r="CO191" s="2387">
        <f>E229*E191+F229*F191+G229*G191+H229*H191+I229*I191+J229*J191+K229*K191+L229*L191+M229*M191+N229*N191+O229*O191+P229*P191+Q229*Q191+R229*R191+S229*S191+T229*T191+U229*U191+V229*V191+W229*W191+X229*X191+Y229*Y191+Z229*Z191+AA229*AA191+AB229*AB191+AC229*AC191+AD229*AD191+AE229*AE191+AF229*AF191+AG229*AG191+AH229*AH191+AI229*AI191+AJ229*AJ191+AK229*AK191+AL229*AL191+AM229*AM191+AN229*AN191+AO229*AO191+AP229*AP191+AQ229*AQ191+AR229*AR191+AS229*AS191+AT229*AT191+AU229*AU191+AV229*AV191+AW229*AW191+AX229*AX191+AY229*AY191+AZ229*AZ191+BA229*BA191+BB229*BB191+BC229*BC191+BD229*BD191+BE229*BE191+BF229*BF191+BG229*BG191+BH229*BH191+BI229*BI191+BJ229*BJ191+BK229*BK191+BL229*BL191+BM229*BM191+BN229*BN191+BO229*BO191+BP229*BP191+BQ229*BQ191+BR229*BR191+BS229*BS191+BT229*BT191+BU229*BU191+BV229*BV191+BW229*BW191+BX229*BX191+BY229*BY191+BZ229*BZ191+CA229*CA191+CB229*CB191+CC229*CC191</f>
        <v>0</v>
      </c>
      <c r="CP191" s="2387">
        <f>E230*E191+F230*F191+G230*G191+H230*H191+I230*I191+J230*J191+K230*K191+L230*L191+M230*M191+N230*N191+O230*O191+P230*P191+Q230*Q191+R230*R191+S230*S191+T230*T191+U230*U191+V230*V191+W230*W191+X230*X191+Y230*Y191+Z230*Z191+AA230*AA191+AB230*AB191+AC230*AC191+AD230*AD191+AE230*AE191+AF230*AF191+AG230*AG191+AH230*AH191+AI230*AI191+AJ230*AJ191+AK230*AK191+AL230*AL191+AM230*AM191+AN230*AN191+AO230*AO191+AP230*AP191+AQ230*AQ191+AR230*AR191+AS230*AS191+AT230*AT191+AU230*AU191+AV230*AV191+AW230*AW191+AX230*AX191+AY230*AY191+AZ230*AZ191+BA230*BA191+BB230*BB191+BC230*BC191+BD230*BD191+BE230*BE191+BF230*BF191+BG230*BG191+BH230*BH191+BI230*BI191+BJ230*BJ191+BK230*BK191+BL230*BL191+BM230*BM191+BN230*BN191+BO230*BO191+BP230*BP191+BQ230*BQ191+BR230*BR191+BS230*BS191+BT230*BT191+BU230*BU191+BV230*BV191+BW230*BW191+BX230*BX191+BY230*BY191+BZ230*BZ191+CA230*CA191+CB230*CB191+CC230*CC191</f>
        <v>0</v>
      </c>
    </row>
    <row r="192" spans="2:94" x14ac:dyDescent="0.25">
      <c r="B192" s="1595">
        <v>73</v>
      </c>
      <c r="C192" s="1084" t="s">
        <v>2945</v>
      </c>
      <c r="D192" s="1076" t="s">
        <v>3886</v>
      </c>
      <c r="E192" s="1622">
        <f>0</f>
        <v>0</v>
      </c>
      <c r="F192" s="1622">
        <f>0</f>
        <v>0</v>
      </c>
      <c r="G192" s="1622">
        <f>0</f>
        <v>0</v>
      </c>
      <c r="H192" s="1622">
        <f>0</f>
        <v>0</v>
      </c>
      <c r="I192" s="1622">
        <f>0</f>
        <v>0</v>
      </c>
      <c r="J192" s="1622">
        <f>0</f>
        <v>0</v>
      </c>
      <c r="K192" s="1622">
        <f>0</f>
        <v>0</v>
      </c>
      <c r="L192" s="1622">
        <f>0</f>
        <v>0</v>
      </c>
      <c r="M192" s="1622">
        <f>0</f>
        <v>0</v>
      </c>
      <c r="N192" s="1622">
        <f>0</f>
        <v>0</v>
      </c>
      <c r="O192" s="1622">
        <f>0</f>
        <v>0</v>
      </c>
      <c r="P192" s="1622">
        <f>0</f>
        <v>0</v>
      </c>
      <c r="Q192" s="1626">
        <f>0</f>
        <v>0</v>
      </c>
      <c r="R192" s="1622">
        <f>0</f>
        <v>0</v>
      </c>
      <c r="S192" s="1622">
        <f>0</f>
        <v>0</v>
      </c>
      <c r="T192" s="1622">
        <f>0</f>
        <v>0</v>
      </c>
      <c r="U192" s="1622">
        <f>0</f>
        <v>0</v>
      </c>
      <c r="V192" s="1622">
        <f>0</f>
        <v>0</v>
      </c>
      <c r="W192" s="1622">
        <f>0</f>
        <v>0</v>
      </c>
      <c r="X192" s="1622">
        <f>0</f>
        <v>0</v>
      </c>
      <c r="Y192" s="1622">
        <f>0</f>
        <v>0</v>
      </c>
      <c r="Z192" s="1622">
        <f>0</f>
        <v>0</v>
      </c>
      <c r="AA192" s="1622">
        <f>0</f>
        <v>0</v>
      </c>
      <c r="AB192" s="1622">
        <f>0</f>
        <v>0</v>
      </c>
      <c r="AC192" s="1117">
        <f>0</f>
        <v>0</v>
      </c>
      <c r="AD192" s="1622">
        <f>0</f>
        <v>0</v>
      </c>
      <c r="AE192" s="1622">
        <f>0</f>
        <v>0</v>
      </c>
      <c r="AF192" s="1117">
        <f>0</f>
        <v>0</v>
      </c>
      <c r="AG192" s="1622">
        <f>0</f>
        <v>0</v>
      </c>
      <c r="AH192" s="1626">
        <f>0</f>
        <v>0</v>
      </c>
      <c r="AI192" s="1622">
        <f>0</f>
        <v>0</v>
      </c>
      <c r="AJ192" s="1622">
        <f>0</f>
        <v>0</v>
      </c>
      <c r="AK192" s="1626">
        <f>0</f>
        <v>0</v>
      </c>
      <c r="AL192" s="1622">
        <f>0</f>
        <v>0</v>
      </c>
      <c r="AM192" s="1622">
        <f>0</f>
        <v>0</v>
      </c>
      <c r="AN192" s="1622">
        <f>0</f>
        <v>0</v>
      </c>
      <c r="AO192" s="1622">
        <f>0</f>
        <v>0</v>
      </c>
      <c r="AP192" s="1622">
        <f>0</f>
        <v>0</v>
      </c>
      <c r="AQ192" s="1622">
        <f>0</f>
        <v>0</v>
      </c>
      <c r="AR192" s="1626">
        <f>0</f>
        <v>0</v>
      </c>
      <c r="AS192" s="1622">
        <f>0</f>
        <v>0</v>
      </c>
      <c r="AT192" s="1622">
        <f>0</f>
        <v>0</v>
      </c>
      <c r="AU192" s="1622">
        <f>0</f>
        <v>0</v>
      </c>
      <c r="AV192" s="1626">
        <f>0</f>
        <v>0</v>
      </c>
      <c r="AW192" s="1622">
        <f>0</f>
        <v>0</v>
      </c>
      <c r="AX192" s="1626">
        <f>0</f>
        <v>0</v>
      </c>
      <c r="AY192" s="1626">
        <f>0</f>
        <v>0</v>
      </c>
      <c r="AZ192" s="1631">
        <f>0</f>
        <v>0</v>
      </c>
      <c r="BA192" s="1631">
        <f>0</f>
        <v>0</v>
      </c>
      <c r="BB192" s="1622">
        <f>0</f>
        <v>0</v>
      </c>
      <c r="BC192" s="1631">
        <f>-X_HAO_H/(X_HAO_H+X_HAO_H_P)</f>
        <v>-0.5</v>
      </c>
      <c r="BD192" s="1631">
        <f>X_HAO_H/(X_HAO_H+X_HAO_H_P)</f>
        <v>0.5</v>
      </c>
      <c r="BE192" s="1622">
        <f>0</f>
        <v>0</v>
      </c>
      <c r="BF192" s="1631">
        <f>-X_HAO_H_P/(X_HAO_H+X_HAO_H_P)</f>
        <v>-0.5</v>
      </c>
      <c r="BG192" s="1622">
        <f>0</f>
        <v>0</v>
      </c>
      <c r="BH192" s="1631">
        <f>X_HAO_H_P/(X_HAO_H+X_HAO_H_P)</f>
        <v>0.5</v>
      </c>
      <c r="BI192" s="1622">
        <f>0</f>
        <v>0</v>
      </c>
      <c r="BJ192" s="1626">
        <f>0</f>
        <v>0</v>
      </c>
      <c r="BK192" s="1626">
        <f>0</f>
        <v>0</v>
      </c>
      <c r="BL192" s="1626">
        <f>0</f>
        <v>0</v>
      </c>
      <c r="BM192" s="1626">
        <f>0</f>
        <v>0</v>
      </c>
      <c r="BN192" s="1626">
        <f>0</f>
        <v>0</v>
      </c>
      <c r="BO192" s="1626">
        <f>0</f>
        <v>0</v>
      </c>
      <c r="BP192" s="1643">
        <f>0</f>
        <v>0</v>
      </c>
      <c r="BQ192" s="2380">
        <f>0</f>
        <v>0</v>
      </c>
      <c r="BR192" s="1626">
        <f>0</f>
        <v>0</v>
      </c>
      <c r="BS192" s="1626">
        <f>0</f>
        <v>0</v>
      </c>
      <c r="BT192" s="1626">
        <f>0</f>
        <v>0</v>
      </c>
      <c r="BU192" s="1626">
        <f>0</f>
        <v>0</v>
      </c>
      <c r="BV192" s="1626">
        <f>0</f>
        <v>0</v>
      </c>
      <c r="BW192" s="1626">
        <f>0</f>
        <v>0</v>
      </c>
      <c r="BX192" s="1626">
        <f>0</f>
        <v>0</v>
      </c>
      <c r="BY192" s="1626">
        <f>0</f>
        <v>0</v>
      </c>
      <c r="BZ192" s="1626">
        <f>0</f>
        <v>0</v>
      </c>
      <c r="CA192" s="1626">
        <f>0</f>
        <v>0</v>
      </c>
      <c r="CB192" s="1626">
        <f>0</f>
        <v>0</v>
      </c>
      <c r="CC192" s="1626">
        <f>0</f>
        <v>0</v>
      </c>
      <c r="CD192" s="1660">
        <f>q_HAOH_AGING*(X_HAO_H+X_HAO_H_P)</f>
        <v>1.5E-48</v>
      </c>
      <c r="CF192" s="2385">
        <f>E220*E192+F220*F192+G220*G192+H220*H192+I220*I192+J220*J192+K220*K192+L220*L192+M220*M192+N220*N192+O220*O192+P220*P192+Q220*Q192+R220*R192+S220*S192+T220*T192+U220*U192+V220*V192+W220*W192+X220*X192+Y220*Y192+Z220*Z192+AA220*AA192+AB220*AB192+AC220*AC192+AD220*AD192+AE220*AE192+AF220*AF192+AG220*AG192+AH220*AH192+AI220*AI192+AJ220*AJ192+AK220*AK192+AL220*AL192+AM220*AM192+AN220*AN192+AO220*AO192+AP220*AP192+AQ220*AQ192+AR220*AR192+AS220*AS192+AT220*AT192+AU220*AU192+AV220*AV192+AW220*AW192+AX220*AX192+AY220*AY192+AZ220*AZ192+BA220*BA192+BB220*BB192+BC220*BC192+BD220*BD192+BE220*BE192+BF220*BF192+BG220*BG192+BH220*BH192+BI220*BI192+BJ220*BJ192+BK220*BK192+BL220*BL192+BM220*BM192+BN220*BN192+BO220*BO192+BP220*BP192+BQ220*BQ192+BR220*BR192+BS220*BS192+BT220*BT192+BU220*BU192+BV220*BV192+BW220*BW192+BX220*BX192+BY220*BY192+BZ220*BZ192+CA220*CA192+CB220*CB192+CC220*CC192</f>
        <v>0</v>
      </c>
      <c r="CG192" s="2385">
        <f>E221*E192+F221*F192+G221*G192+H221*H192+I221*I192+J221*J192+K221*K192+L221*L192+M221*M192+N221*N192+O221*O192+P221*P192+Q221*Q192+R221*R192+S221*S192+T221*T192+U221*U192+V221*V192+W221*W192+X221*X192+Y221*Y192+Z221*Z192+AA221*AA192+AB221*AB192+AC221*AC192+AD221*AD192+AE221*AE192+AF221*AF192+AG221*AG192+AH221*AH192+AI221*AI192+AJ221*AJ192+AK221*AK192+AL221*AL192+AM221*AM192+AN221*AN192+AO221*AO192+AP221*AP192+AQ221*AQ192+AR221*AR192+AS221*AS192+AT221*AT192+AU221*AU192+AV221*AV192+AW221*AW192+AX221*AX192+AY221*AY192+AZ221*AZ192+BA221*BA192+BB221*BB192+BC221*BC192+BD221*BD192+BE221*BE192+BF221*BF192+BG221*BG192+BH221*BH192+BI221*BI192+BJ221*BJ192+BK221*BK192+BL221*BL192+BM221*BM192+BN221*BN192+BO221*BO192+BP221*BP192+BQ221*BQ192+BR221*BR192+BS221*BS192+BT221*BT192+BU221*BU192+BV221*BV192+BW221*BW192+BX221*BX192+BY221*BY192+BZ221*BZ192+CA221*CA192+CB221*CB192+CC221*CC192</f>
        <v>0</v>
      </c>
      <c r="CH192" s="2386">
        <f>E222*E192+F222*F192+G222*G192+H222*H192+I222*I192+J222*J192+K222*K192+L222*L192+M222*M192+N222*N192+O222*O192+P222*P192+Q222*Q192+R222*R192+S222*S192+T222*T192+U222*U192+V222*V192+W222*W192+X222*X192+Y222*Y192+Z222*Z192+AA222*AA192+AB222*AB192+AC222*AC192+AD222*AD192+AE222*AE192+AF222*AF192+AG222*AG192+AH222*AH192+AI222*AI192+AJ222*AJ192+AK222*AK192+AL222*AL192+AM222*AM192+AN222*AN192+AO222*AO192+AP222*AP192+AQ222*AQ192+AR222*AR192+AS222*AS192+AT222*AT192+AU222*AU192+AV222*AV192+AW222*AW192+AX222*AX192+AY222*AY192+AZ222*AZ192+BA222*BA192+BB222*BB192+BC222*BC192+BD222*BD192+BE222*BE192+BF222*BF192+BG222*BG192+BH222*BH192+BI222*BI192+BJ222*BJ192+BK222*BK192+BL222*BL192+BM222*BM192+BN222*BN192+BO222*BO192+BP222*BP192+BQ222*BQ192+BR222*BR192+BS222*BS192+BT222*BT192+BU222*BU192+BV222*BV192+BW222*BW192+BX222*BX192+BY222*BY192+BZ222*BZ192+CA222*CA192+CB222*CB192+CC222*CC192</f>
        <v>0</v>
      </c>
      <c r="CI192" s="2387">
        <f>E223*E192+F223*F192+G223*G192+H223*H192+I223*I192+J223*J192+K223*K192+L223*L192+M223*M192+N223*N192+O223*O192+P223*P192+Q223*Q192+R223*R192+S223*S192+T223*T192+U223*U192+V223*V192+W223*W192+X223*X192+Y223*Y192+Z223*Z192+AA223*AA192+AB223*AB192+AC223*AC192+AD223*AD192+AE223*AE192+AF223*AF192+AG223*AG192+AH223*AH192+AI223*AI192+AJ223*AJ192+AK223*AK192+AL223*AL192+AM223*AM192+AN223*AN192+AO223*AO192+AP223*AP192+AQ223*AQ192+AR223*AR192+AS223*AS192+AT223*AT192+AU223*AU192+AV223*AV192+AW223*AW192+AX223*AX192+AY223*AY192+AZ223*AZ192+BA223*BA192+BB223*BB192+BC223*BC192+BD223*BD192+BE223*BE192+BF223*BF192+BG223*BG192+BH223*BH192+BI223*BI192+BJ223*BJ192+BK223*BK192+BL223*BL192+BM223*BM192+BN223*BN192+BO223*BO192+BP223*BP192+BQ223*BQ192+BR223*BR192+BS223*BS192+BT223*BT192+BU223*BU192+BV223*BV192+BW223*BW192+BX223*BX192+BY223*BY192+BZ223*BZ192+CA223*CA192+CB223*CB192+CC223*CC192</f>
        <v>0</v>
      </c>
      <c r="CJ192" s="2387">
        <f>E224*E192+F224*F192+G224*G192+H224*H192+I224*I192+J224*J192+K224*K192+L224*L192+M224*M192+N224*N192+O224*O192+P224*P192+Q224*Q192+R224*R192+S224*S192+T224*T192+U224*U192+V224*V192+W224*W192+X224*X192+Y224*Y192+Z224*Z192+AA224*AA192+AB224*AB192+AC224*AC192+AD224*AD192+AE224*AE192+AF224*AF192+AG224*AG192+AH224*AH192+AI224*AI192+AJ224*AJ192+AK224*AK192+AL224*AL192+AM224*AM192+AN224*AN192+AO224*AO192+AP224*AP192+AQ224*AQ192+AR224*AR192+AS224*AS192+AT224*AT192+AU224*AU192+AV224*AV192+AW224*AW192+AX224*AX192+AY224*AY192+AZ224*AZ192+BA224*BA192+BB224*BB192+BC224*BC192+BD224*BD192+BE224*BE192+BF224*BF192+BG224*BG192+BH224*BH192+BI224*BI192+BJ224*BJ192+BK224*BK192+BL224*BL192+BM224*BM192+BN224*BN192+BO224*BO192+BP224*BP192+BQ224*BQ192+BR224*BR192+BS224*BS192+BT224*BT192+BU224*BU192+BV224*BV192+BW224*BW192+BX224*BX192+BY224*BY192+BZ224*BZ192+CA224*CA192+CB224*CB192+CC224*CC192</f>
        <v>0</v>
      </c>
      <c r="CK192" s="2387">
        <f>E225*E192+F225*F192+G225*G192+H225*H192+I225*I192+J225*J192+K225*K192+L225*L192+M225*M192+N225*N192+O225*O192+P225*P192+Q225*Q192+R225*R192+S225*S192+T225*T192+U225*U192+V225*V192+W225*W192+X225*X192+Y225*Y192+Z225*Z192+AA225*AA192+AB225*AB192+AC225*AC192+AD225*AD192+AE225*AE192+AF225*AF192+AG225*AG192+AH225*AH192+AI225*AI192+AJ225*AJ192+AK225*AK192+AL225*AL192+AM225*AM192+AN225*AN192+AO225*AO192+AP225*AP192+AQ225*AQ192+AR225*AR192+AS225*AS192+AT225*AT192+AU225*AU192+AV225*AV192+AW225*AW192+AX225*AX192+AY225*AY192+AZ225*AZ192+BA225*BA192+BB225*BB192+BC225*BC192+BD225*BD192+BE225*BE192+BF225*BF192+BG225*BG192+BH225*BH192+BI225*BI192+BJ225*BJ192+BK225*BK192+BL225*BL192+BM225*BM192+BN225*BN192+BO225*BO192+BP225*BP192+BQ225*BQ192+BR225*BR192+BS225*BS192+BT225*BT192+BU225*BU192+BV225*BV192+BW225*BW192+BX225*BX192+BY225*BY192+BZ225*BZ192+CA225*CA192+CB225*CB192+CC225*CC192</f>
        <v>0</v>
      </c>
      <c r="CL192" s="2387">
        <f>E226*E192+F226*F192+G226*G192+H226*H192+I226*I192+J226*J192+K226*K192+L226*L192+M226*M192+N226*N192+O226*O192+P226*P192+Q226*Q192+R226*R192+S226*S192+T226*T192+U226*U192+V226*V192+W226*W192+X226*X192+Y226*Y192+Z226*Z192+AA226*AA192+AB226*AB192+AC226*AC192+AD226*AD192+AE226*AE192+AF226*AF192+AG226*AG192+AH226*AH192+AI226*AI192+AJ226*AJ192+AK226*AK192+AL226*AL192+AM226*AM192+AN226*AN192+AO226*AO192+AP226*AP192+AQ226*AQ192+AR226*AR192+AS226*AS192+AT226*AT192+AU226*AU192+AV226*AV192+AW226*AW192+AX226*AX192+AY226*AY192+AZ226*AZ192+BA226*BA192+BB226*BB192+BC226*BC192+BD226*BD192+BE226*BE192+BF226*BF192+BG226*BG192+BH226*BH192+BI226*BI192+BJ226*BJ192+BK226*BK192+BL226*BL192+BM226*BM192+BN226*BN192+BO226*BO192+BP226*BP192+BQ226*BQ192+BR226*BR192+BS226*BS192+BT226*BT192+BU226*BU192+BV226*BV192+BW226*BW192+BX226*BX192+BY226*BY192+BZ226*BZ192+CA226*CA192+CB226*CB192+CC226*CC192</f>
        <v>0</v>
      </c>
      <c r="CM192" s="2387">
        <f>E227*E192+F227*F192+G227*G192+H227*H192+I227*I192+J227*J192+K227*K192+L227*L192+M227*M192+N227*N192+O227*O192+P227*P192+Q227*Q192+R227*R192+S227*S192+T227*T192+U227*U192+V227*V192+W227*W192+X227*X192+Y227*Y192+Z227*Z192+AA227*AA192+AB227*AB192+AC227*AC192+AD227*AD192+AE227*AE192+AF227*AF192+AG227*AG192+AH227*AH192+AI227*AI192+AJ227*AJ192+AK227*AK192+AL227*AL192+AM227*AM192+AN227*AN192+AO227*AO192+AP227*AP192+AQ227*AQ192+AR227*AR192+AS227*AS192+AT227*AT192+AU227*AU192+AV227*AV192+AW227*AW192+AX227*AX192+AY227*AY192+AZ227*AZ192+BA227*BA192+BB227*BB192+BC227*BC192+BD227*BD192+BE227*BE192+BF227*BF192+BG227*BG192+BH227*BH192+BI227*BI192+BJ227*BJ192+BK227*BK192+BL227*BL192+BM227*BM192+BN227*BN192+BO227*BO192+BP227*BP192+BQ227*BQ192+BR227*BR192+BS227*BS192+BT227*BT192+BU227*BU192+BV227*BV192+BW227*BW192+BX227*BX192+BY227*BY192+BZ227*BZ192+CA227*CA192+CB227*CB192+CC227*CC192</f>
        <v>0</v>
      </c>
      <c r="CN192" s="2387">
        <f>E228*E192+F228*F192+G228*G192+H228*H192+I228*I192+J228*J192+K228*K192+L228*L192+M228*M192+N228*N192+O228*O192+P228*P192+Q228*Q192+R228*R192+S228*S192+T228*T192+U228*U192+V228*V192+W228*W192+X228*X192+Y228*Y192+Z228*Z192+AA228*AA192+AB228*AB192+AC228*AC192+AD228*AD192+AE228*AE192+AF228*AF192+AG228*AG192+AH228*AH192+AI228*AI192+AJ228*AJ192+AK228*AK192+AL228*AL192+AM228*AM192+AN228*AN192+AO228*AO192+AP228*AP192+AQ228*AQ192+AR228*AR192+AS228*AS192+AT228*AT192+AU228*AU192+AV228*AV192+AW228*AW192+AX228*AX192+AY228*AY192+AZ228*AZ192+BA228*BA192+BB228*BB192+BC228*BC192+BD228*BD192+BE228*BE192+BF228*BF192+BG228*BG192+BH228*BH192+BI228*BI192+BJ228*BJ192+BK228*BK192+BL228*BL192+BM228*BM192+BN228*BN192+BO228*BO192+BP228*BP192+BQ228*BQ192+BR228*BR192+BS228*BS192+BT228*BT192+BU228*BU192+BV228*BV192+BW228*BW192+BX228*BX192+BY228*BY192+BZ228*BZ192+CA228*CA192+CB228*CB192+CC228*CC192</f>
        <v>0</v>
      </c>
      <c r="CO192" s="2387">
        <f>E229*E192+F229*F192+G229*G192+H229*H192+I229*I192+J229*J192+K229*K192+L229*L192+M229*M192+N229*N192+O229*O192+P229*P192+Q229*Q192+R229*R192+S229*S192+T229*T192+U229*U192+V229*V192+W229*W192+X229*X192+Y229*Y192+Z229*Z192+AA229*AA192+AB229*AB192+AC229*AC192+AD229*AD192+AE229*AE192+AF229*AF192+AG229*AG192+AH229*AH192+AI229*AI192+AJ229*AJ192+AK229*AK192+AL229*AL192+AM229*AM192+AN229*AN192+AO229*AO192+AP229*AP192+AQ229*AQ192+AR229*AR192+AS229*AS192+AT229*AT192+AU229*AU192+AV229*AV192+AW229*AW192+AX229*AX192+AY229*AY192+AZ229*AZ192+BA229*BA192+BB229*BB192+BC229*BC192+BD229*BD192+BE229*BE192+BF229*BF192+BG229*BG192+BH229*BH192+BI229*BI192+BJ229*BJ192+BK229*BK192+BL229*BL192+BM229*BM192+BN229*BN192+BO229*BO192+BP229*BP192+BQ229*BQ192+BR229*BR192+BS229*BS192+BT229*BT192+BU229*BU192+BV229*BV192+BW229*BW192+BX229*BX192+BY229*BY192+BZ229*BZ192+CA229*CA192+CB229*CB192+CC229*CC192</f>
        <v>0</v>
      </c>
      <c r="CP192" s="2387">
        <f>E230*E192+F230*F192+G230*G192+H230*H192+I230*I192+J230*J192+K230*K192+L230*L192+M230*M192+N230*N192+O230*O192+P230*P192+Q230*Q192+R230*R192+S230*S192+T230*T192+U230*U192+V230*V192+W230*W192+X230*X192+Y230*Y192+Z230*Z192+AA230*AA192+AB230*AB192+AC230*AC192+AD230*AD192+AE230*AE192+AF230*AF192+AG230*AG192+AH230*AH192+AI230*AI192+AJ230*AJ192+AK230*AK192+AL230*AL192+AM230*AM192+AN230*AN192+AO230*AO192+AP230*AP192+AQ230*AQ192+AR230*AR192+AS230*AS192+AT230*AT192+AU230*AU192+AV230*AV192+AW230*AW192+AX230*AX192+AY230*AY192+AZ230*AZ192+BA230*BA192+BB230*BB192+BC230*BC192+BD230*BD192+BE230*BE192+BF230*BF192+BG230*BG192+BH230*BH192+BI230*BI192+BJ230*BJ192+BK230*BK192+BL230*BL192+BM230*BM192+BN230*BN192+BO230*BO192+BP230*BP192+BQ230*BQ192+BR230*BR192+BS230*BS192+BT230*BT192+BU230*BU192+BV230*BV192+BW230*BW192+BX230*BX192+BY230*BY192+BZ230*BZ192+CA230*CA192+CB230*CB192+CC230*CC192</f>
        <v>0</v>
      </c>
    </row>
    <row r="193" spans="2:94" x14ac:dyDescent="0.25">
      <c r="B193" s="1595">
        <v>74</v>
      </c>
      <c r="C193" s="1084" t="s">
        <v>2946</v>
      </c>
      <c r="D193" s="1076" t="s">
        <v>3892</v>
      </c>
      <c r="E193" s="1622">
        <f>0</f>
        <v>0</v>
      </c>
      <c r="F193" s="1622">
        <f>0</f>
        <v>0</v>
      </c>
      <c r="G193" s="1622">
        <f>0</f>
        <v>0</v>
      </c>
      <c r="H193" s="1622">
        <f>0</f>
        <v>0</v>
      </c>
      <c r="I193" s="1622">
        <f>0</f>
        <v>0</v>
      </c>
      <c r="J193" s="1622">
        <f>0</f>
        <v>0</v>
      </c>
      <c r="K193" s="1622">
        <f>0</f>
        <v>0</v>
      </c>
      <c r="L193" s="1622">
        <f>0</f>
        <v>0</v>
      </c>
      <c r="M193" s="1622">
        <f>0</f>
        <v>0</v>
      </c>
      <c r="N193" s="1622">
        <f>0</f>
        <v>0</v>
      </c>
      <c r="O193" s="1622">
        <f>0</f>
        <v>0</v>
      </c>
      <c r="P193" s="1622">
        <f>0</f>
        <v>0</v>
      </c>
      <c r="Q193" s="1626">
        <f>0</f>
        <v>0</v>
      </c>
      <c r="R193" s="1622">
        <f>0</f>
        <v>0</v>
      </c>
      <c r="S193" s="1622">
        <f>0</f>
        <v>0</v>
      </c>
      <c r="T193" s="1622">
        <f>0</f>
        <v>0</v>
      </c>
      <c r="U193" s="1622">
        <f>0</f>
        <v>0</v>
      </c>
      <c r="V193" s="1622">
        <f>0</f>
        <v>0</v>
      </c>
      <c r="W193" s="1622">
        <f>0</f>
        <v>0</v>
      </c>
      <c r="X193" s="1622">
        <f>0</f>
        <v>0</v>
      </c>
      <c r="Y193" s="1622">
        <f>0</f>
        <v>0</v>
      </c>
      <c r="Z193" s="1622">
        <f>0</f>
        <v>0</v>
      </c>
      <c r="AA193" s="1622">
        <f>0</f>
        <v>0</v>
      </c>
      <c r="AB193" s="1622">
        <f>0</f>
        <v>0</v>
      </c>
      <c r="AC193" s="1117">
        <f>0</f>
        <v>0</v>
      </c>
      <c r="AD193" s="1622">
        <f>0</f>
        <v>0</v>
      </c>
      <c r="AE193" s="1622">
        <f>0</f>
        <v>0</v>
      </c>
      <c r="AF193" s="1117">
        <f>0</f>
        <v>0</v>
      </c>
      <c r="AG193" s="1622">
        <f>0</f>
        <v>0</v>
      </c>
      <c r="AH193" s="1626">
        <f>0</f>
        <v>0</v>
      </c>
      <c r="AI193" s="1622">
        <f>0</f>
        <v>0</v>
      </c>
      <c r="AJ193" s="1622">
        <f>0</f>
        <v>0</v>
      </c>
      <c r="AK193" s="1626">
        <f>0</f>
        <v>0</v>
      </c>
      <c r="AL193" s="1622">
        <f>0</f>
        <v>0</v>
      </c>
      <c r="AM193" s="1622">
        <f>0</f>
        <v>0</v>
      </c>
      <c r="AN193" s="1622">
        <f>0</f>
        <v>0</v>
      </c>
      <c r="AO193" s="1622">
        <f>0</f>
        <v>0</v>
      </c>
      <c r="AP193" s="1622">
        <f>0</f>
        <v>0</v>
      </c>
      <c r="AQ193" s="1622">
        <f>0</f>
        <v>0</v>
      </c>
      <c r="AR193" s="1626">
        <f>0</f>
        <v>0</v>
      </c>
      <c r="AS193" s="1622">
        <f>0</f>
        <v>0</v>
      </c>
      <c r="AT193" s="1622">
        <f>0</f>
        <v>0</v>
      </c>
      <c r="AU193" s="1622">
        <f>0</f>
        <v>0</v>
      </c>
      <c r="AV193" s="1626">
        <f>0</f>
        <v>0</v>
      </c>
      <c r="AW193" s="1622">
        <f>0</f>
        <v>0</v>
      </c>
      <c r="AX193" s="1626">
        <f>0</f>
        <v>0</v>
      </c>
      <c r="AY193" s="1626">
        <f>0</f>
        <v>0</v>
      </c>
      <c r="AZ193" s="1622">
        <f>0</f>
        <v>0</v>
      </c>
      <c r="BA193" s="1631">
        <f>0</f>
        <v>0</v>
      </c>
      <c r="BB193" s="1631">
        <f>0</f>
        <v>0</v>
      </c>
      <c r="BC193" s="1622">
        <f>0</f>
        <v>0</v>
      </c>
      <c r="BD193" s="1631">
        <f>-X_HAO_L/(X_HAO_L+X_HAO_L_P)</f>
        <v>-0.5</v>
      </c>
      <c r="BE193" s="1631">
        <f>X_HAO_L/(X_HAO_L+X_HAO_L_P)</f>
        <v>0.5</v>
      </c>
      <c r="BF193" s="1631">
        <f>0</f>
        <v>0</v>
      </c>
      <c r="BG193" s="1631">
        <f>-X_HAO_L_P/(X_HAO_L+X_HAO_L_P)</f>
        <v>-0.5</v>
      </c>
      <c r="BH193" s="1631">
        <f>0</f>
        <v>0</v>
      </c>
      <c r="BI193" s="1631">
        <f>X_HAO_L_P/(X_HAO_L+X_HAO_L_P)</f>
        <v>0.5</v>
      </c>
      <c r="BJ193" s="1626">
        <f>0</f>
        <v>0</v>
      </c>
      <c r="BK193" s="1626">
        <f>0</f>
        <v>0</v>
      </c>
      <c r="BL193" s="1626">
        <f>0</f>
        <v>0</v>
      </c>
      <c r="BM193" s="1626">
        <f>0</f>
        <v>0</v>
      </c>
      <c r="BN193" s="1626">
        <f>0</f>
        <v>0</v>
      </c>
      <c r="BO193" s="1626">
        <f>0</f>
        <v>0</v>
      </c>
      <c r="BP193" s="1643">
        <f>0</f>
        <v>0</v>
      </c>
      <c r="BQ193" s="2380">
        <f>0</f>
        <v>0</v>
      </c>
      <c r="BR193" s="1626">
        <f>0</f>
        <v>0</v>
      </c>
      <c r="BS193" s="1626">
        <f>0</f>
        <v>0</v>
      </c>
      <c r="BT193" s="1626">
        <f>0</f>
        <v>0</v>
      </c>
      <c r="BU193" s="1626">
        <f>0</f>
        <v>0</v>
      </c>
      <c r="BV193" s="1626">
        <f>0</f>
        <v>0</v>
      </c>
      <c r="BW193" s="1626">
        <f>0</f>
        <v>0</v>
      </c>
      <c r="BX193" s="1626">
        <f>0</f>
        <v>0</v>
      </c>
      <c r="BY193" s="1626">
        <f>0</f>
        <v>0</v>
      </c>
      <c r="BZ193" s="1626">
        <f>0</f>
        <v>0</v>
      </c>
      <c r="CA193" s="1626">
        <f>0</f>
        <v>0</v>
      </c>
      <c r="CB193" s="1626">
        <f>0</f>
        <v>0</v>
      </c>
      <c r="CC193" s="1626">
        <f>0</f>
        <v>0</v>
      </c>
      <c r="CD193" s="1660">
        <f>q_HAOL_AGING*(X_HAO_L+X_HAO_L_P)</f>
        <v>2E-50</v>
      </c>
      <c r="CF193" s="2385">
        <f>E220*E193+F220*F193+G220*G193+H220*H193+I220*I193+J220*J193+K220*K193+L220*L193+M220*M193+N220*N193+O220*O193+P220*P193+Q220*Q193+R220*R193+S220*S193+T220*T193+U220*U193+V220*V193+W220*W193+X220*X193+Y220*Y193+Z220*Z193+AA220*AA193+AB220*AB193+AC220*AC193+AD220*AD193+AE220*AE193+AF220*AF193+AG220*AG193+AH220*AH193+AI220*AI193+AJ220*AJ193+AK220*AK193+AL220*AL193+AM220*AM193+AN220*AN193+AO220*AO193+AP220*AP193+AQ220*AQ193+AR220*AR193+AS220*AS193+AT220*AT193+AU220*AU193+AV220*AV193+AW220*AW193+AX220*AX193+AY220*AY193+AZ220*AZ193+BA220*BA193+BB220*BB193+BC220*BC193+BD220*BD193+BE220*BE193+BF220*BF193+BG220*BG193+BH220*BH193+BI220*BI193+BJ220*BJ193+BK220*BK193+BL220*BL193+BM220*BM193+BN220*BN193+BO220*BO193+BP220*BP193+BQ220*BQ193+BR220*BR193+BS220*BS193+BT220*BT193+BU220*BU193+BV220*BV193+BW220*BW193+BX220*BX193+BY220*BY193+BZ220*BZ193+CA220*CA193+CB220*CB193+CC220*CC193</f>
        <v>0</v>
      </c>
      <c r="CG193" s="2385">
        <f>E221*E193+F221*F193+G221*G193+H221*H193+I221*I193+J221*J193+K221*K193+L221*L193+M221*M193+N221*N193+O221*O193+P221*P193+Q221*Q193+R221*R193+S221*S193+T221*T193+U221*U193+V221*V193+W221*W193+X221*X193+Y221*Y193+Z221*Z193+AA221*AA193+AB221*AB193+AC221*AC193+AD221*AD193+AE221*AE193+AF221*AF193+AG221*AG193+AH221*AH193+AI221*AI193+AJ221*AJ193+AK221*AK193+AL221*AL193+AM221*AM193+AN221*AN193+AO221*AO193+AP221*AP193+AQ221*AQ193+AR221*AR193+AS221*AS193+AT221*AT193+AU221*AU193+AV221*AV193+AW221*AW193+AX221*AX193+AY221*AY193+AZ221*AZ193+BA221*BA193+BB221*BB193+BC221*BC193+BD221*BD193+BE221*BE193+BF221*BF193+BG221*BG193+BH221*BH193+BI221*BI193+BJ221*BJ193+BK221*BK193+BL221*BL193+BM221*BM193+BN221*BN193+BO221*BO193+BP221*BP193+BQ221*BQ193+BR221*BR193+BS221*BS193+BT221*BT193+BU221*BU193+BV221*BV193+BW221*BW193+BX221*BX193+BY221*BY193+BZ221*BZ193+CA221*CA193+CB221*CB193+CC221*CC193</f>
        <v>0</v>
      </c>
      <c r="CH193" s="2386">
        <f>E222*E193+F222*F193+G222*G193+H222*H193+I222*I193+J222*J193+K222*K193+L222*L193+M222*M193+N222*N193+O222*O193+P222*P193+Q222*Q193+R222*R193+S222*S193+T222*T193+U222*U193+V222*V193+W222*W193+X222*X193+Y222*Y193+Z222*Z193+AA222*AA193+AB222*AB193+AC222*AC193+AD222*AD193+AE222*AE193+AF222*AF193+AG222*AG193+AH222*AH193+AI222*AI193+AJ222*AJ193+AK222*AK193+AL222*AL193+AM222*AM193+AN222*AN193+AO222*AO193+AP222*AP193+AQ222*AQ193+AR222*AR193+AS222*AS193+AT222*AT193+AU222*AU193+AV222*AV193+AW222*AW193+AX222*AX193+AY222*AY193+AZ222*AZ193+BA222*BA193+BB222*BB193+BC222*BC193+BD222*BD193+BE222*BE193+BF222*BF193+BG222*BG193+BH222*BH193+BI222*BI193+BJ222*BJ193+BK222*BK193+BL222*BL193+BM222*BM193+BN222*BN193+BO222*BO193+BP222*BP193+BQ222*BQ193+BR222*BR193+BS222*BS193+BT222*BT193+BU222*BU193+BV222*BV193+BW222*BW193+BX222*BX193+BY222*BY193+BZ222*BZ193+CA222*CA193+CB222*CB193+CC222*CC193</f>
        <v>0</v>
      </c>
      <c r="CI193" s="2387">
        <f>E223*E193+F223*F193+G223*G193+H223*H193+I223*I193+J223*J193+K223*K193+L223*L193+M223*M193+N223*N193+O223*O193+P223*P193+Q223*Q193+R223*R193+S223*S193+T223*T193+U223*U193+V223*V193+W223*W193+X223*X193+Y223*Y193+Z223*Z193+AA223*AA193+AB223*AB193+AC223*AC193+AD223*AD193+AE223*AE193+AF223*AF193+AG223*AG193+AH223*AH193+AI223*AI193+AJ223*AJ193+AK223*AK193+AL223*AL193+AM223*AM193+AN223*AN193+AO223*AO193+AP223*AP193+AQ223*AQ193+AR223*AR193+AS223*AS193+AT223*AT193+AU223*AU193+AV223*AV193+AW223*AW193+AX223*AX193+AY223*AY193+AZ223*AZ193+BA223*BA193+BB223*BB193+BC223*BC193+BD223*BD193+BE223*BE193+BF223*BF193+BG223*BG193+BH223*BH193+BI223*BI193+BJ223*BJ193+BK223*BK193+BL223*BL193+BM223*BM193+BN223*BN193+BO223*BO193+BP223*BP193+BQ223*BQ193+BR223*BR193+BS223*BS193+BT223*BT193+BU223*BU193+BV223*BV193+BW223*BW193+BX223*BX193+BY223*BY193+BZ223*BZ193+CA223*CA193+CB223*CB193+CC223*CC193</f>
        <v>0</v>
      </c>
      <c r="CJ193" s="2387">
        <f>E224*E193+F224*F193+G224*G193+H224*H193+I224*I193+J224*J193+K224*K193+L224*L193+M224*M193+N224*N193+O224*O193+P224*P193+Q224*Q193+R224*R193+S224*S193+T224*T193+U224*U193+V224*V193+W224*W193+X224*X193+Y224*Y193+Z224*Z193+AA224*AA193+AB224*AB193+AC224*AC193+AD224*AD193+AE224*AE193+AF224*AF193+AG224*AG193+AH224*AH193+AI224*AI193+AJ224*AJ193+AK224*AK193+AL224*AL193+AM224*AM193+AN224*AN193+AO224*AO193+AP224*AP193+AQ224*AQ193+AR224*AR193+AS224*AS193+AT224*AT193+AU224*AU193+AV224*AV193+AW224*AW193+AX224*AX193+AY224*AY193+AZ224*AZ193+BA224*BA193+BB224*BB193+BC224*BC193+BD224*BD193+BE224*BE193+BF224*BF193+BG224*BG193+BH224*BH193+BI224*BI193+BJ224*BJ193+BK224*BK193+BL224*BL193+BM224*BM193+BN224*BN193+BO224*BO193+BP224*BP193+BQ224*BQ193+BR224*BR193+BS224*BS193+BT224*BT193+BU224*BU193+BV224*BV193+BW224*BW193+BX224*BX193+BY224*BY193+BZ224*BZ193+CA224*CA193+CB224*CB193+CC224*CC193</f>
        <v>0</v>
      </c>
      <c r="CK193" s="2387">
        <f>E225*E193+F225*F193+G225*G193+H225*H193+I225*I193+J225*J193+K225*K193+L225*L193+M225*M193+N225*N193+O225*O193+P225*P193+Q225*Q193+R225*R193+S225*S193+T225*T193+U225*U193+V225*V193+W225*W193+X225*X193+Y225*Y193+Z225*Z193+AA225*AA193+AB225*AB193+AC225*AC193+AD225*AD193+AE225*AE193+AF225*AF193+AG225*AG193+AH225*AH193+AI225*AI193+AJ225*AJ193+AK225*AK193+AL225*AL193+AM225*AM193+AN225*AN193+AO225*AO193+AP225*AP193+AQ225*AQ193+AR225*AR193+AS225*AS193+AT225*AT193+AU225*AU193+AV225*AV193+AW225*AW193+AX225*AX193+AY225*AY193+AZ225*AZ193+BA225*BA193+BB225*BB193+BC225*BC193+BD225*BD193+BE225*BE193+BF225*BF193+BG225*BG193+BH225*BH193+BI225*BI193+BJ225*BJ193+BK225*BK193+BL225*BL193+BM225*BM193+BN225*BN193+BO225*BO193+BP225*BP193+BQ225*BQ193+BR225*BR193+BS225*BS193+BT225*BT193+BU225*BU193+BV225*BV193+BW225*BW193+BX225*BX193+BY225*BY193+BZ225*BZ193+CA225*CA193+CB225*CB193+CC225*CC193</f>
        <v>0</v>
      </c>
      <c r="CL193" s="2387">
        <f>E226*E193+F226*F193+G226*G193+H226*H193+I226*I193+J226*J193+K226*K193+L226*L193+M226*M193+N226*N193+O226*O193+P226*P193+Q226*Q193+R226*R193+S226*S193+T226*T193+U226*U193+V226*V193+W226*W193+X226*X193+Y226*Y193+Z226*Z193+AA226*AA193+AB226*AB193+AC226*AC193+AD226*AD193+AE226*AE193+AF226*AF193+AG226*AG193+AH226*AH193+AI226*AI193+AJ226*AJ193+AK226*AK193+AL226*AL193+AM226*AM193+AN226*AN193+AO226*AO193+AP226*AP193+AQ226*AQ193+AR226*AR193+AS226*AS193+AT226*AT193+AU226*AU193+AV226*AV193+AW226*AW193+AX226*AX193+AY226*AY193+AZ226*AZ193+BA226*BA193+BB226*BB193+BC226*BC193+BD226*BD193+BE226*BE193+BF226*BF193+BG226*BG193+BH226*BH193+BI226*BI193+BJ226*BJ193+BK226*BK193+BL226*BL193+BM226*BM193+BN226*BN193+BO226*BO193+BP226*BP193+BQ226*BQ193+BR226*BR193+BS226*BS193+BT226*BT193+BU226*BU193+BV226*BV193+BW226*BW193+BX226*BX193+BY226*BY193+BZ226*BZ193+CA226*CA193+CB226*CB193+CC226*CC193</f>
        <v>0</v>
      </c>
      <c r="CM193" s="2387">
        <f>E227*E193+F227*F193+G227*G193+H227*H193+I227*I193+J227*J193+K227*K193+L227*L193+M227*M193+N227*N193+O227*O193+P227*P193+Q227*Q193+R227*R193+S227*S193+T227*T193+U227*U193+V227*V193+W227*W193+X227*X193+Y227*Y193+Z227*Z193+AA227*AA193+AB227*AB193+AC227*AC193+AD227*AD193+AE227*AE193+AF227*AF193+AG227*AG193+AH227*AH193+AI227*AI193+AJ227*AJ193+AK227*AK193+AL227*AL193+AM227*AM193+AN227*AN193+AO227*AO193+AP227*AP193+AQ227*AQ193+AR227*AR193+AS227*AS193+AT227*AT193+AU227*AU193+AV227*AV193+AW227*AW193+AX227*AX193+AY227*AY193+AZ227*AZ193+BA227*BA193+BB227*BB193+BC227*BC193+BD227*BD193+BE227*BE193+BF227*BF193+BG227*BG193+BH227*BH193+BI227*BI193+BJ227*BJ193+BK227*BK193+BL227*BL193+BM227*BM193+BN227*BN193+BO227*BO193+BP227*BP193+BQ227*BQ193+BR227*BR193+BS227*BS193+BT227*BT193+BU227*BU193+BV227*BV193+BW227*BW193+BX227*BX193+BY227*BY193+BZ227*BZ193+CA227*CA193+CB227*CB193+CC227*CC193</f>
        <v>0</v>
      </c>
      <c r="CN193" s="2387">
        <f>E228*E193+F228*F193+G228*G193+H228*H193+I228*I193+J228*J193+K228*K193+L228*L193+M228*M193+N228*N193+O228*O193+P228*P193+Q228*Q193+R228*R193+S228*S193+T228*T193+U228*U193+V228*V193+W228*W193+X228*X193+Y228*Y193+Z228*Z193+AA228*AA193+AB228*AB193+AC228*AC193+AD228*AD193+AE228*AE193+AF228*AF193+AG228*AG193+AH228*AH193+AI228*AI193+AJ228*AJ193+AK228*AK193+AL228*AL193+AM228*AM193+AN228*AN193+AO228*AO193+AP228*AP193+AQ228*AQ193+AR228*AR193+AS228*AS193+AT228*AT193+AU228*AU193+AV228*AV193+AW228*AW193+AX228*AX193+AY228*AY193+AZ228*AZ193+BA228*BA193+BB228*BB193+BC228*BC193+BD228*BD193+BE228*BE193+BF228*BF193+BG228*BG193+BH228*BH193+BI228*BI193+BJ228*BJ193+BK228*BK193+BL228*BL193+BM228*BM193+BN228*BN193+BO228*BO193+BP228*BP193+BQ228*BQ193+BR228*BR193+BS228*BS193+BT228*BT193+BU228*BU193+BV228*BV193+BW228*BW193+BX228*BX193+BY228*BY193+BZ228*BZ193+CA228*CA193+CB228*CB193+CC228*CC193</f>
        <v>0</v>
      </c>
      <c r="CO193" s="2387">
        <f>E229*E193+F229*F193+G229*G193+H229*H193+I229*I193+J229*J193+K229*K193+L229*L193+M229*M193+N229*N193+O229*O193+P229*P193+Q229*Q193+R229*R193+S229*S193+T229*T193+U229*U193+V229*V193+W229*W193+X229*X193+Y229*Y193+Z229*Z193+AA229*AA193+AB229*AB193+AC229*AC193+AD229*AD193+AE229*AE193+AF229*AF193+AG229*AG193+AH229*AH193+AI229*AI193+AJ229*AJ193+AK229*AK193+AL229*AL193+AM229*AM193+AN229*AN193+AO229*AO193+AP229*AP193+AQ229*AQ193+AR229*AR193+AS229*AS193+AT229*AT193+AU229*AU193+AV229*AV193+AW229*AW193+AX229*AX193+AY229*AY193+AZ229*AZ193+BA229*BA193+BB229*BB193+BC229*BC193+BD229*BD193+BE229*BE193+BF229*BF193+BG229*BG193+BH229*BH193+BI229*BI193+BJ229*BJ193+BK229*BK193+BL229*BL193+BM229*BM193+BN229*BN193+BO229*BO193+BP229*BP193+BQ229*BQ193+BR229*BR193+BS229*BS193+BT229*BT193+BU229*BU193+BV229*BV193+BW229*BW193+BX229*BX193+BY229*BY193+BZ229*BZ193+CA229*CA193+CB229*CB193+CC229*CC193</f>
        <v>0</v>
      </c>
      <c r="CP193" s="2387">
        <f>E230*E193+F230*F193+G230*G193+H230*H193+I230*I193+J230*J193+K230*K193+L230*L193+M230*M193+N230*N193+O230*O193+P230*P193+Q230*Q193+R230*R193+S230*S193+T230*T193+U230*U193+V230*V193+W230*W193+X230*X193+Y230*Y193+Z230*Z193+AA230*AA193+AB230*AB193+AC230*AC193+AD230*AD193+AE230*AE193+AF230*AF193+AG230*AG193+AH230*AH193+AI230*AI193+AJ230*AJ193+AK230*AK193+AL230*AL193+AM230*AM193+AN230*AN193+AO230*AO193+AP230*AP193+AQ230*AQ193+AR230*AR193+AS230*AS193+AT230*AT193+AU230*AU193+AV230*AV193+AW230*AW193+AX230*AX193+AY230*AY193+AZ230*AZ193+BA230*BA193+BB230*BB193+BC230*BC193+BD230*BD193+BE230*BE193+BF230*BF193+BG230*BG193+BH230*BH193+BI230*BI193+BJ230*BJ193+BK230*BK193+BL230*BL193+BM230*BM193+BN230*BN193+BO230*BO193+BP230*BP193+BQ230*BQ193+BR230*BR193+BS230*BS193+BT230*BT193+BU230*BU193+BV230*BV193+BW230*BW193+BX230*BX193+BY230*BY193+BZ230*BZ193+CA230*CA193+CB230*CB193+CC230*CC193</f>
        <v>0</v>
      </c>
    </row>
    <row r="194" spans="2:94" x14ac:dyDescent="0.25">
      <c r="B194" s="1595">
        <v>75</v>
      </c>
      <c r="C194" s="1084" t="s">
        <v>3068</v>
      </c>
      <c r="D194" s="1076" t="s">
        <v>3898</v>
      </c>
      <c r="E194" s="1622">
        <f>0</f>
        <v>0</v>
      </c>
      <c r="F194" s="1622">
        <f>0</f>
        <v>0</v>
      </c>
      <c r="G194" s="1622">
        <f>0</f>
        <v>0</v>
      </c>
      <c r="H194" s="1622">
        <f>0</f>
        <v>0</v>
      </c>
      <c r="I194" s="1622">
        <f>0</f>
        <v>0</v>
      </c>
      <c r="J194" s="1622">
        <f>0</f>
        <v>0</v>
      </c>
      <c r="K194" s="1622">
        <f>0</f>
        <v>0</v>
      </c>
      <c r="L194" s="1622">
        <f>0</f>
        <v>0</v>
      </c>
      <c r="M194" s="1622">
        <f>0</f>
        <v>0</v>
      </c>
      <c r="N194" s="1622">
        <f>0</f>
        <v>0</v>
      </c>
      <c r="O194" s="1622">
        <f>0</f>
        <v>0</v>
      </c>
      <c r="P194" s="1622">
        <f>0</f>
        <v>0</v>
      </c>
      <c r="Q194" s="1626">
        <f>0</f>
        <v>0</v>
      </c>
      <c r="R194" s="1622">
        <f>0</f>
        <v>0</v>
      </c>
      <c r="S194" s="1622">
        <f>0</f>
        <v>0</v>
      </c>
      <c r="T194" s="1622">
        <f>0</f>
        <v>0</v>
      </c>
      <c r="U194" s="1622">
        <f>0</f>
        <v>0</v>
      </c>
      <c r="V194" s="1622">
        <f>0</f>
        <v>0</v>
      </c>
      <c r="W194" s="1622">
        <f>0</f>
        <v>0</v>
      </c>
      <c r="X194" s="1622">
        <f>0</f>
        <v>0</v>
      </c>
      <c r="Y194" s="1622">
        <f>0</f>
        <v>0</v>
      </c>
      <c r="Z194" s="1622">
        <f>0</f>
        <v>0</v>
      </c>
      <c r="AA194" s="1622">
        <f>0</f>
        <v>0</v>
      </c>
      <c r="AB194" s="1622">
        <f>0</f>
        <v>0</v>
      </c>
      <c r="AC194" s="1117">
        <f>0</f>
        <v>0</v>
      </c>
      <c r="AD194" s="1622">
        <f>0</f>
        <v>0</v>
      </c>
      <c r="AE194" s="1622">
        <f>0</f>
        <v>0</v>
      </c>
      <c r="AF194" s="1117">
        <f>-1</f>
        <v>-1</v>
      </c>
      <c r="AG194" s="1622">
        <f>0</f>
        <v>0</v>
      </c>
      <c r="AH194" s="1626">
        <f>0</f>
        <v>0</v>
      </c>
      <c r="AI194" s="1622">
        <f>0</f>
        <v>0</v>
      </c>
      <c r="AJ194" s="1622">
        <f>0</f>
        <v>0</v>
      </c>
      <c r="AK194" s="1626">
        <f>0</f>
        <v>0</v>
      </c>
      <c r="AL194" s="1622">
        <f>0</f>
        <v>0</v>
      </c>
      <c r="AM194" s="1622">
        <f>0</f>
        <v>0</v>
      </c>
      <c r="AN194" s="1622">
        <f>0</f>
        <v>0</v>
      </c>
      <c r="AO194" s="1622">
        <f>0</f>
        <v>0</v>
      </c>
      <c r="AP194" s="1622">
        <f>0</f>
        <v>0</v>
      </c>
      <c r="AQ194" s="1622">
        <f>0</f>
        <v>0</v>
      </c>
      <c r="AR194" s="1626">
        <f>0</f>
        <v>0</v>
      </c>
      <c r="AS194" s="1622">
        <f>0</f>
        <v>0</v>
      </c>
      <c r="AT194" s="1622">
        <f>0</f>
        <v>0</v>
      </c>
      <c r="AU194" s="1622">
        <f>0</f>
        <v>0</v>
      </c>
      <c r="AV194" s="1626">
        <f>0</f>
        <v>0</v>
      </c>
      <c r="AW194" s="1622">
        <f>0</f>
        <v>0</v>
      </c>
      <c r="AX194" s="1626">
        <f>0</f>
        <v>0</v>
      </c>
      <c r="AY194" s="1626">
        <f>0</f>
        <v>0</v>
      </c>
      <c r="AZ194" s="1626">
        <f>0</f>
        <v>0</v>
      </c>
      <c r="BA194" s="1622">
        <f>0</f>
        <v>0</v>
      </c>
      <c r="BB194" s="1622">
        <f>0</f>
        <v>0</v>
      </c>
      <c r="BC194" s="1626">
        <f>-1/(A_SFHAO_H*(A_MP/A_MAl))</f>
        <v>-0.87110825691042471</v>
      </c>
      <c r="BD194" s="1622">
        <f>0</f>
        <v>0</v>
      </c>
      <c r="BE194" s="1622">
        <f>0</f>
        <v>0</v>
      </c>
      <c r="BF194" s="1626">
        <f>1/(A_SFHAO_H*(A_MP/A_MAl))</f>
        <v>0.87110825691042471</v>
      </c>
      <c r="BG194" s="1622">
        <f>0</f>
        <v>0</v>
      </c>
      <c r="BH194" s="1626">
        <f>0</f>
        <v>0</v>
      </c>
      <c r="BI194" s="1626">
        <f>0</f>
        <v>0</v>
      </c>
      <c r="BJ194" s="1626">
        <f>0</f>
        <v>0</v>
      </c>
      <c r="BK194" s="1626">
        <f>0</f>
        <v>0</v>
      </c>
      <c r="BL194" s="1626">
        <f>0</f>
        <v>0</v>
      </c>
      <c r="BM194" s="1626">
        <f>0</f>
        <v>0</v>
      </c>
      <c r="BN194" s="1626">
        <f>0</f>
        <v>0</v>
      </c>
      <c r="BO194" s="1626">
        <f>0</f>
        <v>0</v>
      </c>
      <c r="BP194" s="1643">
        <f>0</f>
        <v>0</v>
      </c>
      <c r="BQ194" s="2380">
        <f>0</f>
        <v>0</v>
      </c>
      <c r="BR194" s="1626">
        <f>0</f>
        <v>0</v>
      </c>
      <c r="BS194" s="1626">
        <f>0</f>
        <v>0</v>
      </c>
      <c r="BT194" s="1626">
        <f>0</f>
        <v>0</v>
      </c>
      <c r="BU194" s="1626">
        <f>0</f>
        <v>0</v>
      </c>
      <c r="BV194" s="1626">
        <f>0</f>
        <v>0</v>
      </c>
      <c r="BW194" s="1626">
        <f>0</f>
        <v>0</v>
      </c>
      <c r="BX194" s="1626">
        <f>0</f>
        <v>0</v>
      </c>
      <c r="BY194" s="1626">
        <f>0</f>
        <v>0</v>
      </c>
      <c r="BZ194" s="1626">
        <f>0</f>
        <v>0</v>
      </c>
      <c r="CA194" s="1626">
        <f>0</f>
        <v>0</v>
      </c>
      <c r="CB194" s="1626">
        <f>0</f>
        <v>0</v>
      </c>
      <c r="CC194" s="1626">
        <f>0</f>
        <v>0</v>
      </c>
      <c r="CD194" s="1660">
        <f>q_P_HAO_COPREC*X_HAO_H*M_satSPO4_KP_HAO_BIND</f>
        <v>1.4583333333333333E-48</v>
      </c>
      <c r="CF194" s="2385">
        <f>E220*E194+F220*F194+G220*G194+H220*H194+I220*I194+J220*J194+K220*K194+L220*L194+M220*M194+N220*N194+O220*O194+P220*P194+Q220*Q194+R220*R194+S220*S194+T220*T194+U220*U194+V220*V194+W220*W194+X220*X194+Y220*Y194+Z220*Z194+AA220*AA194+AB220*AB194+AC220*AC194+AD220*AD194+AE220*AE194+AF220*AF194+AG220*AG194+AH220*AH194+AI220*AI194+AJ220*AJ194+AK220*AK194+AL220*AL194+AM220*AM194+AN220*AN194+AO220*AO194+AP220*AP194+AQ220*AQ194+AR220*AR194+AS220*AS194+AT220*AT194+AU220*AU194+AV220*AV194+AW220*AW194+AX220*AX194+AY220*AY194+AZ220*AZ194+BA220*BA194+BB220*BB194+BC220*BC194+BD220*BD194+BE220*BE194+BF220*BF194+BG220*BG194+BH220*BH194+BI220*BI194+BJ220*BJ194+BK220*BK194+BL220*BL194+BM220*BM194+BN220*BN194+BO220*BO194+BP220*BP194+BQ220*BQ194+BR220*BR194+BS220*BS194+BT220*BT194+BU220*BU194+BV220*BV194+BW220*BW194+BX220*BX194+BY220*BY194+BZ220*BZ194+CA220*CA194+CB220*CB194+CC220*CC194</f>
        <v>0</v>
      </c>
      <c r="CG194" s="2385">
        <f>E221*E194+F221*F194+G221*G194+H221*H194+I221*I194+J221*J194+K221*K194+L221*L194+M221*M194+N221*N194+O221*O194+P221*P194+Q221*Q194+R221*R194+S221*S194+T221*T194+U221*U194+V221*V194+W221*W194+X221*X194+Y221*Y194+Z221*Z194+AA221*AA194+AB221*AB194+AC221*AC194+AD221*AD194+AE221*AE194+AF221*AF194+AG221*AG194+AH221*AH194+AI221*AI194+AJ221*AJ194+AK221*AK194+AL221*AL194+AM221*AM194+AN221*AN194+AO221*AO194+AP221*AP194+AQ221*AQ194+AR221*AR194+AS221*AS194+AT221*AT194+AU221*AU194+AV221*AV194+AW221*AW194+AX221*AX194+AY221*AY194+AZ221*AZ194+BA221*BA194+BB221*BB194+BC221*BC194+BD221*BD194+BE221*BE194+BF221*BF194+BG221*BG194+BH221*BH194+BI221*BI194+BJ221*BJ194+BK221*BK194+BL221*BL194+BM221*BM194+BN221*BN194+BO221*BO194+BP221*BP194+BQ221*BQ194+BR221*BR194+BS221*BS194+BT221*BT194+BU221*BU194+BV221*BV194+BW221*BW194+BX221*BX194+BY221*BY194+BZ221*BZ194+CA221*CA194+CB221*CB194+CC221*CC194</f>
        <v>0</v>
      </c>
      <c r="CH194" s="2386">
        <f>E222*E194+F222*F194+G222*G194+H222*H194+I222*I194+J222*J194+K222*K194+L222*L194+M222*M194+N222*N194+O222*O194+P222*P194+Q222*Q194+R222*R194+S222*S194+T222*T194+U222*U194+V222*V194+W222*W194+X222*X194+Y222*Y194+Z222*Z194+AA222*AA194+AB222*AB194+AC222*AC194+AD222*AD194+AE222*AE194+AF222*AF194+AG222*AG194+AH222*AH194+AI222*AI194+AJ222*AJ194+AK222*AK194+AL222*AL194+AM222*AM194+AN222*AN194+AO222*AO194+AP222*AP194+AQ222*AQ194+AR222*AR194+AS222*AS194+AT222*AT194+AU222*AU194+AV222*AV194+AW222*AW194+AX222*AX194+AY222*AY194+AZ222*AZ194+BA222*BA194+BB222*BB194+BC222*BC194+BD222*BD194+BE222*BE194+BF222*BF194+BG222*BG194+BH222*BH194+BI222*BI194+BJ222*BJ194+BK222*BK194+BL222*BL194+BM222*BM194+BN222*BN194+BO222*BO194+BP222*BP194+BQ222*BQ194+BR222*BR194+BS222*BS194+BT222*BT194+BU222*BU194+BV222*BV194+BW222*BW194+BX222*BX194+BY222*BY194+BZ222*BZ194+CA222*CA194+CB222*CB194+CC222*CC194</f>
        <v>0</v>
      </c>
      <c r="CI194" s="2387">
        <f>E223*E194+F223*F194+G223*G194+H223*H194+I223*I194+J223*J194+K223*K194+L223*L194+M223*M194+N223*N194+O223*O194+P223*P194+Q223*Q194+R223*R194+S223*S194+T223*T194+U223*U194+V223*V194+W223*W194+X223*X194+Y223*Y194+Z223*Z194+AA223*AA194+AB223*AB194+AC223*AC194+AD223*AD194+AE223*AE194+AF223*AF194+AG223*AG194+AH223*AH194+AI223*AI194+AJ223*AJ194+AK223*AK194+AL223*AL194+AM223*AM194+AN223*AN194+AO223*AO194+AP223*AP194+AQ223*AQ194+AR223*AR194+AS223*AS194+AT223*AT194+AU223*AU194+AV223*AV194+AW223*AW194+AX223*AX194+AY223*AY194+AZ223*AZ194+BA223*BA194+BB223*BB194+BC223*BC194+BD223*BD194+BE223*BE194+BF223*BF194+BG223*BG194+BH223*BH194+BI223*BI194+BJ223*BJ194+BK223*BK194+BL223*BL194+BM223*BM194+BN223*BN194+BO223*BO194+BP223*BP194+BQ223*BQ194+BR223*BR194+BS223*BS194+BT223*BT194+BU223*BU194+BV223*BV194+BW223*BW194+BX223*BX194+BY223*BY194+BZ223*BZ194+CA223*CA194+CB223*CB194+CC223*CC194</f>
        <v>0</v>
      </c>
      <c r="CJ194" s="2387">
        <f>E224*E194+F224*F194+G224*G194+H224*H194+I224*I194+J224*J194+K224*K194+L224*L194+M224*M194+N224*N194+O224*O194+P224*P194+Q224*Q194+R224*R194+S224*S194+T224*T194+U224*U194+V224*V194+W224*W194+X224*X194+Y224*Y194+Z224*Z194+AA224*AA194+AB224*AB194+AC224*AC194+AD224*AD194+AE224*AE194+AF224*AF194+AG224*AG194+AH224*AH194+AI224*AI194+AJ224*AJ194+AK224*AK194+AL224*AL194+AM224*AM194+AN224*AN194+AO224*AO194+AP224*AP194+AQ224*AQ194+AR224*AR194+AS224*AS194+AT224*AT194+AU224*AU194+AV224*AV194+AW224*AW194+AX224*AX194+AY224*AY194+AZ224*AZ194+BA224*BA194+BB224*BB194+BC224*BC194+BD224*BD194+BE224*BE194+BF224*BF194+BG224*BG194+BH224*BH194+BI224*BI194+BJ224*BJ194+BK224*BK194+BL224*BL194+BM224*BM194+BN224*BN194+BO224*BO194+BP224*BP194+BQ224*BQ194+BR224*BR194+BS224*BS194+BT224*BT194+BU224*BU194+BV224*BV194+BW224*BW194+BX224*BX194+BY224*BY194+BZ224*BZ194+CA224*CA194+CB224*CB194+CC224*CC194</f>
        <v>0</v>
      </c>
      <c r="CK194" s="2387">
        <f>E225*E194+F225*F194+G225*G194+H225*H194+I225*I194+J225*J194+K225*K194+L225*L194+M225*M194+N225*N194+O225*O194+P225*P194+Q225*Q194+R225*R194+S225*S194+T225*T194+U225*U194+V225*V194+W225*W194+X225*X194+Y225*Y194+Z225*Z194+AA225*AA194+AB225*AB194+AC225*AC194+AD225*AD194+AE225*AE194+AF225*AF194+AG225*AG194+AH225*AH194+AI225*AI194+AJ225*AJ194+AK225*AK194+AL225*AL194+AM225*AM194+AN225*AN194+AO225*AO194+AP225*AP194+AQ225*AQ194+AR225*AR194+AS225*AS194+AT225*AT194+AU225*AU194+AV225*AV194+AW225*AW194+AX225*AX194+AY225*AY194+AZ225*AZ194+BA225*BA194+BB225*BB194+BC225*BC194+BD225*BD194+BE225*BE194+BF225*BF194+BG225*BG194+BH225*BH194+BI225*BI194+BJ225*BJ194+BK225*BK194+BL225*BL194+BM225*BM194+BN225*BN194+BO225*BO194+BP225*BP194+BQ225*BQ194+BR225*BR194+BS225*BS194+BT225*BT194+BU225*BU194+BV225*BV194+BW225*BW194+BX225*BX194+BY225*BY194+BZ225*BZ194+CA225*CA194+CB225*CB194+CC225*CC194</f>
        <v>0</v>
      </c>
      <c r="CL194" s="2387">
        <f>E226*E194+F226*F194+G226*G194+H226*H194+I226*I194+J226*J194+K226*K194+L226*L194+M226*M194+N226*N194+O226*O194+P226*P194+Q226*Q194+R226*R194+S226*S194+T226*T194+U226*U194+V226*V194+W226*W194+X226*X194+Y226*Y194+Z226*Z194+AA226*AA194+AB226*AB194+AC226*AC194+AD226*AD194+AE226*AE194+AF226*AF194+AG226*AG194+AH226*AH194+AI226*AI194+AJ226*AJ194+AK226*AK194+AL226*AL194+AM226*AM194+AN226*AN194+AO226*AO194+AP226*AP194+AQ226*AQ194+AR226*AR194+AS226*AS194+AT226*AT194+AU226*AU194+AV226*AV194+AW226*AW194+AX226*AX194+AY226*AY194+AZ226*AZ194+BA226*BA194+BB226*BB194+BC226*BC194+BD226*BD194+BE226*BE194+BF226*BF194+BG226*BG194+BH226*BH194+BI226*BI194+BJ226*BJ194+BK226*BK194+BL226*BL194+BM226*BM194+BN226*BN194+BO226*BO194+BP226*BP194+BQ226*BQ194+BR226*BR194+BS226*BS194+BT226*BT194+BU226*BU194+BV226*BV194+BW226*BW194+BX226*BX194+BY226*BY194+BZ226*BZ194+CA226*CA194+CB226*CB194+CC226*CC194</f>
        <v>0</v>
      </c>
      <c r="CM194" s="2387">
        <f>E227*E194+F227*F194+G227*G194+H227*H194+I227*I194+J227*J194+K227*K194+L227*L194+M227*M194+N227*N194+O227*O194+P227*P194+Q227*Q194+R227*R194+S227*S194+T227*T194+U227*U194+V227*V194+W227*W194+X227*X194+Y227*Y194+Z227*Z194+AA227*AA194+AB227*AB194+AC227*AC194+AD227*AD194+AE227*AE194+AF227*AF194+AG227*AG194+AH227*AH194+AI227*AI194+AJ227*AJ194+AK227*AK194+AL227*AL194+AM227*AM194+AN227*AN194+AO227*AO194+AP227*AP194+AQ227*AQ194+AR227*AR194+AS227*AS194+AT227*AT194+AU227*AU194+AV227*AV194+AW227*AW194+AX227*AX194+AY227*AY194+AZ227*AZ194+BA227*BA194+BB227*BB194+BC227*BC194+BD227*BD194+BE227*BE194+BF227*BF194+BG227*BG194+BH227*BH194+BI227*BI194+BJ227*BJ194+BK227*BK194+BL227*BL194+BM227*BM194+BN227*BN194+BO227*BO194+BP227*BP194+BQ227*BQ194+BR227*BR194+BS227*BS194+BT227*BT194+BU227*BU194+BV227*BV194+BW227*BW194+BX227*BX194+BY227*BY194+BZ227*BZ194+CA227*CA194+CB227*CB194+CC227*CC194</f>
        <v>0</v>
      </c>
      <c r="CN194" s="2387">
        <f>E228*E194+F228*F194+G228*G194+H228*H194+I228*I194+J228*J194+K228*K194+L228*L194+M228*M194+N228*N194+O228*O194+P228*P194+Q228*Q194+R228*R194+S228*S194+T228*T194+U228*U194+V228*V194+W228*W194+X228*X194+Y228*Y194+Z228*Z194+AA228*AA194+AB228*AB194+AC228*AC194+AD228*AD194+AE228*AE194+AF228*AF194+AG228*AG194+AH228*AH194+AI228*AI194+AJ228*AJ194+AK228*AK194+AL228*AL194+AM228*AM194+AN228*AN194+AO228*AO194+AP228*AP194+AQ228*AQ194+AR228*AR194+AS228*AS194+AT228*AT194+AU228*AU194+AV228*AV194+AW228*AW194+AX228*AX194+AY228*AY194+AZ228*AZ194+BA228*BA194+BB228*BB194+BC228*BC194+BD228*BD194+BE228*BE194+BF228*BF194+BG228*BG194+BH228*BH194+BI228*BI194+BJ228*BJ194+BK228*BK194+BL228*BL194+BM228*BM194+BN228*BN194+BO228*BO194+BP228*BP194+BQ228*BQ194+BR228*BR194+BS228*BS194+BT228*BT194+BU228*BU194+BV228*BV194+BW228*BW194+BX228*BX194+BY228*BY194+BZ228*BZ194+CA228*CA194+CB228*CB194+CC228*CC194</f>
        <v>0</v>
      </c>
      <c r="CO194" s="2387">
        <f>E229*E194+F229*F194+G229*G194+H229*H194+I229*I194+J229*J194+K229*K194+L229*L194+M229*M194+N229*N194+O229*O194+P229*P194+Q229*Q194+R229*R194+S229*S194+T229*T194+U229*U194+V229*V194+W229*W194+X229*X194+Y229*Y194+Z229*Z194+AA229*AA194+AB229*AB194+AC229*AC194+AD229*AD194+AE229*AE194+AF229*AF194+AG229*AG194+AH229*AH194+AI229*AI194+AJ229*AJ194+AK229*AK194+AL229*AL194+AM229*AM194+AN229*AN194+AO229*AO194+AP229*AP194+AQ229*AQ194+AR229*AR194+AS229*AS194+AT229*AT194+AU229*AU194+AV229*AV194+AW229*AW194+AX229*AX194+AY229*AY194+AZ229*AZ194+BA229*BA194+BB229*BB194+BC229*BC194+BD229*BD194+BE229*BE194+BF229*BF194+BG229*BG194+BH229*BH194+BI229*BI194+BJ229*BJ194+BK229*BK194+BL229*BL194+BM229*BM194+BN229*BN194+BO229*BO194+BP229*BP194+BQ229*BQ194+BR229*BR194+BS229*BS194+BT229*BT194+BU229*BU194+BV229*BV194+BW229*BW194+BX229*BX194+BY229*BY194+BZ229*BZ194+CA229*CA194+CB229*CB194+CC229*CC194</f>
        <v>0</v>
      </c>
      <c r="CP194" s="2387">
        <f>E230*E194+F230*F194+G230*G194+H230*H194+I230*I194+J230*J194+K230*K194+L230*L194+M230*M194+N230*N194+O230*O194+P230*P194+Q230*Q194+R230*R194+S230*S194+T230*T194+U230*U194+V230*V194+W230*W194+X230*X194+Y230*Y194+Z230*Z194+AA230*AA194+AB230*AB194+AC230*AC194+AD230*AD194+AE230*AE194+AF230*AF194+AG230*AG194+AH230*AH194+AI230*AI194+AJ230*AJ194+AK230*AK194+AL230*AL194+AM230*AM194+AN230*AN194+AO230*AO194+AP230*AP194+AQ230*AQ194+AR230*AR194+AS230*AS194+AT230*AT194+AU230*AU194+AV230*AV194+AW230*AW194+AX230*AX194+AY230*AY194+AZ230*AZ194+BA230*BA194+BB230*BB194+BC230*BC194+BD230*BD194+BE230*BE194+BF230*BF194+BG230*BG194+BH230*BH194+BI230*BI194+BJ230*BJ194+BK230*BK194+BL230*BL194+BM230*BM194+BN230*BN194+BO230*BO194+BP230*BP194+BQ230*BQ194+BR230*BR194+BS230*BS194+BT230*BT194+BU230*BU194+BV230*BV194+BW230*BW194+BX230*BX194+BY230*BY194+BZ230*BZ194+CA230*CA194+CB230*CB194+CC230*CC194</f>
        <v>0</v>
      </c>
    </row>
    <row r="195" spans="2:94" x14ac:dyDescent="0.25">
      <c r="B195" s="1595">
        <v>76</v>
      </c>
      <c r="C195" s="1084" t="s">
        <v>3069</v>
      </c>
      <c r="D195" s="1076" t="s">
        <v>3902</v>
      </c>
      <c r="E195" s="1622">
        <f>0</f>
        <v>0</v>
      </c>
      <c r="F195" s="1622">
        <f>0</f>
        <v>0</v>
      </c>
      <c r="G195" s="1622">
        <f>0</f>
        <v>0</v>
      </c>
      <c r="H195" s="1622">
        <f>0</f>
        <v>0</v>
      </c>
      <c r="I195" s="1622">
        <f>0</f>
        <v>0</v>
      </c>
      <c r="J195" s="1622">
        <f>0</f>
        <v>0</v>
      </c>
      <c r="K195" s="1622">
        <f>0</f>
        <v>0</v>
      </c>
      <c r="L195" s="1622">
        <f>0</f>
        <v>0</v>
      </c>
      <c r="M195" s="1622">
        <f>0</f>
        <v>0</v>
      </c>
      <c r="N195" s="1622">
        <f>0</f>
        <v>0</v>
      </c>
      <c r="O195" s="1622">
        <f>0</f>
        <v>0</v>
      </c>
      <c r="P195" s="1622">
        <f>0</f>
        <v>0</v>
      </c>
      <c r="Q195" s="1626">
        <f>0</f>
        <v>0</v>
      </c>
      <c r="R195" s="1622">
        <f>0</f>
        <v>0</v>
      </c>
      <c r="S195" s="1622">
        <f>0</f>
        <v>0</v>
      </c>
      <c r="T195" s="1622">
        <f>0</f>
        <v>0</v>
      </c>
      <c r="U195" s="1622">
        <f>0</f>
        <v>0</v>
      </c>
      <c r="V195" s="1622">
        <f>0</f>
        <v>0</v>
      </c>
      <c r="W195" s="1622">
        <f>0</f>
        <v>0</v>
      </c>
      <c r="X195" s="1622">
        <f>0</f>
        <v>0</v>
      </c>
      <c r="Y195" s="1622">
        <f>0</f>
        <v>0</v>
      </c>
      <c r="Z195" s="1622">
        <f>0</f>
        <v>0</v>
      </c>
      <c r="AA195" s="1622">
        <f>0</f>
        <v>0</v>
      </c>
      <c r="AB195" s="1622">
        <f>0</f>
        <v>0</v>
      </c>
      <c r="AC195" s="1117">
        <f>0</f>
        <v>0</v>
      </c>
      <c r="AD195" s="1622">
        <f>0</f>
        <v>0</v>
      </c>
      <c r="AE195" s="1622">
        <f>0</f>
        <v>0</v>
      </c>
      <c r="AF195" s="1117">
        <f>-1</f>
        <v>-1</v>
      </c>
      <c r="AG195" s="1622">
        <f>0</f>
        <v>0</v>
      </c>
      <c r="AH195" s="1626">
        <f>0</f>
        <v>0</v>
      </c>
      <c r="AI195" s="1622">
        <f>0</f>
        <v>0</v>
      </c>
      <c r="AJ195" s="1622">
        <f>0</f>
        <v>0</v>
      </c>
      <c r="AK195" s="1626">
        <f>0</f>
        <v>0</v>
      </c>
      <c r="AL195" s="1622">
        <f>0</f>
        <v>0</v>
      </c>
      <c r="AM195" s="1622">
        <f>0</f>
        <v>0</v>
      </c>
      <c r="AN195" s="1622">
        <f>0</f>
        <v>0</v>
      </c>
      <c r="AO195" s="1622">
        <f>0</f>
        <v>0</v>
      </c>
      <c r="AP195" s="1622">
        <f>0</f>
        <v>0</v>
      </c>
      <c r="AQ195" s="1622">
        <f>0</f>
        <v>0</v>
      </c>
      <c r="AR195" s="1626">
        <f>0</f>
        <v>0</v>
      </c>
      <c r="AS195" s="1622">
        <f>0</f>
        <v>0</v>
      </c>
      <c r="AT195" s="1622">
        <f>0</f>
        <v>0</v>
      </c>
      <c r="AU195" s="1622">
        <f>0</f>
        <v>0</v>
      </c>
      <c r="AV195" s="1626">
        <f>0</f>
        <v>0</v>
      </c>
      <c r="AW195" s="1622">
        <f>0</f>
        <v>0</v>
      </c>
      <c r="AX195" s="1626">
        <f>0</f>
        <v>0</v>
      </c>
      <c r="AY195" s="1626">
        <f>0</f>
        <v>0</v>
      </c>
      <c r="AZ195" s="1622">
        <f>0</f>
        <v>0</v>
      </c>
      <c r="BA195" s="1626">
        <f>0</f>
        <v>0</v>
      </c>
      <c r="BB195" s="1622">
        <f>0</f>
        <v>0</v>
      </c>
      <c r="BC195" s="1622">
        <f>0</f>
        <v>0</v>
      </c>
      <c r="BD195" s="1626">
        <f>-1/(A_SFHAO_L*(A_MP/A_MAl))</f>
        <v>-8.7110825691042457</v>
      </c>
      <c r="BE195" s="1622">
        <f>0</f>
        <v>0</v>
      </c>
      <c r="BF195" s="1622">
        <f>0</f>
        <v>0</v>
      </c>
      <c r="BG195" s="1626">
        <f>1/(A_SFHAO_L*(A_MP/A_MAl))</f>
        <v>8.7110825691042457</v>
      </c>
      <c r="BH195" s="1622">
        <f>0</f>
        <v>0</v>
      </c>
      <c r="BI195" s="1622">
        <f>0</f>
        <v>0</v>
      </c>
      <c r="BJ195" s="1626">
        <f>0</f>
        <v>0</v>
      </c>
      <c r="BK195" s="1626">
        <f>0</f>
        <v>0</v>
      </c>
      <c r="BL195" s="1626">
        <f>0</f>
        <v>0</v>
      </c>
      <c r="BM195" s="1626">
        <f>0</f>
        <v>0</v>
      </c>
      <c r="BN195" s="1626">
        <f>0</f>
        <v>0</v>
      </c>
      <c r="BO195" s="1626">
        <f>0</f>
        <v>0</v>
      </c>
      <c r="BP195" s="1643">
        <f>0</f>
        <v>0</v>
      </c>
      <c r="BQ195" s="2380">
        <f>0</f>
        <v>0</v>
      </c>
      <c r="BR195" s="1626">
        <f>0</f>
        <v>0</v>
      </c>
      <c r="BS195" s="1626">
        <f>0</f>
        <v>0</v>
      </c>
      <c r="BT195" s="1626">
        <f>0</f>
        <v>0</v>
      </c>
      <c r="BU195" s="1626">
        <f>0</f>
        <v>0</v>
      </c>
      <c r="BV195" s="1626">
        <f>0</f>
        <v>0</v>
      </c>
      <c r="BW195" s="1626">
        <f>0</f>
        <v>0</v>
      </c>
      <c r="BX195" s="1626">
        <f>0</f>
        <v>0</v>
      </c>
      <c r="BY195" s="1626">
        <f>0</f>
        <v>0</v>
      </c>
      <c r="BZ195" s="1626">
        <f>0</f>
        <v>0</v>
      </c>
      <c r="CA195" s="1626">
        <f>0</f>
        <v>0</v>
      </c>
      <c r="CB195" s="1626">
        <f>0</f>
        <v>0</v>
      </c>
      <c r="CC195" s="1626">
        <f>0</f>
        <v>0</v>
      </c>
      <c r="CD195" s="1660">
        <f>q_P_HAO_BIND*X_HAO_L*M_satSPO4_KP_HAO_BIND</f>
        <v>8.3333333333333332E-51</v>
      </c>
      <c r="CF195" s="2385">
        <f>E220*E195+F220*F195+G220*G195+H220*H195+I220*I195+J220*J195+K220*K195+L220*L195+M220*M195+N220*N195+O220*O195+P220*P195+Q220*Q195+R220*R195+S220*S195+T220*T195+U220*U195+V220*V195+W220*W195+X220*X195+Y220*Y195+Z220*Z195+AA220*AA195+AB220*AB195+AC220*AC195+AD220*AD195+AE220*AE195+AF220*AF195+AG220*AG195+AH220*AH195+AI220*AI195+AJ220*AJ195+AK220*AK195+AL220*AL195+AM220*AM195+AN220*AN195+AO220*AO195+AP220*AP195+AQ220*AQ195+AR220*AR195+AS220*AS195+AT220*AT195+AU220*AU195+AV220*AV195+AW220*AW195+AX220*AX195+AY220*AY195+AZ220*AZ195+BA220*BA195+BB220*BB195+BC220*BC195+BD220*BD195+BE220*BE195+BF220*BF195+BG220*BG195+BH220*BH195+BI220*BI195+BJ220*BJ195+BK220*BK195+BL220*BL195+BM220*BM195+BN220*BN195+BO220*BO195+BP220*BP195+BQ220*BQ195+BR220*BR195+BS220*BS195+BT220*BT195+BU220*BU195+BV220*BV195+BW220*BW195+BX220*BX195+BY220*BY195+BZ220*BZ195+CA220*CA195+CB220*CB195+CC220*CC195</f>
        <v>0</v>
      </c>
      <c r="CG195" s="2385">
        <f>E221*E195+F221*F195+G221*G195+H221*H195+I221*I195+J221*J195+K221*K195+L221*L195+M221*M195+N221*N195+O221*O195+P221*P195+Q221*Q195+R221*R195+S221*S195+T221*T195+U221*U195+V221*V195+W221*W195+X221*X195+Y221*Y195+Z221*Z195+AA221*AA195+AB221*AB195+AC221*AC195+AD221*AD195+AE221*AE195+AF221*AF195+AG221*AG195+AH221*AH195+AI221*AI195+AJ221*AJ195+AK221*AK195+AL221*AL195+AM221*AM195+AN221*AN195+AO221*AO195+AP221*AP195+AQ221*AQ195+AR221*AR195+AS221*AS195+AT221*AT195+AU221*AU195+AV221*AV195+AW221*AW195+AX221*AX195+AY221*AY195+AZ221*AZ195+BA221*BA195+BB221*BB195+BC221*BC195+BD221*BD195+BE221*BE195+BF221*BF195+BG221*BG195+BH221*BH195+BI221*BI195+BJ221*BJ195+BK221*BK195+BL221*BL195+BM221*BM195+BN221*BN195+BO221*BO195+BP221*BP195+BQ221*BQ195+BR221*BR195+BS221*BS195+BT221*BT195+BU221*BU195+BV221*BV195+BW221*BW195+BX221*BX195+BY221*BY195+BZ221*BZ195+CA221*CA195+CB221*CB195+CC221*CC195</f>
        <v>0</v>
      </c>
      <c r="CH195" s="2386">
        <f>E222*E195+F222*F195+G222*G195+H222*H195+I222*I195+J222*J195+K222*K195+L222*L195+M222*M195+N222*N195+O222*O195+P222*P195+Q222*Q195+R222*R195+S222*S195+T222*T195+U222*U195+V222*V195+W222*W195+X222*X195+Y222*Y195+Z222*Z195+AA222*AA195+AB222*AB195+AC222*AC195+AD222*AD195+AE222*AE195+AF222*AF195+AG222*AG195+AH222*AH195+AI222*AI195+AJ222*AJ195+AK222*AK195+AL222*AL195+AM222*AM195+AN222*AN195+AO222*AO195+AP222*AP195+AQ222*AQ195+AR222*AR195+AS222*AS195+AT222*AT195+AU222*AU195+AV222*AV195+AW222*AW195+AX222*AX195+AY222*AY195+AZ222*AZ195+BA222*BA195+BB222*BB195+BC222*BC195+BD222*BD195+BE222*BE195+BF222*BF195+BG222*BG195+BH222*BH195+BI222*BI195+BJ222*BJ195+BK222*BK195+BL222*BL195+BM222*BM195+BN222*BN195+BO222*BO195+BP222*BP195+BQ222*BQ195+BR222*BR195+BS222*BS195+BT222*BT195+BU222*BU195+BV222*BV195+BW222*BW195+BX222*BX195+BY222*BY195+BZ222*BZ195+CA222*CA195+CB222*CB195+CC222*CC195</f>
        <v>0</v>
      </c>
      <c r="CI195" s="2387">
        <f>E223*E195+F223*F195+G223*G195+H223*H195+I223*I195+J223*J195+K223*K195+L223*L195+M223*M195+N223*N195+O223*O195+P223*P195+Q223*Q195+R223*R195+S223*S195+T223*T195+U223*U195+V223*V195+W223*W195+X223*X195+Y223*Y195+Z223*Z195+AA223*AA195+AB223*AB195+AC223*AC195+AD223*AD195+AE223*AE195+AF223*AF195+AG223*AG195+AH223*AH195+AI223*AI195+AJ223*AJ195+AK223*AK195+AL223*AL195+AM223*AM195+AN223*AN195+AO223*AO195+AP223*AP195+AQ223*AQ195+AR223*AR195+AS223*AS195+AT223*AT195+AU223*AU195+AV223*AV195+AW223*AW195+AX223*AX195+AY223*AY195+AZ223*AZ195+BA223*BA195+BB223*BB195+BC223*BC195+BD223*BD195+BE223*BE195+BF223*BF195+BG223*BG195+BH223*BH195+BI223*BI195+BJ223*BJ195+BK223*BK195+BL223*BL195+BM223*BM195+BN223*BN195+BO223*BO195+BP223*BP195+BQ223*BQ195+BR223*BR195+BS223*BS195+BT223*BT195+BU223*BU195+BV223*BV195+BW223*BW195+BX223*BX195+BY223*BY195+BZ223*BZ195+CA223*CA195+CB223*CB195+CC223*CC195</f>
        <v>0</v>
      </c>
      <c r="CJ195" s="2387">
        <f>E224*E195+F224*F195+G224*G195+H224*H195+I224*I195+J224*J195+K224*K195+L224*L195+M224*M195+N224*N195+O224*O195+P224*P195+Q224*Q195+R224*R195+S224*S195+T224*T195+U224*U195+V224*V195+W224*W195+X224*X195+Y224*Y195+Z224*Z195+AA224*AA195+AB224*AB195+AC224*AC195+AD224*AD195+AE224*AE195+AF224*AF195+AG224*AG195+AH224*AH195+AI224*AI195+AJ224*AJ195+AK224*AK195+AL224*AL195+AM224*AM195+AN224*AN195+AO224*AO195+AP224*AP195+AQ224*AQ195+AR224*AR195+AS224*AS195+AT224*AT195+AU224*AU195+AV224*AV195+AW224*AW195+AX224*AX195+AY224*AY195+AZ224*AZ195+BA224*BA195+BB224*BB195+BC224*BC195+BD224*BD195+BE224*BE195+BF224*BF195+BG224*BG195+BH224*BH195+BI224*BI195+BJ224*BJ195+BK224*BK195+BL224*BL195+BM224*BM195+BN224*BN195+BO224*BO195+BP224*BP195+BQ224*BQ195+BR224*BR195+BS224*BS195+BT224*BT195+BU224*BU195+BV224*BV195+BW224*BW195+BX224*BX195+BY224*BY195+BZ224*BZ195+CA224*CA195+CB224*CB195+CC224*CC195</f>
        <v>0</v>
      </c>
      <c r="CK195" s="2387">
        <f>E225*E195+F225*F195+G225*G195+H225*H195+I225*I195+J225*J195+K225*K195+L225*L195+M225*M195+N225*N195+O225*O195+P225*P195+Q225*Q195+R225*R195+S225*S195+T225*T195+U225*U195+V225*V195+W225*W195+X225*X195+Y225*Y195+Z225*Z195+AA225*AA195+AB225*AB195+AC225*AC195+AD225*AD195+AE225*AE195+AF225*AF195+AG225*AG195+AH225*AH195+AI225*AI195+AJ225*AJ195+AK225*AK195+AL225*AL195+AM225*AM195+AN225*AN195+AO225*AO195+AP225*AP195+AQ225*AQ195+AR225*AR195+AS225*AS195+AT225*AT195+AU225*AU195+AV225*AV195+AW225*AW195+AX225*AX195+AY225*AY195+AZ225*AZ195+BA225*BA195+BB225*BB195+BC225*BC195+BD225*BD195+BE225*BE195+BF225*BF195+BG225*BG195+BH225*BH195+BI225*BI195+BJ225*BJ195+BK225*BK195+BL225*BL195+BM225*BM195+BN225*BN195+BO225*BO195+BP225*BP195+BQ225*BQ195+BR225*BR195+BS225*BS195+BT225*BT195+BU225*BU195+BV225*BV195+BW225*BW195+BX225*BX195+BY225*BY195+BZ225*BZ195+CA225*CA195+CB225*CB195+CC225*CC195</f>
        <v>0</v>
      </c>
      <c r="CL195" s="2387">
        <f>E226*E195+F226*F195+G226*G195+H226*H195+I226*I195+J226*J195+K226*K195+L226*L195+M226*M195+N226*N195+O226*O195+P226*P195+Q226*Q195+R226*R195+S226*S195+T226*T195+U226*U195+V226*V195+W226*W195+X226*X195+Y226*Y195+Z226*Z195+AA226*AA195+AB226*AB195+AC226*AC195+AD226*AD195+AE226*AE195+AF226*AF195+AG226*AG195+AH226*AH195+AI226*AI195+AJ226*AJ195+AK226*AK195+AL226*AL195+AM226*AM195+AN226*AN195+AO226*AO195+AP226*AP195+AQ226*AQ195+AR226*AR195+AS226*AS195+AT226*AT195+AU226*AU195+AV226*AV195+AW226*AW195+AX226*AX195+AY226*AY195+AZ226*AZ195+BA226*BA195+BB226*BB195+BC226*BC195+BD226*BD195+BE226*BE195+BF226*BF195+BG226*BG195+BH226*BH195+BI226*BI195+BJ226*BJ195+BK226*BK195+BL226*BL195+BM226*BM195+BN226*BN195+BO226*BO195+BP226*BP195+BQ226*BQ195+BR226*BR195+BS226*BS195+BT226*BT195+BU226*BU195+BV226*BV195+BW226*BW195+BX226*BX195+BY226*BY195+BZ226*BZ195+CA226*CA195+CB226*CB195+CC226*CC195</f>
        <v>0</v>
      </c>
      <c r="CM195" s="2387">
        <f>E227*E195+F227*F195+G227*G195+H227*H195+I227*I195+J227*J195+K227*K195+L227*L195+M227*M195+N227*N195+O227*O195+P227*P195+Q227*Q195+R227*R195+S227*S195+T227*T195+U227*U195+V227*V195+W227*W195+X227*X195+Y227*Y195+Z227*Z195+AA227*AA195+AB227*AB195+AC227*AC195+AD227*AD195+AE227*AE195+AF227*AF195+AG227*AG195+AH227*AH195+AI227*AI195+AJ227*AJ195+AK227*AK195+AL227*AL195+AM227*AM195+AN227*AN195+AO227*AO195+AP227*AP195+AQ227*AQ195+AR227*AR195+AS227*AS195+AT227*AT195+AU227*AU195+AV227*AV195+AW227*AW195+AX227*AX195+AY227*AY195+AZ227*AZ195+BA227*BA195+BB227*BB195+BC227*BC195+BD227*BD195+BE227*BE195+BF227*BF195+BG227*BG195+BH227*BH195+BI227*BI195+BJ227*BJ195+BK227*BK195+BL227*BL195+BM227*BM195+BN227*BN195+BO227*BO195+BP227*BP195+BQ227*BQ195+BR227*BR195+BS227*BS195+BT227*BT195+BU227*BU195+BV227*BV195+BW227*BW195+BX227*BX195+BY227*BY195+BZ227*BZ195+CA227*CA195+CB227*CB195+CC227*CC195</f>
        <v>0</v>
      </c>
      <c r="CN195" s="2387">
        <f>E228*E195+F228*F195+G228*G195+H228*H195+I228*I195+J228*J195+K228*K195+L228*L195+M228*M195+N228*N195+O228*O195+P228*P195+Q228*Q195+R228*R195+S228*S195+T228*T195+U228*U195+V228*V195+W228*W195+X228*X195+Y228*Y195+Z228*Z195+AA228*AA195+AB228*AB195+AC228*AC195+AD228*AD195+AE228*AE195+AF228*AF195+AG228*AG195+AH228*AH195+AI228*AI195+AJ228*AJ195+AK228*AK195+AL228*AL195+AM228*AM195+AN228*AN195+AO228*AO195+AP228*AP195+AQ228*AQ195+AR228*AR195+AS228*AS195+AT228*AT195+AU228*AU195+AV228*AV195+AW228*AW195+AX228*AX195+AY228*AY195+AZ228*AZ195+BA228*BA195+BB228*BB195+BC228*BC195+BD228*BD195+BE228*BE195+BF228*BF195+BG228*BG195+BH228*BH195+BI228*BI195+BJ228*BJ195+BK228*BK195+BL228*BL195+BM228*BM195+BN228*BN195+BO228*BO195+BP228*BP195+BQ228*BQ195+BR228*BR195+BS228*BS195+BT228*BT195+BU228*BU195+BV228*BV195+BW228*BW195+BX228*BX195+BY228*BY195+BZ228*BZ195+CA228*CA195+CB228*CB195+CC228*CC195</f>
        <v>0</v>
      </c>
      <c r="CO195" s="2387">
        <f>E229*E195+F229*F195+G229*G195+H229*H195+I229*I195+J229*J195+K229*K195+L229*L195+M229*M195+N229*N195+O229*O195+P229*P195+Q229*Q195+R229*R195+S229*S195+T229*T195+U229*U195+V229*V195+W229*W195+X229*X195+Y229*Y195+Z229*Z195+AA229*AA195+AB229*AB195+AC229*AC195+AD229*AD195+AE229*AE195+AF229*AF195+AG229*AG195+AH229*AH195+AI229*AI195+AJ229*AJ195+AK229*AK195+AL229*AL195+AM229*AM195+AN229*AN195+AO229*AO195+AP229*AP195+AQ229*AQ195+AR229*AR195+AS229*AS195+AT229*AT195+AU229*AU195+AV229*AV195+AW229*AW195+AX229*AX195+AY229*AY195+AZ229*AZ195+BA229*BA195+BB229*BB195+BC229*BC195+BD229*BD195+BE229*BE195+BF229*BF195+BG229*BG195+BH229*BH195+BI229*BI195+BJ229*BJ195+BK229*BK195+BL229*BL195+BM229*BM195+BN229*BN195+BO229*BO195+BP229*BP195+BQ229*BQ195+BR229*BR195+BS229*BS195+BT229*BT195+BU229*BU195+BV229*BV195+BW229*BW195+BX229*BX195+BY229*BY195+BZ229*BZ195+CA229*CA195+CB229*CB195+CC229*CC195</f>
        <v>0</v>
      </c>
      <c r="CP195" s="2387">
        <f>E230*E195+F230*F195+G230*G195+H230*H195+I230*I195+J230*J195+K230*K195+L230*L195+M230*M195+N230*N195+O230*O195+P230*P195+Q230*Q195+R230*R195+S230*S195+T230*T195+U230*U195+V230*V195+W230*W195+X230*X195+Y230*Y195+Z230*Z195+AA230*AA195+AB230*AB195+AC230*AC195+AD230*AD195+AE230*AE195+AF230*AF195+AG230*AG195+AH230*AH195+AI230*AI195+AJ230*AJ195+AK230*AK195+AL230*AL195+AM230*AM195+AN230*AN195+AO230*AO195+AP230*AP195+AQ230*AQ195+AR230*AR195+AS230*AS195+AT230*AT195+AU230*AU195+AV230*AV195+AW230*AW195+AX230*AX195+AY230*AY195+AZ230*AZ195+BA230*BA195+BB230*BB195+BC230*BC195+BD230*BD195+BE230*BE195+BF230*BF195+BG230*BG195+BH230*BH195+BI230*BI195+BJ230*BJ195+BK230*BK195+BL230*BL195+BM230*BM195+BN230*BN195+BO230*BO195+BP230*BP195+BQ230*BQ195+BR230*BR195+BS230*BS195+BT230*BT195+BU230*BU195+BV230*BV195+BW230*BW195+BX230*BX195+BY230*BY195+BZ230*BZ195+CA230*CA195+CB230*CB195+CC230*CC195</f>
        <v>0</v>
      </c>
    </row>
    <row r="196" spans="2:94" ht="18" x14ac:dyDescent="0.25">
      <c r="B196" s="1595">
        <v>77</v>
      </c>
      <c r="C196" s="1084" t="s">
        <v>3070</v>
      </c>
      <c r="D196" s="1076" t="s">
        <v>3906</v>
      </c>
      <c r="E196" s="1622">
        <f>0</f>
        <v>0</v>
      </c>
      <c r="F196" s="1622">
        <f>0</f>
        <v>0</v>
      </c>
      <c r="G196" s="1622">
        <f>0</f>
        <v>0</v>
      </c>
      <c r="H196" s="1622">
        <f>0</f>
        <v>0</v>
      </c>
      <c r="I196" s="1622">
        <f>0</f>
        <v>0</v>
      </c>
      <c r="J196" s="1622">
        <f>0</f>
        <v>0</v>
      </c>
      <c r="K196" s="1622">
        <f>0</f>
        <v>0</v>
      </c>
      <c r="L196" s="1622">
        <f>0</f>
        <v>0</v>
      </c>
      <c r="M196" s="1622">
        <f>0</f>
        <v>0</v>
      </c>
      <c r="N196" s="1622">
        <f>0</f>
        <v>0</v>
      </c>
      <c r="O196" s="1622">
        <f>0</f>
        <v>0</v>
      </c>
      <c r="P196" s="1622">
        <f>0</f>
        <v>0</v>
      </c>
      <c r="Q196" s="1626">
        <f>0</f>
        <v>0</v>
      </c>
      <c r="R196" s="1622">
        <f>0</f>
        <v>0</v>
      </c>
      <c r="S196" s="1622">
        <f>0</f>
        <v>0</v>
      </c>
      <c r="T196" s="1622">
        <f>0</f>
        <v>0</v>
      </c>
      <c r="U196" s="1622">
        <f>0</f>
        <v>0</v>
      </c>
      <c r="V196" s="1622">
        <f>0</f>
        <v>0</v>
      </c>
      <c r="W196" s="1622">
        <f>0</f>
        <v>0</v>
      </c>
      <c r="X196" s="1622">
        <f>0</f>
        <v>0</v>
      </c>
      <c r="Y196" s="1622">
        <f>0</f>
        <v>0</v>
      </c>
      <c r="Z196" s="1622">
        <f>0</f>
        <v>0</v>
      </c>
      <c r="AA196" s="1622">
        <f>0</f>
        <v>0</v>
      </c>
      <c r="AB196" s="1622">
        <f>0</f>
        <v>0</v>
      </c>
      <c r="AC196" s="1626">
        <f>0</f>
        <v>0</v>
      </c>
      <c r="AD196" s="1622">
        <f>0</f>
        <v>0</v>
      </c>
      <c r="AE196" s="1622">
        <f>0</f>
        <v>0</v>
      </c>
      <c r="AF196" s="1626">
        <f>(A_SFHAO_H*(A_MP/A_MAl))</f>
        <v>1.1479629449808202</v>
      </c>
      <c r="AG196" s="1622">
        <f>0</f>
        <v>0</v>
      </c>
      <c r="AH196" s="1626">
        <f>0</f>
        <v>0</v>
      </c>
      <c r="AI196" s="1622">
        <f>0</f>
        <v>0</v>
      </c>
      <c r="AJ196" s="1622">
        <f>0</f>
        <v>0</v>
      </c>
      <c r="AK196" s="1626">
        <f>0</f>
        <v>0</v>
      </c>
      <c r="AL196" s="1622">
        <f>0</f>
        <v>0</v>
      </c>
      <c r="AM196" s="1622">
        <f>0</f>
        <v>0</v>
      </c>
      <c r="AN196" s="1622">
        <f>0</f>
        <v>0</v>
      </c>
      <c r="AO196" s="1622">
        <f>0</f>
        <v>0</v>
      </c>
      <c r="AP196" s="1622">
        <f>0</f>
        <v>0</v>
      </c>
      <c r="AQ196" s="1622">
        <f>0</f>
        <v>0</v>
      </c>
      <c r="AR196" s="1626">
        <f>0</f>
        <v>0</v>
      </c>
      <c r="AS196" s="1622">
        <f>0</f>
        <v>0</v>
      </c>
      <c r="AT196" s="1622">
        <f>0</f>
        <v>0</v>
      </c>
      <c r="AU196" s="1622">
        <f>0</f>
        <v>0</v>
      </c>
      <c r="AV196" s="1626">
        <f>0</f>
        <v>0</v>
      </c>
      <c r="AW196" s="1622">
        <f>0</f>
        <v>0</v>
      </c>
      <c r="AX196" s="1626">
        <f>0</f>
        <v>0</v>
      </c>
      <c r="AY196" s="1626">
        <f>0</f>
        <v>0</v>
      </c>
      <c r="AZ196" s="1119">
        <f>0</f>
        <v>0</v>
      </c>
      <c r="BA196" s="1119">
        <f>0</f>
        <v>0</v>
      </c>
      <c r="BB196" s="1119">
        <f>0</f>
        <v>0</v>
      </c>
      <c r="BC196" s="1119">
        <f>1</f>
        <v>1</v>
      </c>
      <c r="BD196" s="1119">
        <f>0</f>
        <v>0</v>
      </c>
      <c r="BE196" s="1119">
        <f>0</f>
        <v>0</v>
      </c>
      <c r="BF196" s="1119">
        <f>-1</f>
        <v>-1</v>
      </c>
      <c r="BG196" s="1119">
        <f>0</f>
        <v>0</v>
      </c>
      <c r="BH196" s="1119">
        <f>0</f>
        <v>0</v>
      </c>
      <c r="BI196" s="1119">
        <f>0</f>
        <v>0</v>
      </c>
      <c r="BJ196" s="1626">
        <f>0</f>
        <v>0</v>
      </c>
      <c r="BK196" s="1626">
        <f>0</f>
        <v>0</v>
      </c>
      <c r="BL196" s="1626">
        <f>0</f>
        <v>0</v>
      </c>
      <c r="BM196" s="1626">
        <f>0</f>
        <v>0</v>
      </c>
      <c r="BN196" s="1626">
        <f>0</f>
        <v>0</v>
      </c>
      <c r="BO196" s="1626">
        <f>0</f>
        <v>0</v>
      </c>
      <c r="BP196" s="1643">
        <f>0</f>
        <v>0</v>
      </c>
      <c r="BQ196" s="2380">
        <f>0</f>
        <v>0</v>
      </c>
      <c r="BR196" s="1626">
        <f>0</f>
        <v>0</v>
      </c>
      <c r="BS196" s="1626">
        <f>0</f>
        <v>0</v>
      </c>
      <c r="BT196" s="1626">
        <f>0</f>
        <v>0</v>
      </c>
      <c r="BU196" s="1626">
        <f>0</f>
        <v>0</v>
      </c>
      <c r="BV196" s="1626">
        <f>0</f>
        <v>0</v>
      </c>
      <c r="BW196" s="1626">
        <f>0</f>
        <v>0</v>
      </c>
      <c r="BX196" s="1626">
        <f>0</f>
        <v>0</v>
      </c>
      <c r="BY196" s="1626">
        <f>0</f>
        <v>0</v>
      </c>
      <c r="BZ196" s="1626">
        <f>0</f>
        <v>0</v>
      </c>
      <c r="CA196" s="1626">
        <f>0</f>
        <v>0</v>
      </c>
      <c r="CB196" s="1626">
        <f>0</f>
        <v>0</v>
      </c>
      <c r="CC196" s="1626">
        <f>0</f>
        <v>0</v>
      </c>
      <c r="CD196" s="1660">
        <f>q_HAOH_DESORP*X_HAO_H_P*M_inhSPO4_KiP_HAO_DESORP</f>
        <v>1.6666666666666669E-49</v>
      </c>
      <c r="CF196" s="2385">
        <f>E220*E196+F220*F196+G220*G196+H220*H196+I220*I196+J220*J196+K220*K196+L220*L196+M220*M196+N220*N196+O220*O196+P220*P196+Q220*Q196+R220*R196+S220*S196+T220*T196+U220*U196+V220*V196+W220*W196+X220*X196+Y220*Y196+Z220*Z196+AA220*AA196+AB220*AB196+AC220*AC196+AD220*AD196+AE220*AE196+AF220*AF196+AG220*AG196+AH220*AH196+AI220*AI196+AJ220*AJ196+AK220*AK196+AL220*AL196+AM220*AM196+AN220*AN196+AO220*AO196+AP220*AP196+AQ220*AQ196+AR220*AR196+AS220*AS196+AT220*AT196+AU220*AU196+AV220*AV196+AW220*AW196+AX220*AX196+AY220*AY196+AZ220*AZ196+BA220*BA196+BB220*BB196+BC220*BC196+BD220*BD196+BE220*BE196+BF220*BF196+BG220*BG196+BH220*BH196+BI220*BI196+BJ220*BJ196+BK220*BK196+BL220*BL196+BM220*BM196+BN220*BN196+BO220*BO196+BP220*BP196+BQ220*BQ196+BR220*BR196+BS220*BS196+BT220*BT196+BU220*BU196+BV220*BV196+BW220*BW196+BX220*BX196+BY220*BY196+BZ220*BZ196+CA220*CA196+CB220*CB196+CC220*CC196</f>
        <v>0</v>
      </c>
      <c r="CG196" s="2385">
        <f>E221*E196+F221*F196+G221*G196+H221*H196+I221*I196+J221*J196+K221*K196+L221*L196+M221*M196+N221*N196+O221*O196+P221*P196+Q221*Q196+R221*R196+S221*S196+T221*T196+U221*U196+V221*V196+W221*W196+X221*X196+Y221*Y196+Z221*Z196+AA221*AA196+AB221*AB196+AC221*AC196+AD221*AD196+AE221*AE196+AF221*AF196+AG221*AG196+AH221*AH196+AI221*AI196+AJ221*AJ196+AK221*AK196+AL221*AL196+AM221*AM196+AN221*AN196+AO221*AO196+AP221*AP196+AQ221*AQ196+AR221*AR196+AS221*AS196+AT221*AT196+AU221*AU196+AV221*AV196+AW221*AW196+AX221*AX196+AY221*AY196+AZ221*AZ196+BA221*BA196+BB221*BB196+BC221*BC196+BD221*BD196+BE221*BE196+BF221*BF196+BG221*BG196+BH221*BH196+BI221*BI196+BJ221*BJ196+BK221*BK196+BL221*BL196+BM221*BM196+BN221*BN196+BO221*BO196+BP221*BP196+BQ221*BQ196+BR221*BR196+BS221*BS196+BT221*BT196+BU221*BU196+BV221*BV196+BW221*BW196+BX221*BX196+BY221*BY196+BZ221*BZ196+CA221*CA196+CB221*CB196+CC221*CC196</f>
        <v>0</v>
      </c>
      <c r="CH196" s="2386">
        <f>E222*E196+F222*F196+G222*G196+H222*H196+I222*I196+J222*J196+K222*K196+L222*L196+M222*M196+N222*N196+O222*O196+P222*P196+Q222*Q196+R222*R196+S222*S196+T222*T196+U222*U196+V222*V196+W222*W196+X222*X196+Y222*Y196+Z222*Z196+AA222*AA196+AB222*AB196+AC222*AC196+AD222*AD196+AE222*AE196+AF222*AF196+AG222*AG196+AH222*AH196+AI222*AI196+AJ222*AJ196+AK222*AK196+AL222*AL196+AM222*AM196+AN222*AN196+AO222*AO196+AP222*AP196+AQ222*AQ196+AR222*AR196+AS222*AS196+AT222*AT196+AU222*AU196+AV222*AV196+AW222*AW196+AX222*AX196+AY222*AY196+AZ222*AZ196+BA222*BA196+BB222*BB196+BC222*BC196+BD222*BD196+BE222*BE196+BF222*BF196+BG222*BG196+BH222*BH196+BI222*BI196+BJ222*BJ196+BK222*BK196+BL222*BL196+BM222*BM196+BN222*BN196+BO222*BO196+BP222*BP196+BQ222*BQ196+BR222*BR196+BS222*BS196+BT222*BT196+BU222*BU196+BV222*BV196+BW222*BW196+BX222*BX196+BY222*BY196+BZ222*BZ196+CA222*CA196+CB222*CB196+CC222*CC196</f>
        <v>0</v>
      </c>
      <c r="CI196" s="2387">
        <f>E223*E196+F223*F196+G223*G196+H223*H196+I223*I196+J223*J196+K223*K196+L223*L196+M223*M196+N223*N196+O223*O196+P223*P196+Q223*Q196+R223*R196+S223*S196+T223*T196+U223*U196+V223*V196+W223*W196+X223*X196+Y223*Y196+Z223*Z196+AA223*AA196+AB223*AB196+AC223*AC196+AD223*AD196+AE223*AE196+AF223*AF196+AG223*AG196+AH223*AH196+AI223*AI196+AJ223*AJ196+AK223*AK196+AL223*AL196+AM223*AM196+AN223*AN196+AO223*AO196+AP223*AP196+AQ223*AQ196+AR223*AR196+AS223*AS196+AT223*AT196+AU223*AU196+AV223*AV196+AW223*AW196+AX223*AX196+AY223*AY196+AZ223*AZ196+BA223*BA196+BB223*BB196+BC223*BC196+BD223*BD196+BE223*BE196+BF223*BF196+BG223*BG196+BH223*BH196+BI223*BI196+BJ223*BJ196+BK223*BK196+BL223*BL196+BM223*BM196+BN223*BN196+BO223*BO196+BP223*BP196+BQ223*BQ196+BR223*BR196+BS223*BS196+BT223*BT196+BU223*BU196+BV223*BV196+BW223*BW196+BX223*BX196+BY223*BY196+BZ223*BZ196+CA223*CA196+CB223*CB196+CC223*CC196</f>
        <v>0</v>
      </c>
      <c r="CJ196" s="2387">
        <f>E224*E196+F224*F196+G224*G196+H224*H196+I224*I196+J224*J196+K224*K196+L224*L196+M224*M196+N224*N196+O224*O196+P224*P196+Q224*Q196+R224*R196+S224*S196+T224*T196+U224*U196+V224*V196+W224*W196+X224*X196+Y224*Y196+Z224*Z196+AA224*AA196+AB224*AB196+AC224*AC196+AD224*AD196+AE224*AE196+AF224*AF196+AG224*AG196+AH224*AH196+AI224*AI196+AJ224*AJ196+AK224*AK196+AL224*AL196+AM224*AM196+AN224*AN196+AO224*AO196+AP224*AP196+AQ224*AQ196+AR224*AR196+AS224*AS196+AT224*AT196+AU224*AU196+AV224*AV196+AW224*AW196+AX224*AX196+AY224*AY196+AZ224*AZ196+BA224*BA196+BB224*BB196+BC224*BC196+BD224*BD196+BE224*BE196+BF224*BF196+BG224*BG196+BH224*BH196+BI224*BI196+BJ224*BJ196+BK224*BK196+BL224*BL196+BM224*BM196+BN224*BN196+BO224*BO196+BP224*BP196+BQ224*BQ196+BR224*BR196+BS224*BS196+BT224*BT196+BU224*BU196+BV224*BV196+BW224*BW196+BX224*BX196+BY224*BY196+BZ224*BZ196+CA224*CA196+CB224*CB196+CC224*CC196</f>
        <v>0</v>
      </c>
      <c r="CK196" s="2387">
        <f>E225*E196+F225*F196+G225*G196+H225*H196+I225*I196+J225*J196+K225*K196+L225*L196+M225*M196+N225*N196+O225*O196+P225*P196+Q225*Q196+R225*R196+S225*S196+T225*T196+U225*U196+V225*V196+W225*W196+X225*X196+Y225*Y196+Z225*Z196+AA225*AA196+AB225*AB196+AC225*AC196+AD225*AD196+AE225*AE196+AF225*AF196+AG225*AG196+AH225*AH196+AI225*AI196+AJ225*AJ196+AK225*AK196+AL225*AL196+AM225*AM196+AN225*AN196+AO225*AO196+AP225*AP196+AQ225*AQ196+AR225*AR196+AS225*AS196+AT225*AT196+AU225*AU196+AV225*AV196+AW225*AW196+AX225*AX196+AY225*AY196+AZ225*AZ196+BA225*BA196+BB225*BB196+BC225*BC196+BD225*BD196+BE225*BE196+BF225*BF196+BG225*BG196+BH225*BH196+BI225*BI196+BJ225*BJ196+BK225*BK196+BL225*BL196+BM225*BM196+BN225*BN196+BO225*BO196+BP225*BP196+BQ225*BQ196+BR225*BR196+BS225*BS196+BT225*BT196+BU225*BU196+BV225*BV196+BW225*BW196+BX225*BX196+BY225*BY196+BZ225*BZ196+CA225*CA196+CB225*CB196+CC225*CC196</f>
        <v>0</v>
      </c>
      <c r="CL196" s="2387">
        <f>E226*E196+F226*F196+G226*G196+H226*H196+I226*I196+J226*J196+K226*K196+L226*L196+M226*M196+N226*N196+O226*O196+P226*P196+Q226*Q196+R226*R196+S226*S196+T226*T196+U226*U196+V226*V196+W226*W196+X226*X196+Y226*Y196+Z226*Z196+AA226*AA196+AB226*AB196+AC226*AC196+AD226*AD196+AE226*AE196+AF226*AF196+AG226*AG196+AH226*AH196+AI226*AI196+AJ226*AJ196+AK226*AK196+AL226*AL196+AM226*AM196+AN226*AN196+AO226*AO196+AP226*AP196+AQ226*AQ196+AR226*AR196+AS226*AS196+AT226*AT196+AU226*AU196+AV226*AV196+AW226*AW196+AX226*AX196+AY226*AY196+AZ226*AZ196+BA226*BA196+BB226*BB196+BC226*BC196+BD226*BD196+BE226*BE196+BF226*BF196+BG226*BG196+BH226*BH196+BI226*BI196+BJ226*BJ196+BK226*BK196+BL226*BL196+BM226*BM196+BN226*BN196+BO226*BO196+BP226*BP196+BQ226*BQ196+BR226*BR196+BS226*BS196+BT226*BT196+BU226*BU196+BV226*BV196+BW226*BW196+BX226*BX196+BY226*BY196+BZ226*BZ196+CA226*CA196+CB226*CB196+CC226*CC196</f>
        <v>0</v>
      </c>
      <c r="CM196" s="2387">
        <f>E227*E196+F227*F196+G227*G196+H227*H196+I227*I196+J227*J196+K227*K196+L227*L196+M227*M196+N227*N196+O227*O196+P227*P196+Q227*Q196+R227*R196+S227*S196+T227*T196+U227*U196+V227*V196+W227*W196+X227*X196+Y227*Y196+Z227*Z196+AA227*AA196+AB227*AB196+AC227*AC196+AD227*AD196+AE227*AE196+AF227*AF196+AG227*AG196+AH227*AH196+AI227*AI196+AJ227*AJ196+AK227*AK196+AL227*AL196+AM227*AM196+AN227*AN196+AO227*AO196+AP227*AP196+AQ227*AQ196+AR227*AR196+AS227*AS196+AT227*AT196+AU227*AU196+AV227*AV196+AW227*AW196+AX227*AX196+AY227*AY196+AZ227*AZ196+BA227*BA196+BB227*BB196+BC227*BC196+BD227*BD196+BE227*BE196+BF227*BF196+BG227*BG196+BH227*BH196+BI227*BI196+BJ227*BJ196+BK227*BK196+BL227*BL196+BM227*BM196+BN227*BN196+BO227*BO196+BP227*BP196+BQ227*BQ196+BR227*BR196+BS227*BS196+BT227*BT196+BU227*BU196+BV227*BV196+BW227*BW196+BX227*BX196+BY227*BY196+BZ227*BZ196+CA227*CA196+CB227*CB196+CC227*CC196</f>
        <v>0</v>
      </c>
      <c r="CN196" s="2387">
        <f>E228*E196+F228*F196+G228*G196+H228*H196+I228*I196+J228*J196+K228*K196+L228*L196+M228*M196+N228*N196+O228*O196+P228*P196+Q228*Q196+R228*R196+S228*S196+T228*T196+U228*U196+V228*V196+W228*W196+X228*X196+Y228*Y196+Z228*Z196+AA228*AA196+AB228*AB196+AC228*AC196+AD228*AD196+AE228*AE196+AF228*AF196+AG228*AG196+AH228*AH196+AI228*AI196+AJ228*AJ196+AK228*AK196+AL228*AL196+AM228*AM196+AN228*AN196+AO228*AO196+AP228*AP196+AQ228*AQ196+AR228*AR196+AS228*AS196+AT228*AT196+AU228*AU196+AV228*AV196+AW228*AW196+AX228*AX196+AY228*AY196+AZ228*AZ196+BA228*BA196+BB228*BB196+BC228*BC196+BD228*BD196+BE228*BE196+BF228*BF196+BG228*BG196+BH228*BH196+BI228*BI196+BJ228*BJ196+BK228*BK196+BL228*BL196+BM228*BM196+BN228*BN196+BO228*BO196+BP228*BP196+BQ228*BQ196+BR228*BR196+BS228*BS196+BT228*BT196+BU228*BU196+BV228*BV196+BW228*BW196+BX228*BX196+BY228*BY196+BZ228*BZ196+CA228*CA196+CB228*CB196+CC228*CC196</f>
        <v>0</v>
      </c>
      <c r="CO196" s="2387">
        <f>E229*E196+F229*F196+G229*G196+H229*H196+I229*I196+J229*J196+K229*K196+L229*L196+M229*M196+N229*N196+O229*O196+P229*P196+Q229*Q196+R229*R196+S229*S196+T229*T196+U229*U196+V229*V196+W229*W196+X229*X196+Y229*Y196+Z229*Z196+AA229*AA196+AB229*AB196+AC229*AC196+AD229*AD196+AE229*AE196+AF229*AF196+AG229*AG196+AH229*AH196+AI229*AI196+AJ229*AJ196+AK229*AK196+AL229*AL196+AM229*AM196+AN229*AN196+AO229*AO196+AP229*AP196+AQ229*AQ196+AR229*AR196+AS229*AS196+AT229*AT196+AU229*AU196+AV229*AV196+AW229*AW196+AX229*AX196+AY229*AY196+AZ229*AZ196+BA229*BA196+BB229*BB196+BC229*BC196+BD229*BD196+BE229*BE196+BF229*BF196+BG229*BG196+BH229*BH196+BI229*BI196+BJ229*BJ196+BK229*BK196+BL229*BL196+BM229*BM196+BN229*BN196+BO229*BO196+BP229*BP196+BQ229*BQ196+BR229*BR196+BS229*BS196+BT229*BT196+BU229*BU196+BV229*BV196+BW229*BW196+BX229*BX196+BY229*BY196+BZ229*BZ196+CA229*CA196+CB229*CB196+CC229*CC196</f>
        <v>0</v>
      </c>
      <c r="CP196" s="2387">
        <f>E230*E196+F230*F196+G230*G196+H230*H196+I230*I196+J230*J196+K230*K196+L230*L196+M230*M196+N230*N196+O230*O196+P230*P196+Q230*Q196+R230*R196+S230*S196+T230*T196+U230*U196+V230*V196+W230*W196+X230*X196+Y230*Y196+Z230*Z196+AA230*AA196+AB230*AB196+AC230*AC196+AD230*AD196+AE230*AE196+AF230*AF196+AG230*AG196+AH230*AH196+AI230*AI196+AJ230*AJ196+AK230*AK196+AL230*AL196+AM230*AM196+AN230*AN196+AO230*AO196+AP230*AP196+AQ230*AQ196+AR230*AR196+AS230*AS196+AT230*AT196+AU230*AU196+AV230*AV196+AW230*AW196+AX230*AX196+AY230*AY196+AZ230*AZ196+BA230*BA196+BB230*BB196+BC230*BC196+BD230*BD196+BE230*BE196+BF230*BF196+BG230*BG196+BH230*BH196+BI230*BI196+BJ230*BJ196+BK230*BK196+BL230*BL196+BM230*BM196+BN230*BN196+BO230*BO196+BP230*BP196+BQ230*BQ196+BR230*BR196+BS230*BS196+BT230*BT196+BU230*BU196+BV230*BV196+BW230*BW196+BX230*BX196+BY230*BY196+BZ230*BZ196+CA230*CA196+CB230*CB196+CC230*CC196</f>
        <v>0</v>
      </c>
    </row>
    <row r="197" spans="2:94" ht="18" x14ac:dyDescent="0.25">
      <c r="B197" s="1595">
        <v>78</v>
      </c>
      <c r="C197" s="1084" t="s">
        <v>3071</v>
      </c>
      <c r="D197" s="1076" t="s">
        <v>3909</v>
      </c>
      <c r="E197" s="1622">
        <f>0</f>
        <v>0</v>
      </c>
      <c r="F197" s="1622">
        <f>0</f>
        <v>0</v>
      </c>
      <c r="G197" s="1622">
        <f>0</f>
        <v>0</v>
      </c>
      <c r="H197" s="1622">
        <f>0</f>
        <v>0</v>
      </c>
      <c r="I197" s="1622">
        <f>0</f>
        <v>0</v>
      </c>
      <c r="J197" s="1622">
        <f>0</f>
        <v>0</v>
      </c>
      <c r="K197" s="1622">
        <f>0</f>
        <v>0</v>
      </c>
      <c r="L197" s="1622">
        <f>0</f>
        <v>0</v>
      </c>
      <c r="M197" s="1622">
        <f>0</f>
        <v>0</v>
      </c>
      <c r="N197" s="1622">
        <f>0</f>
        <v>0</v>
      </c>
      <c r="O197" s="1622">
        <f>0</f>
        <v>0</v>
      </c>
      <c r="P197" s="1622">
        <f>0</f>
        <v>0</v>
      </c>
      <c r="Q197" s="1626">
        <f>0</f>
        <v>0</v>
      </c>
      <c r="R197" s="1622">
        <f>0</f>
        <v>0</v>
      </c>
      <c r="S197" s="1622">
        <f>0</f>
        <v>0</v>
      </c>
      <c r="T197" s="1622">
        <f>0</f>
        <v>0</v>
      </c>
      <c r="U197" s="1622">
        <f>0</f>
        <v>0</v>
      </c>
      <c r="V197" s="1622">
        <f>0</f>
        <v>0</v>
      </c>
      <c r="W197" s="1622">
        <f>0</f>
        <v>0</v>
      </c>
      <c r="X197" s="1622">
        <f>0</f>
        <v>0</v>
      </c>
      <c r="Y197" s="1622">
        <f>0</f>
        <v>0</v>
      </c>
      <c r="Z197" s="1622">
        <f>0</f>
        <v>0</v>
      </c>
      <c r="AA197" s="1622">
        <f>0</f>
        <v>0</v>
      </c>
      <c r="AB197" s="1622">
        <f>0</f>
        <v>0</v>
      </c>
      <c r="AC197" s="1626">
        <f>0</f>
        <v>0</v>
      </c>
      <c r="AD197" s="1622">
        <f>0</f>
        <v>0</v>
      </c>
      <c r="AE197" s="1622">
        <f>0</f>
        <v>0</v>
      </c>
      <c r="AF197" s="1626">
        <f>(A_SFHAO_L*(A_MP/A_MAl))</f>
        <v>0.11479629449808203</v>
      </c>
      <c r="AG197" s="1622">
        <f>0</f>
        <v>0</v>
      </c>
      <c r="AH197" s="1626">
        <f>0</f>
        <v>0</v>
      </c>
      <c r="AI197" s="1622">
        <f>0</f>
        <v>0</v>
      </c>
      <c r="AJ197" s="1622">
        <f>0</f>
        <v>0</v>
      </c>
      <c r="AK197" s="1626">
        <f>0</f>
        <v>0</v>
      </c>
      <c r="AL197" s="1622">
        <f>0</f>
        <v>0</v>
      </c>
      <c r="AM197" s="1622">
        <f>0</f>
        <v>0</v>
      </c>
      <c r="AN197" s="1622">
        <f>0</f>
        <v>0</v>
      </c>
      <c r="AO197" s="1622">
        <f>0</f>
        <v>0</v>
      </c>
      <c r="AP197" s="1622">
        <f>0</f>
        <v>0</v>
      </c>
      <c r="AQ197" s="1622">
        <f>0</f>
        <v>0</v>
      </c>
      <c r="AR197" s="1626">
        <f>0</f>
        <v>0</v>
      </c>
      <c r="AS197" s="1622">
        <f>0</f>
        <v>0</v>
      </c>
      <c r="AT197" s="1622">
        <f>0</f>
        <v>0</v>
      </c>
      <c r="AU197" s="1622">
        <f>0</f>
        <v>0</v>
      </c>
      <c r="AV197" s="1626">
        <f>0</f>
        <v>0</v>
      </c>
      <c r="AW197" s="1622">
        <f>0</f>
        <v>0</v>
      </c>
      <c r="AX197" s="1626">
        <f>0</f>
        <v>0</v>
      </c>
      <c r="AY197" s="1626">
        <f>0</f>
        <v>0</v>
      </c>
      <c r="AZ197" s="1119">
        <f>0</f>
        <v>0</v>
      </c>
      <c r="BA197" s="1119">
        <f>0</f>
        <v>0</v>
      </c>
      <c r="BB197" s="1119">
        <f>0</f>
        <v>0</v>
      </c>
      <c r="BC197" s="1119">
        <f>0</f>
        <v>0</v>
      </c>
      <c r="BD197" s="1119">
        <f>1</f>
        <v>1</v>
      </c>
      <c r="BE197" s="1119">
        <f>0</f>
        <v>0</v>
      </c>
      <c r="BF197" s="1119">
        <f>0</f>
        <v>0</v>
      </c>
      <c r="BG197" s="1119">
        <f>-1</f>
        <v>-1</v>
      </c>
      <c r="BH197" s="1119">
        <f>0</f>
        <v>0</v>
      </c>
      <c r="BI197" s="1119">
        <f>0</f>
        <v>0</v>
      </c>
      <c r="BJ197" s="1626">
        <f>0</f>
        <v>0</v>
      </c>
      <c r="BK197" s="1626">
        <f>0</f>
        <v>0</v>
      </c>
      <c r="BL197" s="1626">
        <f>0</f>
        <v>0</v>
      </c>
      <c r="BM197" s="1626">
        <f>0</f>
        <v>0</v>
      </c>
      <c r="BN197" s="1626">
        <f>0</f>
        <v>0</v>
      </c>
      <c r="BO197" s="1626">
        <f>0</f>
        <v>0</v>
      </c>
      <c r="BP197" s="1643">
        <f>0</f>
        <v>0</v>
      </c>
      <c r="BQ197" s="2380">
        <f>0</f>
        <v>0</v>
      </c>
      <c r="BR197" s="1626">
        <f>0</f>
        <v>0</v>
      </c>
      <c r="BS197" s="1626">
        <f>0</f>
        <v>0</v>
      </c>
      <c r="BT197" s="1626">
        <f>0</f>
        <v>0</v>
      </c>
      <c r="BU197" s="1626">
        <f>0</f>
        <v>0</v>
      </c>
      <c r="BV197" s="1626">
        <f>0</f>
        <v>0</v>
      </c>
      <c r="BW197" s="1626">
        <f>0</f>
        <v>0</v>
      </c>
      <c r="BX197" s="1626">
        <f>0</f>
        <v>0</v>
      </c>
      <c r="BY197" s="1626">
        <f>0</f>
        <v>0</v>
      </c>
      <c r="BZ197" s="1626">
        <f>0</f>
        <v>0</v>
      </c>
      <c r="CA197" s="1626">
        <f>0</f>
        <v>0</v>
      </c>
      <c r="CB197" s="1626">
        <f>0</f>
        <v>0</v>
      </c>
      <c r="CC197" s="1626">
        <f>0</f>
        <v>0</v>
      </c>
      <c r="CD197" s="1660">
        <f>q_HAOL_DESORP*X_HAO_L_P*M_inhSPO4_KiP_HAO_DESORP</f>
        <v>1.6666666666666666E-50</v>
      </c>
      <c r="CF197" s="2385">
        <f>E220*E197+F220*F197+G220*G197+H220*H197+I220*I197+J220*J197+K220*K197+L220*L197+M220*M197+N220*N197+O220*O197+P220*P197+Q220*Q197+R220*R197+S220*S197+T220*T197+U220*U197+V220*V197+W220*W197+X220*X197+Y220*Y197+Z220*Z197+AA220*AA197+AB220*AB197+AC220*AC197+AD220*AD197+AE220*AE197+AF220*AF197+AG220*AG197+AH220*AH197+AI220*AI197+AJ220*AJ197+AK220*AK197+AL220*AL197+AM220*AM197+AN220*AN197+AO220*AO197+AP220*AP197+AQ220*AQ197+AR220*AR197+AS220*AS197+AT220*AT197+AU220*AU197+AV220*AV197+AW220*AW197+AX220*AX197+AY220*AY197+AZ220*AZ197+BA220*BA197+BB220*BB197+BC220*BC197+BD220*BD197+BE220*BE197+BF220*BF197+BG220*BG197+BH220*BH197+BI220*BI197+BJ220*BJ197+BK220*BK197+BL220*BL197+BM220*BM197+BN220*BN197+BO220*BO197+BP220*BP197+BQ220*BQ197+BR220*BR197+BS220*BS197+BT220*BT197+BU220*BU197+BV220*BV197+BW220*BW197+BX220*BX197+BY220*BY197+BZ220*BZ197+CA220*CA197+CB220*CB197+CC220*CC197</f>
        <v>0</v>
      </c>
      <c r="CG197" s="2385">
        <f>E221*E197+F221*F197+G221*G197+H221*H197+I221*I197+J221*J197+K221*K197+L221*L197+M221*M197+N221*N197+O221*O197+P221*P197+Q221*Q197+R221*R197+S221*S197+T221*T197+U221*U197+V221*V197+W221*W197+X221*X197+Y221*Y197+Z221*Z197+AA221*AA197+AB221*AB197+AC221*AC197+AD221*AD197+AE221*AE197+AF221*AF197+AG221*AG197+AH221*AH197+AI221*AI197+AJ221*AJ197+AK221*AK197+AL221*AL197+AM221*AM197+AN221*AN197+AO221*AO197+AP221*AP197+AQ221*AQ197+AR221*AR197+AS221*AS197+AT221*AT197+AU221*AU197+AV221*AV197+AW221*AW197+AX221*AX197+AY221*AY197+AZ221*AZ197+BA221*BA197+BB221*BB197+BC221*BC197+BD221*BD197+BE221*BE197+BF221*BF197+BG221*BG197+BH221*BH197+BI221*BI197+BJ221*BJ197+BK221*BK197+BL221*BL197+BM221*BM197+BN221*BN197+BO221*BO197+BP221*BP197+BQ221*BQ197+BR221*BR197+BS221*BS197+BT221*BT197+BU221*BU197+BV221*BV197+BW221*BW197+BX221*BX197+BY221*BY197+BZ221*BZ197+CA221*CA197+CB221*CB197+CC221*CC197</f>
        <v>0</v>
      </c>
      <c r="CH197" s="2386">
        <f>E222*E197+F222*F197+G222*G197+H222*H197+I222*I197+J222*J197+K222*K197+L222*L197+M222*M197+N222*N197+O222*O197+P222*P197+Q222*Q197+R222*R197+S222*S197+T222*T197+U222*U197+V222*V197+W222*W197+X222*X197+Y222*Y197+Z222*Z197+AA222*AA197+AB222*AB197+AC222*AC197+AD222*AD197+AE222*AE197+AF222*AF197+AG222*AG197+AH222*AH197+AI222*AI197+AJ222*AJ197+AK222*AK197+AL222*AL197+AM222*AM197+AN222*AN197+AO222*AO197+AP222*AP197+AQ222*AQ197+AR222*AR197+AS222*AS197+AT222*AT197+AU222*AU197+AV222*AV197+AW222*AW197+AX222*AX197+AY222*AY197+AZ222*AZ197+BA222*BA197+BB222*BB197+BC222*BC197+BD222*BD197+BE222*BE197+BF222*BF197+BG222*BG197+BH222*BH197+BI222*BI197+BJ222*BJ197+BK222*BK197+BL222*BL197+BM222*BM197+BN222*BN197+BO222*BO197+BP222*BP197+BQ222*BQ197+BR222*BR197+BS222*BS197+BT222*BT197+BU222*BU197+BV222*BV197+BW222*BW197+BX222*BX197+BY222*BY197+BZ222*BZ197+CA222*CA197+CB222*CB197+CC222*CC197</f>
        <v>0</v>
      </c>
      <c r="CI197" s="2387">
        <f>E223*E197+F223*F197+G223*G197+H223*H197+I223*I197+J223*J197+K223*K197+L223*L197+M223*M197+N223*N197+O223*O197+P223*P197+Q223*Q197+R223*R197+S223*S197+T223*T197+U223*U197+V223*V197+W223*W197+X223*X197+Y223*Y197+Z223*Z197+AA223*AA197+AB223*AB197+AC223*AC197+AD223*AD197+AE223*AE197+AF223*AF197+AG223*AG197+AH223*AH197+AI223*AI197+AJ223*AJ197+AK223*AK197+AL223*AL197+AM223*AM197+AN223*AN197+AO223*AO197+AP223*AP197+AQ223*AQ197+AR223*AR197+AS223*AS197+AT223*AT197+AU223*AU197+AV223*AV197+AW223*AW197+AX223*AX197+AY223*AY197+AZ223*AZ197+BA223*BA197+BB223*BB197+BC223*BC197+BD223*BD197+BE223*BE197+BF223*BF197+BG223*BG197+BH223*BH197+BI223*BI197+BJ223*BJ197+BK223*BK197+BL223*BL197+BM223*BM197+BN223*BN197+BO223*BO197+BP223*BP197+BQ223*BQ197+BR223*BR197+BS223*BS197+BT223*BT197+BU223*BU197+BV223*BV197+BW223*BW197+BX223*BX197+BY223*BY197+BZ223*BZ197+CA223*CA197+CB223*CB197+CC223*CC197</f>
        <v>0</v>
      </c>
      <c r="CJ197" s="2387">
        <f>E224*E197+F224*F197+G224*G197+H224*H197+I224*I197+J224*J197+K224*K197+L224*L197+M224*M197+N224*N197+O224*O197+P224*P197+Q224*Q197+R224*R197+S224*S197+T224*T197+U224*U197+V224*V197+W224*W197+X224*X197+Y224*Y197+Z224*Z197+AA224*AA197+AB224*AB197+AC224*AC197+AD224*AD197+AE224*AE197+AF224*AF197+AG224*AG197+AH224*AH197+AI224*AI197+AJ224*AJ197+AK224*AK197+AL224*AL197+AM224*AM197+AN224*AN197+AO224*AO197+AP224*AP197+AQ224*AQ197+AR224*AR197+AS224*AS197+AT224*AT197+AU224*AU197+AV224*AV197+AW224*AW197+AX224*AX197+AY224*AY197+AZ224*AZ197+BA224*BA197+BB224*BB197+BC224*BC197+BD224*BD197+BE224*BE197+BF224*BF197+BG224*BG197+BH224*BH197+BI224*BI197+BJ224*BJ197+BK224*BK197+BL224*BL197+BM224*BM197+BN224*BN197+BO224*BO197+BP224*BP197+BQ224*BQ197+BR224*BR197+BS224*BS197+BT224*BT197+BU224*BU197+BV224*BV197+BW224*BW197+BX224*BX197+BY224*BY197+BZ224*BZ197+CA224*CA197+CB224*CB197+CC224*CC197</f>
        <v>0</v>
      </c>
      <c r="CK197" s="2387">
        <f>E225*E197+F225*F197+G225*G197+H225*H197+I225*I197+J225*J197+K225*K197+L225*L197+M225*M197+N225*N197+O225*O197+P225*P197+Q225*Q197+R225*R197+S225*S197+T225*T197+U225*U197+V225*V197+W225*W197+X225*X197+Y225*Y197+Z225*Z197+AA225*AA197+AB225*AB197+AC225*AC197+AD225*AD197+AE225*AE197+AF225*AF197+AG225*AG197+AH225*AH197+AI225*AI197+AJ225*AJ197+AK225*AK197+AL225*AL197+AM225*AM197+AN225*AN197+AO225*AO197+AP225*AP197+AQ225*AQ197+AR225*AR197+AS225*AS197+AT225*AT197+AU225*AU197+AV225*AV197+AW225*AW197+AX225*AX197+AY225*AY197+AZ225*AZ197+BA225*BA197+BB225*BB197+BC225*BC197+BD225*BD197+BE225*BE197+BF225*BF197+BG225*BG197+BH225*BH197+BI225*BI197+BJ225*BJ197+BK225*BK197+BL225*BL197+BM225*BM197+BN225*BN197+BO225*BO197+BP225*BP197+BQ225*BQ197+BR225*BR197+BS225*BS197+BT225*BT197+BU225*BU197+BV225*BV197+BW225*BW197+BX225*BX197+BY225*BY197+BZ225*BZ197+CA225*CA197+CB225*CB197+CC225*CC197</f>
        <v>0</v>
      </c>
      <c r="CL197" s="2387">
        <f>E226*E197+F226*F197+G226*G197+H226*H197+I226*I197+J226*J197+K226*K197+L226*L197+M226*M197+N226*N197+O226*O197+P226*P197+Q226*Q197+R226*R197+S226*S197+T226*T197+U226*U197+V226*V197+W226*W197+X226*X197+Y226*Y197+Z226*Z197+AA226*AA197+AB226*AB197+AC226*AC197+AD226*AD197+AE226*AE197+AF226*AF197+AG226*AG197+AH226*AH197+AI226*AI197+AJ226*AJ197+AK226*AK197+AL226*AL197+AM226*AM197+AN226*AN197+AO226*AO197+AP226*AP197+AQ226*AQ197+AR226*AR197+AS226*AS197+AT226*AT197+AU226*AU197+AV226*AV197+AW226*AW197+AX226*AX197+AY226*AY197+AZ226*AZ197+BA226*BA197+BB226*BB197+BC226*BC197+BD226*BD197+BE226*BE197+BF226*BF197+BG226*BG197+BH226*BH197+BI226*BI197+BJ226*BJ197+BK226*BK197+BL226*BL197+BM226*BM197+BN226*BN197+BO226*BO197+BP226*BP197+BQ226*BQ197+BR226*BR197+BS226*BS197+BT226*BT197+BU226*BU197+BV226*BV197+BW226*BW197+BX226*BX197+BY226*BY197+BZ226*BZ197+CA226*CA197+CB226*CB197+CC226*CC197</f>
        <v>0</v>
      </c>
      <c r="CM197" s="2387">
        <f>E227*E197+F227*F197+G227*G197+H227*H197+I227*I197+J227*J197+K227*K197+L227*L197+M227*M197+N227*N197+O227*O197+P227*P197+Q227*Q197+R227*R197+S227*S197+T227*T197+U227*U197+V227*V197+W227*W197+X227*X197+Y227*Y197+Z227*Z197+AA227*AA197+AB227*AB197+AC227*AC197+AD227*AD197+AE227*AE197+AF227*AF197+AG227*AG197+AH227*AH197+AI227*AI197+AJ227*AJ197+AK227*AK197+AL227*AL197+AM227*AM197+AN227*AN197+AO227*AO197+AP227*AP197+AQ227*AQ197+AR227*AR197+AS227*AS197+AT227*AT197+AU227*AU197+AV227*AV197+AW227*AW197+AX227*AX197+AY227*AY197+AZ227*AZ197+BA227*BA197+BB227*BB197+BC227*BC197+BD227*BD197+BE227*BE197+BF227*BF197+BG227*BG197+BH227*BH197+BI227*BI197+BJ227*BJ197+BK227*BK197+BL227*BL197+BM227*BM197+BN227*BN197+BO227*BO197+BP227*BP197+BQ227*BQ197+BR227*BR197+BS227*BS197+BT227*BT197+BU227*BU197+BV227*BV197+BW227*BW197+BX227*BX197+BY227*BY197+BZ227*BZ197+CA227*CA197+CB227*CB197+CC227*CC197</f>
        <v>0</v>
      </c>
      <c r="CN197" s="2387">
        <f>E228*E197+F228*F197+G228*G197+H228*H197+I228*I197+J228*J197+K228*K197+L228*L197+M228*M197+N228*N197+O228*O197+P228*P197+Q228*Q197+R228*R197+S228*S197+T228*T197+U228*U197+V228*V197+W228*W197+X228*X197+Y228*Y197+Z228*Z197+AA228*AA197+AB228*AB197+AC228*AC197+AD228*AD197+AE228*AE197+AF228*AF197+AG228*AG197+AH228*AH197+AI228*AI197+AJ228*AJ197+AK228*AK197+AL228*AL197+AM228*AM197+AN228*AN197+AO228*AO197+AP228*AP197+AQ228*AQ197+AR228*AR197+AS228*AS197+AT228*AT197+AU228*AU197+AV228*AV197+AW228*AW197+AX228*AX197+AY228*AY197+AZ228*AZ197+BA228*BA197+BB228*BB197+BC228*BC197+BD228*BD197+BE228*BE197+BF228*BF197+BG228*BG197+BH228*BH197+BI228*BI197+BJ228*BJ197+BK228*BK197+BL228*BL197+BM228*BM197+BN228*BN197+BO228*BO197+BP228*BP197+BQ228*BQ197+BR228*BR197+BS228*BS197+BT228*BT197+BU228*BU197+BV228*BV197+BW228*BW197+BX228*BX197+BY228*BY197+BZ228*BZ197+CA228*CA197+CB228*CB197+CC228*CC197</f>
        <v>0</v>
      </c>
      <c r="CO197" s="2387">
        <f>E229*E197+F229*F197+G229*G197+H229*H197+I229*I197+J229*J197+K229*K197+L229*L197+M229*M197+N229*N197+O229*O197+P229*P197+Q229*Q197+R229*R197+S229*S197+T229*T197+U229*U197+V229*V197+W229*W197+X229*X197+Y229*Y197+Z229*Z197+AA229*AA197+AB229*AB197+AC229*AC197+AD229*AD197+AE229*AE197+AF229*AF197+AG229*AG197+AH229*AH197+AI229*AI197+AJ229*AJ197+AK229*AK197+AL229*AL197+AM229*AM197+AN229*AN197+AO229*AO197+AP229*AP197+AQ229*AQ197+AR229*AR197+AS229*AS197+AT229*AT197+AU229*AU197+AV229*AV197+AW229*AW197+AX229*AX197+AY229*AY197+AZ229*AZ197+BA229*BA197+BB229*BB197+BC229*BC197+BD229*BD197+BE229*BE197+BF229*BF197+BG229*BG197+BH229*BH197+BI229*BI197+BJ229*BJ197+BK229*BK197+BL229*BL197+BM229*BM197+BN229*BN197+BO229*BO197+BP229*BP197+BQ229*BQ197+BR229*BR197+BS229*BS197+BT229*BT197+BU229*BU197+BV229*BV197+BW229*BW197+BX229*BX197+BY229*BY197+BZ229*BZ197+CA229*CA197+CB229*CB197+CC229*CC197</f>
        <v>0</v>
      </c>
      <c r="CP197" s="2387">
        <f>E230*E197+F230*F197+G230*G197+H230*H197+I230*I197+J230*J197+K230*K197+L230*L197+M230*M197+N230*N197+O230*O197+P230*P197+Q230*Q197+R230*R197+S230*S197+T230*T197+U230*U197+V230*V197+W230*W197+X230*X197+Y230*Y197+Z230*Z197+AA230*AA197+AB230*AB197+AC230*AC197+AD230*AD197+AE230*AE197+AF230*AF197+AG230*AG197+AH230*AH197+AI230*AI197+AJ230*AJ197+AK230*AK197+AL230*AL197+AM230*AM197+AN230*AN197+AO230*AO197+AP230*AP197+AQ230*AQ197+AR230*AR197+AS230*AS197+AT230*AT197+AU230*AU197+AV230*AV197+AW230*AW197+AX230*AX197+AY230*AY197+AZ230*AZ197+BA230*BA197+BB230*BB197+BC230*BC197+BD230*BD197+BE230*BE197+BF230*BF197+BG230*BG197+BH230*BH197+BI230*BI197+BJ230*BJ197+BK230*BK197+BL230*BL197+BM230*BM197+BN230*BN197+BO230*BO197+BP230*BP197+BQ230*BQ197+BR230*BR197+BS230*BS197+BT230*BT197+BU230*BU197+BV230*BV197+BW230*BW197+BX230*BX197+BY230*BY197+BZ230*BZ197+CA230*CA197+CB230*CB197+CC230*CC197</f>
        <v>0</v>
      </c>
    </row>
    <row r="198" spans="2:94" ht="18" x14ac:dyDescent="0.25">
      <c r="B198" s="1595">
        <v>79</v>
      </c>
      <c r="C198" s="1084" t="s">
        <v>3072</v>
      </c>
      <c r="D198" s="1076" t="s">
        <v>3912</v>
      </c>
      <c r="E198" s="1622">
        <f>0</f>
        <v>0</v>
      </c>
      <c r="F198" s="1622">
        <f>0</f>
        <v>0</v>
      </c>
      <c r="G198" s="1622">
        <f>0</f>
        <v>0</v>
      </c>
      <c r="H198" s="1622">
        <f>0</f>
        <v>0</v>
      </c>
      <c r="I198" s="1622">
        <f>0</f>
        <v>0</v>
      </c>
      <c r="J198" s="1622">
        <f>0</f>
        <v>0</v>
      </c>
      <c r="K198" s="1622">
        <f>0</f>
        <v>0</v>
      </c>
      <c r="L198" s="1622">
        <f>0</f>
        <v>0</v>
      </c>
      <c r="M198" s="1622">
        <f>0</f>
        <v>0</v>
      </c>
      <c r="N198" s="1622">
        <f>0</f>
        <v>0</v>
      </c>
      <c r="O198" s="1622">
        <f>0</f>
        <v>0</v>
      </c>
      <c r="P198" s="1622">
        <f>0</f>
        <v>0</v>
      </c>
      <c r="Q198" s="1626">
        <f>0</f>
        <v>0</v>
      </c>
      <c r="R198" s="1622">
        <f>0</f>
        <v>0</v>
      </c>
      <c r="S198" s="1622">
        <f>0</f>
        <v>0</v>
      </c>
      <c r="T198" s="1622">
        <f>0</f>
        <v>0</v>
      </c>
      <c r="U198" s="1622">
        <f>0</f>
        <v>0</v>
      </c>
      <c r="V198" s="1622">
        <f>0</f>
        <v>0</v>
      </c>
      <c r="W198" s="1622">
        <f>0</f>
        <v>0</v>
      </c>
      <c r="X198" s="1622">
        <f>0</f>
        <v>0</v>
      </c>
      <c r="Y198" s="1622">
        <f>0</f>
        <v>0</v>
      </c>
      <c r="Z198" s="1622">
        <f>0</f>
        <v>0</v>
      </c>
      <c r="AA198" s="1622">
        <f>0</f>
        <v>0</v>
      </c>
      <c r="AB198" s="1622">
        <f>0</f>
        <v>0</v>
      </c>
      <c r="AC198" s="1626">
        <f>0</f>
        <v>0</v>
      </c>
      <c r="AD198" s="1622">
        <f>0</f>
        <v>0</v>
      </c>
      <c r="AE198" s="1622">
        <f>0</f>
        <v>0</v>
      </c>
      <c r="AF198" s="1626">
        <f>(A_SFHAO_H*(A_MP/A_MAl))*X_HAO_H_P_old/(X_HAO_H_P_old+X_HAO_L_P_old)+(A_SFHAO_L*(A_MP/A_MAl))*X_HAO_L_P_old/(X_HAO_H_P_old+X_HAO_L_P_old)</f>
        <v>0.63137961973945111</v>
      </c>
      <c r="AG198" s="1622">
        <f>0</f>
        <v>0</v>
      </c>
      <c r="AH198" s="1626">
        <f>0</f>
        <v>0</v>
      </c>
      <c r="AI198" s="1622">
        <f>0</f>
        <v>0</v>
      </c>
      <c r="AJ198" s="1622">
        <f>0</f>
        <v>0</v>
      </c>
      <c r="AK198" s="1626">
        <f>0</f>
        <v>0</v>
      </c>
      <c r="AL198" s="1622">
        <f>0</f>
        <v>0</v>
      </c>
      <c r="AM198" s="1622">
        <f>0</f>
        <v>0</v>
      </c>
      <c r="AN198" s="1622">
        <f>0</f>
        <v>0</v>
      </c>
      <c r="AO198" s="1622">
        <f>0</f>
        <v>0</v>
      </c>
      <c r="AP198" s="1622">
        <f>0</f>
        <v>0</v>
      </c>
      <c r="AQ198" s="1622">
        <f>0</f>
        <v>0</v>
      </c>
      <c r="AR198" s="1626">
        <f>0</f>
        <v>0</v>
      </c>
      <c r="AS198" s="1622">
        <f>0</f>
        <v>0</v>
      </c>
      <c r="AT198" s="1622">
        <f>0</f>
        <v>0</v>
      </c>
      <c r="AU198" s="1622">
        <f>0</f>
        <v>0</v>
      </c>
      <c r="AV198" s="1626">
        <f>0</f>
        <v>0</v>
      </c>
      <c r="AW198" s="1622">
        <f>0</f>
        <v>0</v>
      </c>
      <c r="AX198" s="1626">
        <f>0</f>
        <v>0</v>
      </c>
      <c r="AY198" s="1626">
        <f>0</f>
        <v>0</v>
      </c>
      <c r="AZ198" s="1119">
        <f>0</f>
        <v>0</v>
      </c>
      <c r="BA198" s="1119">
        <f>0</f>
        <v>0</v>
      </c>
      <c r="BB198" s="1119">
        <f>0</f>
        <v>0</v>
      </c>
      <c r="BC198" s="1119">
        <f>0</f>
        <v>0</v>
      </c>
      <c r="BD198" s="1119">
        <f>0</f>
        <v>0</v>
      </c>
      <c r="BE198" s="1119">
        <f>1</f>
        <v>1</v>
      </c>
      <c r="BF198" s="1119">
        <f>0</f>
        <v>0</v>
      </c>
      <c r="BG198" s="1119">
        <f>0</f>
        <v>0</v>
      </c>
      <c r="BH198" s="1631">
        <f>-X_HAO_H_P_old/(X_HAO_H_P_old+X_HAO_L_P_old)</f>
        <v>-0.5</v>
      </c>
      <c r="BI198" s="1631">
        <f>-X_HAO_L_P_old/(X_HAO_H_P_old+X_HAO_L_P_old)</f>
        <v>-0.5</v>
      </c>
      <c r="BJ198" s="1626">
        <f>0</f>
        <v>0</v>
      </c>
      <c r="BK198" s="1626">
        <f>0</f>
        <v>0</v>
      </c>
      <c r="BL198" s="1626">
        <f>0</f>
        <v>0</v>
      </c>
      <c r="BM198" s="1626">
        <f>0</f>
        <v>0</v>
      </c>
      <c r="BN198" s="1626">
        <f>0</f>
        <v>0</v>
      </c>
      <c r="BO198" s="1626">
        <f>0</f>
        <v>0</v>
      </c>
      <c r="BP198" s="1643">
        <f>0</f>
        <v>0</v>
      </c>
      <c r="BQ198" s="2380">
        <f>0</f>
        <v>0</v>
      </c>
      <c r="BR198" s="1626">
        <f>0</f>
        <v>0</v>
      </c>
      <c r="BS198" s="1626">
        <f>0</f>
        <v>0</v>
      </c>
      <c r="BT198" s="1626">
        <f>0</f>
        <v>0</v>
      </c>
      <c r="BU198" s="1626">
        <f>0</f>
        <v>0</v>
      </c>
      <c r="BV198" s="1626">
        <f>0</f>
        <v>0</v>
      </c>
      <c r="BW198" s="1626">
        <f>0</f>
        <v>0</v>
      </c>
      <c r="BX198" s="1626">
        <f>0</f>
        <v>0</v>
      </c>
      <c r="BY198" s="1626">
        <f>0</f>
        <v>0</v>
      </c>
      <c r="BZ198" s="1626">
        <f>0</f>
        <v>0</v>
      </c>
      <c r="CA198" s="1626">
        <f>0</f>
        <v>0</v>
      </c>
      <c r="CB198" s="1626">
        <f>0</f>
        <v>0</v>
      </c>
      <c r="CC198" s="1626">
        <f>0</f>
        <v>0</v>
      </c>
      <c r="CD198" s="1660">
        <f>q_HAO_DISS*(X_HAO_H_P_old+X_HAO_L_P_old)*L_oginhSPO4_KiP_HAO_DISS</f>
        <v>0</v>
      </c>
      <c r="CF198" s="2385">
        <f>E220*E198+F220*F198+G220*G198+H220*H198+I220*I198+J220*J198+K220*K198+L220*L198+M220*M198+N220*N198+O220*O198+P220*P198+Q220*Q198+R220*R198+S220*S198+T220*T198+U220*U198+V220*V198+W220*W198+X220*X198+Y220*Y198+Z220*Z198+AA220*AA198+AB220*AB198+AC220*AC198+AD220*AD198+AE220*AE198+AF220*AF198+AG220*AG198+AH220*AH198+AI220*AI198+AJ220*AJ198+AK220*AK198+AL220*AL198+AM220*AM198+AN220*AN198+AO220*AO198+AP220*AP198+AQ220*AQ198+AR220*AR198+AS220*AS198+AT220*AT198+AU220*AU198+AV220*AV198+AW220*AW198+AX220*AX198+AY220*AY198+AZ220*AZ198+BA220*BA198+BB220*BB198+BC220*BC198+BD220*BD198+BE220*BE198+BF220*BF198+BG220*BG198+BH220*BH198+BI220*BI198+BJ220*BJ198+BK220*BK198+BL220*BL198+BM220*BM198+BN220*BN198+BO220*BO198+BP220*BP198+BQ220*BQ198+BR220*BR198+BS220*BS198+BT220*BT198+BU220*BU198+BV220*BV198+BW220*BW198+BX220*BX198+BY220*BY198+BZ220*BZ198+CA220*CA198+CB220*CB198+CC220*CC198</f>
        <v>0</v>
      </c>
      <c r="CG198" s="2385">
        <f>E221*E198+F221*F198+G221*G198+H221*H198+I221*I198+J221*J198+K221*K198+L221*L198+M221*M198+N221*N198+O221*O198+P221*P198+Q221*Q198+R221*R198+S221*S198+T221*T198+U221*U198+V221*V198+W221*W198+X221*X198+Y221*Y198+Z221*Z198+AA221*AA198+AB221*AB198+AC221*AC198+AD221*AD198+AE221*AE198+AF221*AF198+AG221*AG198+AH221*AH198+AI221*AI198+AJ221*AJ198+AK221*AK198+AL221*AL198+AM221*AM198+AN221*AN198+AO221*AO198+AP221*AP198+AQ221*AQ198+AR221*AR198+AS221*AS198+AT221*AT198+AU221*AU198+AV221*AV198+AW221*AW198+AX221*AX198+AY221*AY198+AZ221*AZ198+BA221*BA198+BB221*BB198+BC221*BC198+BD221*BD198+BE221*BE198+BF221*BF198+BG221*BG198+BH221*BH198+BI221*BI198+BJ221*BJ198+BK221*BK198+BL221*BL198+BM221*BM198+BN221*BN198+BO221*BO198+BP221*BP198+BQ221*BQ198+BR221*BR198+BS221*BS198+BT221*BT198+BU221*BU198+BV221*BV198+BW221*BW198+BX221*BX198+BY221*BY198+BZ221*BZ198+CA221*CA198+CB221*CB198+CC221*CC198</f>
        <v>0</v>
      </c>
      <c r="CH198" s="2386">
        <f>E222*E198+F222*F198+G222*G198+H222*H198+I222*I198+J222*J198+K222*K198+L222*L198+M222*M198+N222*N198+O222*O198+P222*P198+Q222*Q198+R222*R198+S222*S198+T222*T198+U222*U198+V222*V198+W222*W198+X222*X198+Y222*Y198+Z222*Z198+AA222*AA198+AB222*AB198+AC222*AC198+AD222*AD198+AE222*AE198+AF222*AF198+AG222*AG198+AH222*AH198+AI222*AI198+AJ222*AJ198+AK222*AK198+AL222*AL198+AM222*AM198+AN222*AN198+AO222*AO198+AP222*AP198+AQ222*AQ198+AR222*AR198+AS222*AS198+AT222*AT198+AU222*AU198+AV222*AV198+AW222*AW198+AX222*AX198+AY222*AY198+AZ222*AZ198+BA222*BA198+BB222*BB198+BC222*BC198+BD222*BD198+BE222*BE198+BF222*BF198+BG222*BG198+BH222*BH198+BI222*BI198+BJ222*BJ198+BK222*BK198+BL222*BL198+BM222*BM198+BN222*BN198+BO222*BO198+BP222*BP198+BQ222*BQ198+BR222*BR198+BS222*BS198+BT222*BT198+BU222*BU198+BV222*BV198+BW222*BW198+BX222*BX198+BY222*BY198+BZ222*BZ198+CA222*CA198+CB222*CB198+CC222*CC198</f>
        <v>0</v>
      </c>
      <c r="CI198" s="2387">
        <f>E223*E198+F223*F198+G223*G198+H223*H198+I223*I198+J223*J198+K223*K198+L223*L198+M223*M198+N223*N198+O223*O198+P223*P198+Q223*Q198+R223*R198+S223*S198+T223*T198+U223*U198+V223*V198+W223*W198+X223*X198+Y223*Y198+Z223*Z198+AA223*AA198+AB223*AB198+AC223*AC198+AD223*AD198+AE223*AE198+AF223*AF198+AG223*AG198+AH223*AH198+AI223*AI198+AJ223*AJ198+AK223*AK198+AL223*AL198+AM223*AM198+AN223*AN198+AO223*AO198+AP223*AP198+AQ223*AQ198+AR223*AR198+AS223*AS198+AT223*AT198+AU223*AU198+AV223*AV198+AW223*AW198+AX223*AX198+AY223*AY198+AZ223*AZ198+BA223*BA198+BB223*BB198+BC223*BC198+BD223*BD198+BE223*BE198+BF223*BF198+BG223*BG198+BH223*BH198+BI223*BI198+BJ223*BJ198+BK223*BK198+BL223*BL198+BM223*BM198+BN223*BN198+BO223*BO198+BP223*BP198+BQ223*BQ198+BR223*BR198+BS223*BS198+BT223*BT198+BU223*BU198+BV223*BV198+BW223*BW198+BX223*BX198+BY223*BY198+BZ223*BZ198+CA223*CA198+CB223*CB198+CC223*CC198</f>
        <v>6.9388939039072284E-18</v>
      </c>
      <c r="CJ198" s="2387">
        <f>E224*E198+F224*F198+G224*G198+H224*H198+I224*I198+J224*J198+K224*K198+L224*L198+M224*M198+N224*N198+O224*O198+P224*P198+Q224*Q198+R224*R198+S224*S198+T224*T198+U224*U198+V224*V198+W224*W198+X224*X198+Y224*Y198+Z224*Z198+AA224*AA198+AB224*AB198+AC224*AC198+AD224*AD198+AE224*AE198+AF224*AF198+AG224*AG198+AH224*AH198+AI224*AI198+AJ224*AJ198+AK224*AK198+AL224*AL198+AM224*AM198+AN224*AN198+AO224*AO198+AP224*AP198+AQ224*AQ198+AR224*AR198+AS224*AS198+AT224*AT198+AU224*AU198+AV224*AV198+AW224*AW198+AX224*AX198+AY224*AY198+AZ224*AZ198+BA224*BA198+BB224*BB198+BC224*BC198+BD224*BD198+BE224*BE198+BF224*BF198+BG224*BG198+BH224*BH198+BI224*BI198+BJ224*BJ198+BK224*BK198+BL224*BL198+BM224*BM198+BN224*BN198+BO224*BO198+BP224*BP198+BQ224*BQ198+BR224*BR198+BS224*BS198+BT224*BT198+BU224*BU198+BV224*BV198+BW224*BW198+BX224*BX198+BY224*BY198+BZ224*BZ198+CA224*CA198+CB224*CB198+CC224*CC198</f>
        <v>0</v>
      </c>
      <c r="CK198" s="2387">
        <f>E225*E198+F225*F198+G225*G198+H225*H198+I225*I198+J225*J198+K225*K198+L225*L198+M225*M198+N225*N198+O225*O198+P225*P198+Q225*Q198+R225*R198+S225*S198+T225*T198+U225*U198+V225*V198+W225*W198+X225*X198+Y225*Y198+Z225*Z198+AA225*AA198+AB225*AB198+AC225*AC198+AD225*AD198+AE225*AE198+AF225*AF198+AG225*AG198+AH225*AH198+AI225*AI198+AJ225*AJ198+AK225*AK198+AL225*AL198+AM225*AM198+AN225*AN198+AO225*AO198+AP225*AP198+AQ225*AQ198+AR225*AR198+AS225*AS198+AT225*AT198+AU225*AU198+AV225*AV198+AW225*AW198+AX225*AX198+AY225*AY198+AZ225*AZ198+BA225*BA198+BB225*BB198+BC225*BC198+BD225*BD198+BE225*BE198+BF225*BF198+BG225*BG198+BH225*BH198+BI225*BI198+BJ225*BJ198+BK225*BK198+BL225*BL198+BM225*BM198+BN225*BN198+BO225*BO198+BP225*BP198+BQ225*BQ198+BR225*BR198+BS225*BS198+BT225*BT198+BU225*BU198+BV225*BV198+BW225*BW198+BX225*BX198+BY225*BY198+BZ225*BZ198+CA225*CA198+CB225*CB198+CC225*CC198</f>
        <v>0</v>
      </c>
      <c r="CL198" s="2387">
        <f>E226*E198+F226*F198+G226*G198+H226*H198+I226*I198+J226*J198+K226*K198+L226*L198+M226*M198+N226*N198+O226*O198+P226*P198+Q226*Q198+R226*R198+S226*S198+T226*T198+U226*U198+V226*V198+W226*W198+X226*X198+Y226*Y198+Z226*Z198+AA226*AA198+AB226*AB198+AC226*AC198+AD226*AD198+AE226*AE198+AF226*AF198+AG226*AG198+AH226*AH198+AI226*AI198+AJ226*AJ198+AK226*AK198+AL226*AL198+AM226*AM198+AN226*AN198+AO226*AO198+AP226*AP198+AQ226*AQ198+AR226*AR198+AS226*AS198+AT226*AT198+AU226*AU198+AV226*AV198+AW226*AW198+AX226*AX198+AY226*AY198+AZ226*AZ198+BA226*BA198+BB226*BB198+BC226*BC198+BD226*BD198+BE226*BE198+BF226*BF198+BG226*BG198+BH226*BH198+BI226*BI198+BJ226*BJ198+BK226*BK198+BL226*BL198+BM226*BM198+BN226*BN198+BO226*BO198+BP226*BP198+BQ226*BQ198+BR226*BR198+BS226*BS198+BT226*BT198+BU226*BU198+BV226*BV198+BW226*BW198+BX226*BX198+BY226*BY198+BZ226*BZ198+CA226*CA198+CB226*CB198+CC226*CC198</f>
        <v>0</v>
      </c>
      <c r="CM198" s="2387">
        <f>E227*E198+F227*F198+G227*G198+H227*H198+I227*I198+J227*J198+K227*K198+L227*L198+M227*M198+N227*N198+O227*O198+P227*P198+Q227*Q198+R227*R198+S227*S198+T227*T198+U227*U198+V227*V198+W227*W198+X227*X198+Y227*Y198+Z227*Z198+AA227*AA198+AB227*AB198+AC227*AC198+AD227*AD198+AE227*AE198+AF227*AF198+AG227*AG198+AH227*AH198+AI227*AI198+AJ227*AJ198+AK227*AK198+AL227*AL198+AM227*AM198+AN227*AN198+AO227*AO198+AP227*AP198+AQ227*AQ198+AR227*AR198+AS227*AS198+AT227*AT198+AU227*AU198+AV227*AV198+AW227*AW198+AX227*AX198+AY227*AY198+AZ227*AZ198+BA227*BA198+BB227*BB198+BC227*BC198+BD227*BD198+BE227*BE198+BF227*BF198+BG227*BG198+BH227*BH198+BI227*BI198+BJ227*BJ198+BK227*BK198+BL227*BL198+BM227*BM198+BN227*BN198+BO227*BO198+BP227*BP198+BQ227*BQ198+BR227*BR198+BS227*BS198+BT227*BT198+BU227*BU198+BV227*BV198+BW227*BW198+BX227*BX198+BY227*BY198+BZ227*BZ198+CA227*CA198+CB227*CB198+CC227*CC198</f>
        <v>0</v>
      </c>
      <c r="CN198" s="2387">
        <f>E228*E198+F228*F198+G228*G198+H228*H198+I228*I198+J228*J198+K228*K198+L228*L198+M228*M198+N228*N198+O228*O198+P228*P198+Q228*Q198+R228*R198+S228*S198+T228*T198+U228*U198+V228*V198+W228*W198+X228*X198+Y228*Y198+Z228*Z198+AA228*AA198+AB228*AB198+AC228*AC198+AD228*AD198+AE228*AE198+AF228*AF198+AG228*AG198+AH228*AH198+AI228*AI198+AJ228*AJ198+AK228*AK198+AL228*AL198+AM228*AM198+AN228*AN198+AO228*AO198+AP228*AP198+AQ228*AQ198+AR228*AR198+AS228*AS198+AT228*AT198+AU228*AU198+AV228*AV198+AW228*AW198+AX228*AX198+AY228*AY198+AZ228*AZ198+BA228*BA198+BB228*BB198+BC228*BC198+BD228*BD198+BE228*BE198+BF228*BF198+BG228*BG198+BH228*BH198+BI228*BI198+BJ228*BJ198+BK228*BK198+BL228*BL198+BM228*BM198+BN228*BN198+BO228*BO198+BP228*BP198+BQ228*BQ198+BR228*BR198+BS228*BS198+BT228*BT198+BU228*BU198+BV228*BV198+BW228*BW198+BX228*BX198+BY228*BY198+BZ228*BZ198+CA228*CA198+CB228*CB198+CC228*CC198</f>
        <v>0</v>
      </c>
      <c r="CO198" s="2387">
        <f>E229*E198+F229*F198+G229*G198+H229*H198+I229*I198+J229*J198+K229*K198+L229*L198+M229*M198+N229*N198+O229*O198+P229*P198+Q229*Q198+R229*R198+S229*S198+T229*T198+U229*U198+V229*V198+W229*W198+X229*X198+Y229*Y198+Z229*Z198+AA229*AA198+AB229*AB198+AC229*AC198+AD229*AD198+AE229*AE198+AF229*AF198+AG229*AG198+AH229*AH198+AI229*AI198+AJ229*AJ198+AK229*AK198+AL229*AL198+AM229*AM198+AN229*AN198+AO229*AO198+AP229*AP198+AQ229*AQ198+AR229*AR198+AS229*AS198+AT229*AT198+AU229*AU198+AV229*AV198+AW229*AW198+AX229*AX198+AY229*AY198+AZ229*AZ198+BA229*BA198+BB229*BB198+BC229*BC198+BD229*BD198+BE229*BE198+BF229*BF198+BG229*BG198+BH229*BH198+BI229*BI198+BJ229*BJ198+BK229*BK198+BL229*BL198+BM229*BM198+BN229*BN198+BO229*BO198+BP229*BP198+BQ229*BQ198+BR229*BR198+BS229*BS198+BT229*BT198+BU229*BU198+BV229*BV198+BW229*BW198+BX229*BX198+BY229*BY198+BZ229*BZ198+CA229*CA198+CB229*CB198+CC229*CC198</f>
        <v>0</v>
      </c>
      <c r="CP198" s="2387">
        <f>E230*E198+F230*F198+G230*G198+H230*H198+I230*I198+J230*J198+K230*K198+L230*L198+M230*M198+N230*N198+O230*O198+P230*P198+Q230*Q198+R230*R198+S230*S198+T230*T198+U230*U198+V230*V198+W230*W198+X230*X198+Y230*Y198+Z230*Z198+AA230*AA198+AB230*AB198+AC230*AC198+AD230*AD198+AE230*AE198+AF230*AF198+AG230*AG198+AH230*AH198+AI230*AI198+AJ230*AJ198+AK230*AK198+AL230*AL198+AM230*AM198+AN230*AN198+AO230*AO198+AP230*AP198+AQ230*AQ198+AR230*AR198+AS230*AS198+AT230*AT198+AU230*AU198+AV230*AV198+AW230*AW198+AX230*AX198+AY230*AY198+AZ230*AZ198+BA230*BA198+BB230*BB198+BC230*BC198+BD230*BD198+BE230*BE198+BF230*BF198+BG230*BG198+BH230*BH198+BI230*BI198+BJ230*BJ198+BK230*BK198+BL230*BL198+BM230*BM198+BN230*BN198+BO230*BO198+BP230*BP198+BQ230*BQ198+BR230*BR198+BS230*BS198+BT230*BT198+BU230*BU198+BV230*BV198+BW230*BW198+BX230*BX198+BY230*BY198+BZ230*BZ198+CA230*CA198+CB230*CB198+CC230*CC198</f>
        <v>0</v>
      </c>
    </row>
    <row r="199" spans="2:94" x14ac:dyDescent="0.25">
      <c r="B199" s="1596">
        <v>80</v>
      </c>
      <c r="C199" s="1534" t="s">
        <v>3073</v>
      </c>
      <c r="D199" s="1539" t="s">
        <v>1128</v>
      </c>
      <c r="E199" s="988">
        <f>0</f>
        <v>0</v>
      </c>
      <c r="F199" s="988">
        <f>0</f>
        <v>0</v>
      </c>
      <c r="G199" s="988">
        <f>0</f>
        <v>0</v>
      </c>
      <c r="H199" s="988">
        <f>0</f>
        <v>0</v>
      </c>
      <c r="I199" s="988">
        <f>0</f>
        <v>0</v>
      </c>
      <c r="J199" s="988">
        <f>0</f>
        <v>0</v>
      </c>
      <c r="K199" s="988">
        <f>0</f>
        <v>0</v>
      </c>
      <c r="L199" s="988">
        <f>0</f>
        <v>0</v>
      </c>
      <c r="M199" s="988">
        <f>0</f>
        <v>0</v>
      </c>
      <c r="N199" s="988">
        <f>0</f>
        <v>0</v>
      </c>
      <c r="O199" s="988">
        <f>0</f>
        <v>0</v>
      </c>
      <c r="P199" s="988">
        <f>0</f>
        <v>0</v>
      </c>
      <c r="Q199" s="995">
        <f>0</f>
        <v>0</v>
      </c>
      <c r="R199" s="988">
        <f>0</f>
        <v>0</v>
      </c>
      <c r="S199" s="988">
        <f>0</f>
        <v>0</v>
      </c>
      <c r="T199" s="988">
        <f>0</f>
        <v>0</v>
      </c>
      <c r="U199" s="988">
        <f>0</f>
        <v>0</v>
      </c>
      <c r="V199" s="988">
        <f>0</f>
        <v>0</v>
      </c>
      <c r="W199" s="988">
        <f>0</f>
        <v>0</v>
      </c>
      <c r="X199" s="988">
        <f>0</f>
        <v>0</v>
      </c>
      <c r="Y199" s="988">
        <f>0</f>
        <v>0</v>
      </c>
      <c r="Z199" s="988">
        <f>0</f>
        <v>0</v>
      </c>
      <c r="AA199" s="988">
        <f>0</f>
        <v>0</v>
      </c>
      <c r="AB199" s="988">
        <f>0</f>
        <v>0</v>
      </c>
      <c r="AC199" s="988">
        <f>0</f>
        <v>0</v>
      </c>
      <c r="AD199" s="988">
        <f>0</f>
        <v>0</v>
      </c>
      <c r="AE199" s="988">
        <f>0</f>
        <v>0</v>
      </c>
      <c r="AF199" s="995">
        <f>0</f>
        <v>0</v>
      </c>
      <c r="AG199" s="988">
        <f>0</f>
        <v>0</v>
      </c>
      <c r="AH199" s="988">
        <f>0</f>
        <v>0</v>
      </c>
      <c r="AI199" s="988">
        <f>0</f>
        <v>0</v>
      </c>
      <c r="AJ199" s="988">
        <f>0</f>
        <v>0</v>
      </c>
      <c r="AK199" s="988">
        <f>0</f>
        <v>0</v>
      </c>
      <c r="AL199" s="988">
        <f>0</f>
        <v>0</v>
      </c>
      <c r="AM199" s="988">
        <f>0</f>
        <v>0</v>
      </c>
      <c r="AN199" s="995">
        <f>-A_MC/M_MCaCO3</f>
        <v>-0.12000271763837225</v>
      </c>
      <c r="AO199" s="988">
        <f>0</f>
        <v>0</v>
      </c>
      <c r="AP199" s="988">
        <f>0</f>
        <v>0</v>
      </c>
      <c r="AQ199" s="988">
        <f>0</f>
        <v>0</v>
      </c>
      <c r="AR199" s="995">
        <f>-A_MCa/M_MCaCO3</f>
        <v>-0.40043202457064814</v>
      </c>
      <c r="AS199" s="988">
        <f>0</f>
        <v>0</v>
      </c>
      <c r="AT199" s="988">
        <f>0</f>
        <v>0</v>
      </c>
      <c r="AU199" s="995">
        <f>0</f>
        <v>0</v>
      </c>
      <c r="AV199" s="988">
        <f>0</f>
        <v>0</v>
      </c>
      <c r="AW199" s="988">
        <f>0</f>
        <v>0</v>
      </c>
      <c r="AX199" s="995">
        <f>0</f>
        <v>0</v>
      </c>
      <c r="AY199" s="995">
        <f>0</f>
        <v>0</v>
      </c>
      <c r="AZ199" s="988">
        <f>0</f>
        <v>0</v>
      </c>
      <c r="BA199" s="995">
        <f>0</f>
        <v>0</v>
      </c>
      <c r="BB199" s="995">
        <f>0</f>
        <v>0</v>
      </c>
      <c r="BC199" s="988">
        <f>0</f>
        <v>0</v>
      </c>
      <c r="BD199" s="988">
        <f>0</f>
        <v>0</v>
      </c>
      <c r="BE199" s="995">
        <f>0</f>
        <v>0</v>
      </c>
      <c r="BF199" s="995">
        <f>0</f>
        <v>0</v>
      </c>
      <c r="BG199" s="988">
        <f>0</f>
        <v>0</v>
      </c>
      <c r="BH199" s="995">
        <f>0</f>
        <v>0</v>
      </c>
      <c r="BI199" s="995">
        <f>0</f>
        <v>0</v>
      </c>
      <c r="BJ199" s="995">
        <f>1</f>
        <v>1</v>
      </c>
      <c r="BK199" s="995">
        <f>0</f>
        <v>0</v>
      </c>
      <c r="BL199" s="1079">
        <f>0</f>
        <v>0</v>
      </c>
      <c r="BM199" s="995">
        <f>0</f>
        <v>0</v>
      </c>
      <c r="BN199" s="995">
        <f>0</f>
        <v>0</v>
      </c>
      <c r="BO199" s="995">
        <f>0</f>
        <v>0</v>
      </c>
      <c r="BP199" s="1431">
        <f>0</f>
        <v>0</v>
      </c>
      <c r="BQ199" s="2381">
        <f>0</f>
        <v>0</v>
      </c>
      <c r="BR199" s="995">
        <f>0</f>
        <v>0</v>
      </c>
      <c r="BS199" s="995">
        <f>0</f>
        <v>0</v>
      </c>
      <c r="BT199" s="995">
        <f>0</f>
        <v>0</v>
      </c>
      <c r="BU199" s="995">
        <f>0</f>
        <v>0</v>
      </c>
      <c r="BV199" s="995">
        <f>0</f>
        <v>0</v>
      </c>
      <c r="BW199" s="995">
        <f>0</f>
        <v>0</v>
      </c>
      <c r="BX199" s="995">
        <f>0</f>
        <v>0</v>
      </c>
      <c r="BY199" s="995">
        <f>0</f>
        <v>0</v>
      </c>
      <c r="BZ199" s="995">
        <f>0</f>
        <v>0</v>
      </c>
      <c r="CA199" s="995">
        <f>0</f>
        <v>0</v>
      </c>
      <c r="CB199" s="995">
        <f>0</f>
        <v>0</v>
      </c>
      <c r="CC199" s="995">
        <f>0</f>
        <v>0</v>
      </c>
      <c r="CD199" s="1661">
        <f>q_CaCO3*P_recipDrivingForceCaCO3^2</f>
        <v>-6.8022866319041923E-50</v>
      </c>
      <c r="CF199" s="2385">
        <f>E220*E199+F220*F199+G220*G199+H220*H199+I220*I199+J220*J199+K220*K199+L220*L199+M220*M199+N220*N199+O220*O199+P220*P199+Q220*Q199+R220*R199+S220*S199+T220*T199+U220*U199+V220*V199+W220*W199+X220*X199+Y220*Y199+Z220*Z199+AA220*AA199+AB220*AB199+AC220*AC199+AD220*AD199+AE220*AE199+AF220*AF199+AG220*AG199+AH220*AH199+AI220*AI199+AJ220*AJ199+AK220*AK199+AL220*AL199+AM220*AM199+AN220*AN199+AO220*AO199+AP220*AP199+AQ220*AQ199+AR220*AR199+AS220*AS199+AT220*AT199+AU220*AU199+AV220*AV199+AW220*AW199+AX220*AX199+AY220*AY199+AZ220*AZ199+BA220*BA199+BB220*BB199+BC220*BC199+BD220*BD199+BE220*BE199+BF220*BF199+BG220*BG199+BH220*BH199+BI220*BI199+BJ220*BJ199+BK220*BK199+BL220*BL199+BM220*BM199+BN220*BN199+BO220*BO199+BP220*BP199+BQ220*BQ199+BR220*BR199+BS220*BS199+BT220*BT199+BU220*BU199+BV220*BV199+BW220*BW199+BX220*BX199+BY220*BY199+BZ220*BZ199+CA220*CA199+CB220*CB199+CC220*CC199</f>
        <v>0</v>
      </c>
      <c r="CG199" s="2385">
        <f>E221*E199+F221*F199+G221*G199+H221*H199+I221*I199+J221*J199+K221*K199+L221*L199+M221*M199+N221*N199+O221*O199+P221*P199+Q221*Q199+R221*R199+S221*S199+T221*T199+U221*U199+V221*V199+W221*W199+X221*X199+Y221*Y199+Z221*Z199+AA221*AA199+AB221*AB199+AC221*AC199+AD221*AD199+AE221*AE199+AF221*AF199+AG221*AG199+AH221*AH199+AI221*AI199+AJ221*AJ199+AK221*AK199+AL221*AL199+AM221*AM199+AN221*AN199+AO221*AO199+AP221*AP199+AQ221*AQ199+AR221*AR199+AS221*AS199+AT221*AT199+AU221*AU199+AV221*AV199+AW221*AW199+AX221*AX199+AY221*AY199+AZ221*AZ199+BA221*BA199+BB221*BB199+BC221*BC199+BD221*BD199+BE221*BE199+BF221*BF199+BG221*BG199+BH221*BH199+BI221*BI199+BJ221*BJ199+BK221*BK199+BL221*BL199+BM221*BM199+BN221*BN199+BO221*BO199+BP221*BP199+BQ221*BQ199+BR221*BR199+BS221*BS199+BT221*BT199+BU221*BU199+BV221*BV199+BW221*BW199+BX221*BX199+BY221*BY199+BZ221*BZ199+CA221*CA199+CB221*CB199+CC221*CC199</f>
        <v>0</v>
      </c>
      <c r="CH199" s="2386">
        <f>E222*E199+F222*F199+G222*G199+H222*H199+I222*I199+J222*J199+K222*K199+L222*L199+M222*M199+N222*N199+O222*O199+P222*P199+Q222*Q199+R222*R199+S222*S199+T222*T199+U222*U199+V222*V199+W222*W199+X222*X199+Y222*Y199+Z222*Z199+AA222*AA199+AB222*AB199+AC222*AC199+AD222*AD199+AE222*AE199+AF222*AF199+AG222*AG199+AH222*AH199+AI222*AI199+AJ222*AJ199+AK222*AK199+AL222*AL199+AM222*AM199+AN222*AN199+AO222*AO199+AP222*AP199+AQ222*AQ199+AR222*AR199+AS222*AS199+AT222*AT199+AU222*AU199+AV222*AV199+AW222*AW199+AX222*AX199+AY222*AY199+AZ222*AZ199+BA222*BA199+BB222*BB199+BC222*BC199+BD222*BD199+BE222*BE199+BF222*BF199+BG222*BG199+BH222*BH199+BI222*BI199+BJ222*BJ199+BK222*BK199+BL222*BL199+BM222*BM199+BN222*BN199+BO222*BO199+BP222*BP199+BQ222*BQ199+BR222*BR199+BS222*BS199+BT222*BT199+BU222*BU199+BV222*BV199+BW222*BW199+BX222*BX199+BY222*BY199+BZ222*BZ199+CA222*CA199+CB222*CB199+CC222*CC199</f>
        <v>0</v>
      </c>
      <c r="CI199" s="2387">
        <f>E223*E199+F223*F199+G223*G199+H223*H199+I223*I199+J223*J199+K223*K199+L223*L199+M223*M199+N223*N199+O223*O199+P223*P199+Q223*Q199+R223*R199+S223*S199+T223*T199+U223*U199+V223*V199+W223*W199+X223*X199+Y223*Y199+Z223*Z199+AA223*AA199+AB223*AB199+AC223*AC199+AD223*AD199+AE223*AE199+AF223*AF199+AG223*AG199+AH223*AH199+AI223*AI199+AJ223*AJ199+AK223*AK199+AL223*AL199+AM223*AM199+AN223*AN199+AO223*AO199+AP223*AP199+AQ223*AQ199+AR223*AR199+AS223*AS199+AT223*AT199+AU223*AU199+AV223*AV199+AW223*AW199+AX223*AX199+AY223*AY199+AZ223*AZ199+BA223*BA199+BB223*BB199+BC223*BC199+BD223*BD199+BE223*BE199+BF223*BF199+BG223*BG199+BH223*BH199+BI223*BI199+BJ223*BJ199+BK223*BK199+BL223*BL199+BM223*BM199+BN223*BN199+BO223*BO199+BP223*BP199+BQ223*BQ199+BR223*BR199+BS223*BS199+BT223*BT199+BU223*BU199+BV223*BV199+BW223*BW199+BX223*BX199+BY223*BY199+BZ223*BZ199+CA223*CA199+CB223*CB199+CC223*CC199</f>
        <v>0</v>
      </c>
      <c r="CJ199" s="2387">
        <f>E224*E199+F224*F199+G224*G199+H224*H199+I224*I199+J224*J199+K224*K199+L224*L199+M224*M199+N224*N199+O224*O199+P224*P199+Q224*Q199+R224*R199+S224*S199+T224*T199+U224*U199+V224*V199+W224*W199+X224*X199+Y224*Y199+Z224*Z199+AA224*AA199+AB224*AB199+AC224*AC199+AD224*AD199+AE224*AE199+AF224*AF199+AG224*AG199+AH224*AH199+AI224*AI199+AJ224*AJ199+AK224*AK199+AL224*AL199+AM224*AM199+AN224*AN199+AO224*AO199+AP224*AP199+AQ224*AQ199+AR224*AR199+AS224*AS199+AT224*AT199+AU224*AU199+AV224*AV199+AW224*AW199+AX224*AX199+AY224*AY199+AZ224*AZ199+BA224*BA199+BB224*BB199+BC224*BC199+BD224*BD199+BE224*BE199+BF224*BF199+BG224*BG199+BH224*BH199+BI224*BI199+BJ224*BJ199+BK224*BK199+BL224*BL199+BM224*BM199+BN224*BN199+BO224*BO199+BP224*BP199+BQ224*BQ199+BR224*BR199+BS224*BS199+BT224*BT199+BU224*BU199+BV224*BV199+BW224*BW199+BX224*BX199+BY224*BY199+BZ224*BZ199+CA224*CA199+CB224*CB199+CC224*CC199</f>
        <v>0</v>
      </c>
      <c r="CK199" s="2387">
        <f>E225*E199+F225*F199+G225*G199+H225*H199+I225*I199+J225*J199+K225*K199+L225*L199+M225*M199+N225*N199+O225*O199+P225*P199+Q225*Q199+R225*R199+S225*S199+T225*T199+U225*U199+V225*V199+W225*W199+X225*X199+Y225*Y199+Z225*Z199+AA225*AA199+AB225*AB199+AC225*AC199+AD225*AD199+AE225*AE199+AF225*AF199+AG225*AG199+AH225*AH199+AI225*AI199+AJ225*AJ199+AK225*AK199+AL225*AL199+AM225*AM199+AN225*AN199+AO225*AO199+AP225*AP199+AQ225*AQ199+AR225*AR199+AS225*AS199+AT225*AT199+AU225*AU199+AV225*AV199+AW225*AW199+AX225*AX199+AY225*AY199+AZ225*AZ199+BA225*BA199+BB225*BB199+BC225*BC199+BD225*BD199+BE225*BE199+BF225*BF199+BG225*BG199+BH225*BH199+BI225*BI199+BJ225*BJ199+BK225*BK199+BL225*BL199+BM225*BM199+BN225*BN199+BO225*BO199+BP225*BP199+BQ225*BQ199+BR225*BR199+BS225*BS199+BT225*BT199+BU225*BU199+BV225*BV199+BW225*BW199+BX225*BX199+BY225*BY199+BZ225*BZ199+CA225*CA199+CB225*CB199+CC225*CC199</f>
        <v>0</v>
      </c>
      <c r="CL199" s="2387">
        <f>E226*E199+F226*F199+G226*G199+H226*H199+I226*I199+J226*J199+K226*K199+L226*L199+M226*M199+N226*N199+O226*O199+P226*P199+Q226*Q199+R226*R199+S226*S199+T226*T199+U226*U199+V226*V199+W226*W199+X226*X199+Y226*Y199+Z226*Z199+AA226*AA199+AB226*AB199+AC226*AC199+AD226*AD199+AE226*AE199+AF226*AF199+AG226*AG199+AH226*AH199+AI226*AI199+AJ226*AJ199+AK226*AK199+AL226*AL199+AM226*AM199+AN226*AN199+AO226*AO199+AP226*AP199+AQ226*AQ199+AR226*AR199+AS226*AS199+AT226*AT199+AU226*AU199+AV226*AV199+AW226*AW199+AX226*AX199+AY226*AY199+AZ226*AZ199+BA226*BA199+BB226*BB199+BC226*BC199+BD226*BD199+BE226*BE199+BF226*BF199+BG226*BG199+BH226*BH199+BI226*BI199+BJ226*BJ199+BK226*BK199+BL226*BL199+BM226*BM199+BN226*BN199+BO226*BO199+BP226*BP199+BQ226*BQ199+BR226*BR199+BS226*BS199+BT226*BT199+BU226*BU199+BV226*BV199+BW226*BW199+BX226*BX199+BY226*BY199+BZ226*BZ199+CA226*CA199+CB226*CB199+CC226*CC199</f>
        <v>0</v>
      </c>
      <c r="CM199" s="2387">
        <f>E227*E199+F227*F199+G227*G199+H227*H199+I227*I199+J227*J199+K227*K199+L227*L199+M227*M199+N227*N199+O227*O199+P227*P199+Q227*Q199+R227*R199+S227*S199+T227*T199+U227*U199+V227*V199+W227*W199+X227*X199+Y227*Y199+Z227*Z199+AA227*AA199+AB227*AB199+AC227*AC199+AD227*AD199+AE227*AE199+AF227*AF199+AG227*AG199+AH227*AH199+AI227*AI199+AJ227*AJ199+AK227*AK199+AL227*AL199+AM227*AM199+AN227*AN199+AO227*AO199+AP227*AP199+AQ227*AQ199+AR227*AR199+AS227*AS199+AT227*AT199+AU227*AU199+AV227*AV199+AW227*AW199+AX227*AX199+AY227*AY199+AZ227*AZ199+BA227*BA199+BB227*BB199+BC227*BC199+BD227*BD199+BE227*BE199+BF227*BF199+BG227*BG199+BH227*BH199+BI227*BI199+BJ227*BJ199+BK227*BK199+BL227*BL199+BM227*BM199+BN227*BN199+BO227*BO199+BP227*BP199+BQ227*BQ199+BR227*BR199+BS227*BS199+BT227*BT199+BU227*BU199+BV227*BV199+BW227*BW199+BX227*BX199+BY227*BY199+BZ227*BZ199+CA227*CA199+CB227*CB199+CC227*CC199</f>
        <v>0</v>
      </c>
      <c r="CN199" s="2387">
        <f>E228*E199+F228*F199+G228*G199+H228*H199+I228*I199+J228*J199+K228*K199+L228*L199+M228*M199+N228*N199+O228*O199+P228*P199+Q228*Q199+R228*R199+S228*S199+T228*T199+U228*U199+V228*V199+W228*W199+X228*X199+Y228*Y199+Z228*Z199+AA228*AA199+AB228*AB199+AC228*AC199+AD228*AD199+AE228*AE199+AF228*AF199+AG228*AG199+AH228*AH199+AI228*AI199+AJ228*AJ199+AK228*AK199+AL228*AL199+AM228*AM199+AN228*AN199+AO228*AO199+AP228*AP199+AQ228*AQ199+AR228*AR199+AS228*AS199+AT228*AT199+AU228*AU199+AV228*AV199+AW228*AW199+AX228*AX199+AY228*AY199+AZ228*AZ199+BA228*BA199+BB228*BB199+BC228*BC199+BD228*BD199+BE228*BE199+BF228*BF199+BG228*BG199+BH228*BH199+BI228*BI199+BJ228*BJ199+BK228*BK199+BL228*BL199+BM228*BM199+BN228*BN199+BO228*BO199+BP228*BP199+BQ228*BQ199+BR228*BR199+BS228*BS199+BT228*BT199+BU228*BU199+BV228*BV199+BW228*BW199+BX228*BX199+BY228*BY199+BZ228*BZ199+CA228*CA199+CB228*CB199+CC228*CC199</f>
        <v>0</v>
      </c>
      <c r="CO199" s="2387">
        <f>E229*E199+F229*F199+G229*G199+H229*H199+I229*I199+J229*J199+K229*K199+L229*L199+M229*M199+N229*N199+O229*O199+P229*P199+Q229*Q199+R229*R199+S229*S199+T229*T199+U229*U199+V229*V199+W229*W199+X229*X199+Y229*Y199+Z229*Z199+AA229*AA199+AB229*AB199+AC229*AC199+AD229*AD199+AE229*AE199+AF229*AF199+AG229*AG199+AH229*AH199+AI229*AI199+AJ229*AJ199+AK229*AK199+AL229*AL199+AM229*AM199+AN229*AN199+AO229*AO199+AP229*AP199+AQ229*AQ199+AR229*AR199+AS229*AS199+AT229*AT199+AU229*AU199+AV229*AV199+AW229*AW199+AX229*AX199+AY229*AY199+AZ229*AZ199+BA229*BA199+BB229*BB199+BC229*BC199+BD229*BD199+BE229*BE199+BF229*BF199+BG229*BG199+BH229*BH199+BI229*BI199+BJ229*BJ199+BK229*BK199+BL229*BL199+BM229*BM199+BN229*BN199+BO229*BO199+BP229*BP199+BQ229*BQ199+BR229*BR199+BS229*BS199+BT229*BT199+BU229*BU199+BV229*BV199+BW229*BW199+BX229*BX199+BY229*BY199+BZ229*BZ199+CA229*CA199+CB229*CB199+CC229*CC199</f>
        <v>0</v>
      </c>
      <c r="CP199" s="2387">
        <f>E230*E199+F230*F199+G230*G199+H230*H199+I230*I199+J230*J199+K230*K199+L230*L199+M230*M199+N230*N199+O230*O199+P230*P199+Q230*Q199+R230*R199+S230*S199+T230*T199+U230*U199+V230*V199+W230*W199+X230*X199+Y230*Y199+Z230*Z199+AA230*AA199+AB230*AB199+AC230*AC199+AD230*AD199+AE230*AE199+AF230*AF199+AG230*AG199+AH230*AH199+AI230*AI199+AJ230*AJ199+AK230*AK199+AL230*AL199+AM230*AM199+AN230*AN199+AO230*AO199+AP230*AP199+AQ230*AQ199+AR230*AR199+AS230*AS199+AT230*AT199+AU230*AU199+AV230*AV199+AW230*AW199+AX230*AX199+AY230*AY199+AZ230*AZ199+BA230*BA199+BB230*BB199+BC230*BC199+BD230*BD199+BE230*BE199+BF230*BF199+BG230*BG199+BH230*BH199+BI230*BI199+BJ230*BJ199+BK230*BK199+BL230*BL199+BM230*BM199+BN230*BN199+BO230*BO199+BP230*BP199+BQ230*BQ199+BR230*BR199+BS230*BS199+BT230*BT199+BU230*BU199+BV230*BV199+BW230*BW199+BX230*BX199+BY230*BY199+BZ230*BZ199+CA230*CA199+CB230*CB199+CC230*CC199</f>
        <v>0</v>
      </c>
    </row>
    <row r="200" spans="2:94" x14ac:dyDescent="0.25">
      <c r="B200" s="1596">
        <v>81</v>
      </c>
      <c r="C200" s="1534" t="s">
        <v>3074</v>
      </c>
      <c r="D200" s="1539" t="s">
        <v>1127</v>
      </c>
      <c r="E200" s="988">
        <f>0</f>
        <v>0</v>
      </c>
      <c r="F200" s="988">
        <f>0</f>
        <v>0</v>
      </c>
      <c r="G200" s="988">
        <f>0</f>
        <v>0</v>
      </c>
      <c r="H200" s="988">
        <f>0</f>
        <v>0</v>
      </c>
      <c r="I200" s="988">
        <f>0</f>
        <v>0</v>
      </c>
      <c r="J200" s="988">
        <f>0</f>
        <v>0</v>
      </c>
      <c r="K200" s="988">
        <f>0</f>
        <v>0</v>
      </c>
      <c r="L200" s="988">
        <f>0</f>
        <v>0</v>
      </c>
      <c r="M200" s="988">
        <f>0</f>
        <v>0</v>
      </c>
      <c r="N200" s="988">
        <f>0</f>
        <v>0</v>
      </c>
      <c r="O200" s="988">
        <f>0</f>
        <v>0</v>
      </c>
      <c r="P200" s="988">
        <f>0</f>
        <v>0</v>
      </c>
      <c r="Q200" s="995">
        <f>0</f>
        <v>0</v>
      </c>
      <c r="R200" s="988">
        <f>0</f>
        <v>0</v>
      </c>
      <c r="S200" s="988">
        <f>0</f>
        <v>0</v>
      </c>
      <c r="T200" s="988">
        <f>0</f>
        <v>0</v>
      </c>
      <c r="U200" s="988">
        <f>0</f>
        <v>0</v>
      </c>
      <c r="V200" s="988">
        <f>0</f>
        <v>0</v>
      </c>
      <c r="W200" s="988">
        <f>0</f>
        <v>0</v>
      </c>
      <c r="X200" s="988">
        <f>0</f>
        <v>0</v>
      </c>
      <c r="Y200" s="988">
        <f>0</f>
        <v>0</v>
      </c>
      <c r="Z200" s="988">
        <f>0</f>
        <v>0</v>
      </c>
      <c r="AA200" s="988">
        <f>0</f>
        <v>0</v>
      </c>
      <c r="AB200" s="988">
        <f>0</f>
        <v>0</v>
      </c>
      <c r="AC200" s="988">
        <f>0</f>
        <v>0</v>
      </c>
      <c r="AD200" s="988">
        <f>0</f>
        <v>0</v>
      </c>
      <c r="AE200" s="988">
        <f>0</f>
        <v>0</v>
      </c>
      <c r="AF200" s="995">
        <f>-2*A_MP/M_MACP</f>
        <v>-0.16206538757887573</v>
      </c>
      <c r="AG200" s="988">
        <f>0</f>
        <v>0</v>
      </c>
      <c r="AH200" s="988">
        <f>0</f>
        <v>0</v>
      </c>
      <c r="AI200" s="988">
        <f>0</f>
        <v>0</v>
      </c>
      <c r="AJ200" s="988">
        <f>0</f>
        <v>0</v>
      </c>
      <c r="AK200" s="988">
        <f>0</f>
        <v>0</v>
      </c>
      <c r="AL200" s="988">
        <f>0</f>
        <v>0</v>
      </c>
      <c r="AM200" s="988">
        <f>0</f>
        <v>0</v>
      </c>
      <c r="AN200" s="988">
        <f>0</f>
        <v>0</v>
      </c>
      <c r="AO200" s="988">
        <f>0</f>
        <v>0</v>
      </c>
      <c r="AP200" s="988">
        <f>0</f>
        <v>0</v>
      </c>
      <c r="AQ200" s="988">
        <f>0</f>
        <v>0</v>
      </c>
      <c r="AR200" s="995">
        <f>-3*A_MCa/M_MACP</f>
        <v>-0.31455284127800509</v>
      </c>
      <c r="AS200" s="988">
        <f>0</f>
        <v>0</v>
      </c>
      <c r="AT200" s="988">
        <f>0</f>
        <v>0</v>
      </c>
      <c r="AU200" s="995">
        <f>0</f>
        <v>0</v>
      </c>
      <c r="AV200" s="988">
        <f>0</f>
        <v>0</v>
      </c>
      <c r="AW200" s="988">
        <f>0</f>
        <v>0</v>
      </c>
      <c r="AX200" s="995">
        <f>0</f>
        <v>0</v>
      </c>
      <c r="AY200" s="995">
        <f>0</f>
        <v>0</v>
      </c>
      <c r="AZ200" s="988">
        <f>0</f>
        <v>0</v>
      </c>
      <c r="BA200" s="995">
        <f>0</f>
        <v>0</v>
      </c>
      <c r="BB200" s="995">
        <f>0</f>
        <v>0</v>
      </c>
      <c r="BC200" s="988">
        <f>0</f>
        <v>0</v>
      </c>
      <c r="BD200" s="988">
        <f>0</f>
        <v>0</v>
      </c>
      <c r="BE200" s="995">
        <f>0</f>
        <v>0</v>
      </c>
      <c r="BF200" s="995">
        <f>0</f>
        <v>0</v>
      </c>
      <c r="BG200" s="988">
        <f>0</f>
        <v>0</v>
      </c>
      <c r="BH200" s="995">
        <f>0</f>
        <v>0</v>
      </c>
      <c r="BI200" s="995">
        <f>0</f>
        <v>0</v>
      </c>
      <c r="BJ200" s="995">
        <f>0</f>
        <v>0</v>
      </c>
      <c r="BK200" s="995">
        <f>1</f>
        <v>1</v>
      </c>
      <c r="BL200" s="1079">
        <f>0</f>
        <v>0</v>
      </c>
      <c r="BM200" s="995">
        <f>0</f>
        <v>0</v>
      </c>
      <c r="BN200" s="995">
        <f>0</f>
        <v>0</v>
      </c>
      <c r="BO200" s="995">
        <f>0</f>
        <v>0</v>
      </c>
      <c r="BP200" s="1431">
        <f>0</f>
        <v>0</v>
      </c>
      <c r="BQ200" s="2381">
        <f>0</f>
        <v>0</v>
      </c>
      <c r="BR200" s="995">
        <f>0</f>
        <v>0</v>
      </c>
      <c r="BS200" s="995">
        <f>0</f>
        <v>0</v>
      </c>
      <c r="BT200" s="995">
        <f>0</f>
        <v>0</v>
      </c>
      <c r="BU200" s="995">
        <f>0</f>
        <v>0</v>
      </c>
      <c r="BV200" s="995">
        <f>0</f>
        <v>0</v>
      </c>
      <c r="BW200" s="995">
        <f>0</f>
        <v>0</v>
      </c>
      <c r="BX200" s="995">
        <f>0</f>
        <v>0</v>
      </c>
      <c r="BY200" s="995">
        <f>0</f>
        <v>0</v>
      </c>
      <c r="BZ200" s="995">
        <f>0</f>
        <v>0</v>
      </c>
      <c r="CA200" s="995">
        <f>0</f>
        <v>0</v>
      </c>
      <c r="CB200" s="995">
        <f>0</f>
        <v>0</v>
      </c>
      <c r="CC200" s="995">
        <f>0</f>
        <v>0</v>
      </c>
      <c r="CD200" s="1661">
        <f>q_ACP*P_recipDrivingForceACP^2</f>
        <v>-1.734514248696108E-48</v>
      </c>
      <c r="CF200" s="2385">
        <f>E220*E200+F220*F200+G220*G200+H220*H200+I220*I200+J220*J200+K220*K200+L220*L200+M220*M200+N220*N200+O220*O200+P220*P200+Q220*Q200+R220*R200+S220*S200+T220*T200+U220*U200+V220*V200+W220*W200+X220*X200+Y220*Y200+Z220*Z200+AA220*AA200+AB220*AB200+AC220*AC200+AD220*AD200+AE220*AE200+AF220*AF200+AG220*AG200+AH220*AH200+AI220*AI200+AJ220*AJ200+AK220*AK200+AL220*AL200+AM220*AM200+AN220*AN200+AO220*AO200+AP220*AP200+AQ220*AQ200+AR220*AR200+AS220*AS200+AT220*AT200+AU220*AU200+AV220*AV200+AW220*AW200+AX220*AX200+AY220*AY200+AZ220*AZ200+BA220*BA200+BB220*BB200+BC220*BC200+BD220*BD200+BE220*BE200+BF220*BF200+BG220*BG200+BH220*BH200+BI220*BI200+BJ220*BJ200+BK220*BK200+BL220*BL200+BM220*BM200+BN220*BN200+BO220*BO200+BP220*BP200+BQ220*BQ200+BR220*BR200+BS220*BS200+BT220*BT200+BU220*BU200+BV220*BV200+BW220*BW200+BX220*BX200+BY220*BY200+BZ220*BZ200+CA220*CA200+CB220*CB200+CC220*CC200</f>
        <v>0</v>
      </c>
      <c r="CG200" s="2385">
        <f>E221*E200+F221*F200+G221*G200+H221*H200+I221*I200+J221*J200+K221*K200+L221*L200+M221*M200+N221*N200+O221*O200+P221*P200+Q221*Q200+R221*R200+S221*S200+T221*T200+U221*U200+V221*V200+W221*W200+X221*X200+Y221*Y200+Z221*Z200+AA221*AA200+AB221*AB200+AC221*AC200+AD221*AD200+AE221*AE200+AF221*AF200+AG221*AG200+AH221*AH200+AI221*AI200+AJ221*AJ200+AK221*AK200+AL221*AL200+AM221*AM200+AN221*AN200+AO221*AO200+AP221*AP200+AQ221*AQ200+AR221*AR200+AS221*AS200+AT221*AT200+AU221*AU200+AV221*AV200+AW221*AW200+AX221*AX200+AY221*AY200+AZ221*AZ200+BA221*BA200+BB221*BB200+BC221*BC200+BD221*BD200+BE221*BE200+BF221*BF200+BG221*BG200+BH221*BH200+BI221*BI200+BJ221*BJ200+BK221*BK200+BL221*BL200+BM221*BM200+BN221*BN200+BO221*BO200+BP221*BP200+BQ221*BQ200+BR221*BR200+BS221*BS200+BT221*BT200+BU221*BU200+BV221*BV200+BW221*BW200+BX221*BX200+BY221*BY200+BZ221*BZ200+CA221*CA200+CB221*CB200+CC221*CC200</f>
        <v>0</v>
      </c>
      <c r="CH200" s="2386">
        <f>E222*E200+F222*F200+G222*G200+H222*H200+I222*I200+J222*J200+K222*K200+L222*L200+M222*M200+N222*N200+O222*O200+P222*P200+Q222*Q200+R222*R200+S222*S200+T222*T200+U222*U200+V222*V200+W222*W200+X222*X200+Y222*Y200+Z222*Z200+AA222*AA200+AB222*AB200+AC222*AC200+AD222*AD200+AE222*AE200+AF222*AF200+AG222*AG200+AH222*AH200+AI222*AI200+AJ222*AJ200+AK222*AK200+AL222*AL200+AM222*AM200+AN222*AN200+AO222*AO200+AP222*AP200+AQ222*AQ200+AR222*AR200+AS222*AS200+AT222*AT200+AU222*AU200+AV222*AV200+AW222*AW200+AX222*AX200+AY222*AY200+AZ222*AZ200+BA222*BA200+BB222*BB200+BC222*BC200+BD222*BD200+BE222*BE200+BF222*BF200+BG222*BG200+BH222*BH200+BI222*BI200+BJ222*BJ200+BK222*BK200+BL222*BL200+BM222*BM200+BN222*BN200+BO222*BO200+BP222*BP200+BQ222*BQ200+BR222*BR200+BS222*BS200+BT222*BT200+BU222*BU200+BV222*BV200+BW222*BW200+BX222*BX200+BY222*BY200+BZ222*BZ200+CA222*CA200+CB222*CB200+CC222*CC200</f>
        <v>0</v>
      </c>
      <c r="CI200" s="2387">
        <f>E223*E200+F223*F200+G223*G200+H223*H200+I223*I200+J223*J200+K223*K200+L223*L200+M223*M200+N223*N200+O223*O200+P223*P200+Q223*Q200+R223*R200+S223*S200+T223*T200+U223*U200+V223*V200+W223*W200+X223*X200+Y223*Y200+Z223*Z200+AA223*AA200+AB223*AB200+AC223*AC200+AD223*AD200+AE223*AE200+AF223*AF200+AG223*AG200+AH223*AH200+AI223*AI200+AJ223*AJ200+AK223*AK200+AL223*AL200+AM223*AM200+AN223*AN200+AO223*AO200+AP223*AP200+AQ223*AQ200+AR223*AR200+AS223*AS200+AT223*AT200+AU223*AU200+AV223*AV200+AW223*AW200+AX223*AX200+AY223*AY200+AZ223*AZ200+BA223*BA200+BB223*BB200+BC223*BC200+BD223*BD200+BE223*BE200+BF223*BF200+BG223*BG200+BH223*BH200+BI223*BI200+BJ223*BJ200+BK223*BK200+BL223*BL200+BM223*BM200+BN223*BN200+BO223*BO200+BP223*BP200+BQ223*BQ200+BR223*BR200+BS223*BS200+BT223*BT200+BU223*BU200+BV223*BV200+BW223*BW200+BX223*BX200+BY223*BY200+BZ223*BZ200+CA223*CA200+CB223*CB200+CC223*CC200</f>
        <v>0</v>
      </c>
      <c r="CJ200" s="2387">
        <f>E224*E200+F224*F200+G224*G200+H224*H200+I224*I200+J224*J200+K224*K200+L224*L200+M224*M200+N224*N200+O224*O200+P224*P200+Q224*Q200+R224*R200+S224*S200+T224*T200+U224*U200+V224*V200+W224*W200+X224*X200+Y224*Y200+Z224*Z200+AA224*AA200+AB224*AB200+AC224*AC200+AD224*AD200+AE224*AE200+AF224*AF200+AG224*AG200+AH224*AH200+AI224*AI200+AJ224*AJ200+AK224*AK200+AL224*AL200+AM224*AM200+AN224*AN200+AO224*AO200+AP224*AP200+AQ224*AQ200+AR224*AR200+AS224*AS200+AT224*AT200+AU224*AU200+AV224*AV200+AW224*AW200+AX224*AX200+AY224*AY200+AZ224*AZ200+BA224*BA200+BB224*BB200+BC224*BC200+BD224*BD200+BE224*BE200+BF224*BF200+BG224*BG200+BH224*BH200+BI224*BI200+BJ224*BJ200+BK224*BK200+BL224*BL200+BM224*BM200+BN224*BN200+BO224*BO200+BP224*BP200+BQ224*BQ200+BR224*BR200+BS224*BS200+BT224*BT200+BU224*BU200+BV224*BV200+BW224*BW200+BX224*BX200+BY224*BY200+BZ224*BZ200+CA224*CA200+CB224*CB200+CC224*CC200</f>
        <v>0</v>
      </c>
      <c r="CK200" s="2387">
        <f>E225*E200+F225*F200+G225*G200+H225*H200+I225*I200+J225*J200+K225*K200+L225*L200+M225*M200+N225*N200+O225*O200+P225*P200+Q225*Q200+R225*R200+S225*S200+T225*T200+U225*U200+V225*V200+W225*W200+X225*X200+Y225*Y200+Z225*Z200+AA225*AA200+AB225*AB200+AC225*AC200+AD225*AD200+AE225*AE200+AF225*AF200+AG225*AG200+AH225*AH200+AI225*AI200+AJ225*AJ200+AK225*AK200+AL225*AL200+AM225*AM200+AN225*AN200+AO225*AO200+AP225*AP200+AQ225*AQ200+AR225*AR200+AS225*AS200+AT225*AT200+AU225*AU200+AV225*AV200+AW225*AW200+AX225*AX200+AY225*AY200+AZ225*AZ200+BA225*BA200+BB225*BB200+BC225*BC200+BD225*BD200+BE225*BE200+BF225*BF200+BG225*BG200+BH225*BH200+BI225*BI200+BJ225*BJ200+BK225*BK200+BL225*BL200+BM225*BM200+BN225*BN200+BO225*BO200+BP225*BP200+BQ225*BQ200+BR225*BR200+BS225*BS200+BT225*BT200+BU225*BU200+BV225*BV200+BW225*BW200+BX225*BX200+BY225*BY200+BZ225*BZ200+CA225*CA200+CB225*CB200+CC225*CC200</f>
        <v>0</v>
      </c>
      <c r="CL200" s="2387">
        <f>E226*E200+F226*F200+G226*G200+H226*H200+I226*I200+J226*J200+K226*K200+L226*L200+M226*M200+N226*N200+O226*O200+P226*P200+Q226*Q200+R226*R200+S226*S200+T226*T200+U226*U200+V226*V200+W226*W200+X226*X200+Y226*Y200+Z226*Z200+AA226*AA200+AB226*AB200+AC226*AC200+AD226*AD200+AE226*AE200+AF226*AF200+AG226*AG200+AH226*AH200+AI226*AI200+AJ226*AJ200+AK226*AK200+AL226*AL200+AM226*AM200+AN226*AN200+AO226*AO200+AP226*AP200+AQ226*AQ200+AR226*AR200+AS226*AS200+AT226*AT200+AU226*AU200+AV226*AV200+AW226*AW200+AX226*AX200+AY226*AY200+AZ226*AZ200+BA226*BA200+BB226*BB200+BC226*BC200+BD226*BD200+BE226*BE200+BF226*BF200+BG226*BG200+BH226*BH200+BI226*BI200+BJ226*BJ200+BK226*BK200+BL226*BL200+BM226*BM200+BN226*BN200+BO226*BO200+BP226*BP200+BQ226*BQ200+BR226*BR200+BS226*BS200+BT226*BT200+BU226*BU200+BV226*BV200+BW226*BW200+BX226*BX200+BY226*BY200+BZ226*BZ200+CA226*CA200+CB226*CB200+CC226*CC200</f>
        <v>0</v>
      </c>
      <c r="CM200" s="2387">
        <f>E227*E200+F227*F200+G227*G200+H227*H200+I227*I200+J227*J200+K227*K200+L227*L200+M227*M200+N227*N200+O227*O200+P227*P200+Q227*Q200+R227*R200+S227*S200+T227*T200+U227*U200+V227*V200+W227*W200+X227*X200+Y227*Y200+Z227*Z200+AA227*AA200+AB227*AB200+AC227*AC200+AD227*AD200+AE227*AE200+AF227*AF200+AG227*AG200+AH227*AH200+AI227*AI200+AJ227*AJ200+AK227*AK200+AL227*AL200+AM227*AM200+AN227*AN200+AO227*AO200+AP227*AP200+AQ227*AQ200+AR227*AR200+AS227*AS200+AT227*AT200+AU227*AU200+AV227*AV200+AW227*AW200+AX227*AX200+AY227*AY200+AZ227*AZ200+BA227*BA200+BB227*BB200+BC227*BC200+BD227*BD200+BE227*BE200+BF227*BF200+BG227*BG200+BH227*BH200+BI227*BI200+BJ227*BJ200+BK227*BK200+BL227*BL200+BM227*BM200+BN227*BN200+BO227*BO200+BP227*BP200+BQ227*BQ200+BR227*BR200+BS227*BS200+BT227*BT200+BU227*BU200+BV227*BV200+BW227*BW200+BX227*BX200+BY227*BY200+BZ227*BZ200+CA227*CA200+CB227*CB200+CC227*CC200</f>
        <v>0</v>
      </c>
      <c r="CN200" s="2387">
        <f>E228*E200+F228*F200+G228*G200+H228*H200+I228*I200+J228*J200+K228*K200+L228*L200+M228*M200+N228*N200+O228*O200+P228*P200+Q228*Q200+R228*R200+S228*S200+T228*T200+U228*U200+V228*V200+W228*W200+X228*X200+Y228*Y200+Z228*Z200+AA228*AA200+AB228*AB200+AC228*AC200+AD228*AD200+AE228*AE200+AF228*AF200+AG228*AG200+AH228*AH200+AI228*AI200+AJ228*AJ200+AK228*AK200+AL228*AL200+AM228*AM200+AN228*AN200+AO228*AO200+AP228*AP200+AQ228*AQ200+AR228*AR200+AS228*AS200+AT228*AT200+AU228*AU200+AV228*AV200+AW228*AW200+AX228*AX200+AY228*AY200+AZ228*AZ200+BA228*BA200+BB228*BB200+BC228*BC200+BD228*BD200+BE228*BE200+BF228*BF200+BG228*BG200+BH228*BH200+BI228*BI200+BJ228*BJ200+BK228*BK200+BL228*BL200+BM228*BM200+BN228*BN200+BO228*BO200+BP228*BP200+BQ228*BQ200+BR228*BR200+BS228*BS200+BT228*BT200+BU228*BU200+BV228*BV200+BW228*BW200+BX228*BX200+BY228*BY200+BZ228*BZ200+CA228*CA200+CB228*CB200+CC228*CC200</f>
        <v>0</v>
      </c>
      <c r="CO200" s="2387">
        <f>E229*E200+F229*F200+G229*G200+H229*H200+I229*I200+J229*J200+K229*K200+L229*L200+M229*M200+N229*N200+O229*O200+P229*P200+Q229*Q200+R229*R200+S229*S200+T229*T200+U229*U200+V229*V200+W229*W200+X229*X200+Y229*Y200+Z229*Z200+AA229*AA200+AB229*AB200+AC229*AC200+AD229*AD200+AE229*AE200+AF229*AF200+AG229*AG200+AH229*AH200+AI229*AI200+AJ229*AJ200+AK229*AK200+AL229*AL200+AM229*AM200+AN229*AN200+AO229*AO200+AP229*AP200+AQ229*AQ200+AR229*AR200+AS229*AS200+AT229*AT200+AU229*AU200+AV229*AV200+AW229*AW200+AX229*AX200+AY229*AY200+AZ229*AZ200+BA229*BA200+BB229*BB200+BC229*BC200+BD229*BD200+BE229*BE200+BF229*BF200+BG229*BG200+BH229*BH200+BI229*BI200+BJ229*BJ200+BK229*BK200+BL229*BL200+BM229*BM200+BN229*BN200+BO229*BO200+BP229*BP200+BQ229*BQ200+BR229*BR200+BS229*BS200+BT229*BT200+BU229*BU200+BV229*BV200+BW229*BW200+BX229*BX200+BY229*BY200+BZ229*BZ200+CA229*CA200+CB229*CB200+CC229*CC200</f>
        <v>0</v>
      </c>
      <c r="CP200" s="2387">
        <f>E230*E200+F230*F200+G230*G200+H230*H200+I230*I200+J230*J200+K230*K200+L230*L200+M230*M200+N230*N200+O230*O200+P230*P200+Q230*Q200+R230*R200+S230*S200+T230*T200+U230*U200+V230*V200+W230*W200+X230*X200+Y230*Y200+Z230*Z200+AA230*AA200+AB230*AB200+AC230*AC200+AD230*AD200+AE230*AE200+AF230*AF200+AG230*AG200+AH230*AH200+AI230*AI200+AJ230*AJ200+AK230*AK200+AL230*AL200+AM230*AM200+AN230*AN200+AO230*AO200+AP230*AP200+AQ230*AQ200+AR230*AR200+AS230*AS200+AT230*AT200+AU230*AU200+AV230*AV200+AW230*AW200+AX230*AX200+AY230*AY200+AZ230*AZ200+BA230*BA200+BB230*BB200+BC230*BC200+BD230*BD200+BE230*BE200+BF230*BF200+BG230*BG200+BH230*BH200+BI230*BI200+BJ230*BJ200+BK230*BK200+BL230*BL200+BM230*BM200+BN230*BN200+BO230*BO200+BP230*BP200+BQ230*BQ200+BR230*BR200+BS230*BS200+BT230*BT200+BU230*BU200+BV230*BV200+BW230*BW200+BX230*BX200+BY230*BY200+BZ230*BZ200+CA230*CA200+CB230*CB200+CC230*CC200</f>
        <v>0</v>
      </c>
    </row>
    <row r="201" spans="2:94" x14ac:dyDescent="0.25">
      <c r="B201" s="1596">
        <v>82</v>
      </c>
      <c r="C201" s="1535" t="s">
        <v>3075</v>
      </c>
      <c r="D201" s="1540" t="s">
        <v>3917</v>
      </c>
      <c r="E201" s="1623">
        <f>0</f>
        <v>0</v>
      </c>
      <c r="F201" s="1623">
        <f>0</f>
        <v>0</v>
      </c>
      <c r="G201" s="1623">
        <f>0</f>
        <v>0</v>
      </c>
      <c r="H201" s="1623">
        <f>0</f>
        <v>0</v>
      </c>
      <c r="I201" s="1623">
        <f>0</f>
        <v>0</v>
      </c>
      <c r="J201" s="1623">
        <f>0</f>
        <v>0</v>
      </c>
      <c r="K201" s="1623">
        <f>0</f>
        <v>0</v>
      </c>
      <c r="L201" s="1623">
        <f>0</f>
        <v>0</v>
      </c>
      <c r="M201" s="1623">
        <f>0</f>
        <v>0</v>
      </c>
      <c r="N201" s="1623">
        <f>0</f>
        <v>0</v>
      </c>
      <c r="O201" s="1623">
        <f>0</f>
        <v>0</v>
      </c>
      <c r="P201" s="1623">
        <f>0</f>
        <v>0</v>
      </c>
      <c r="Q201" s="1079">
        <f>0</f>
        <v>0</v>
      </c>
      <c r="R201" s="1623">
        <f>0</f>
        <v>0</v>
      </c>
      <c r="S201" s="1623">
        <f>0</f>
        <v>0</v>
      </c>
      <c r="T201" s="1623">
        <f>0</f>
        <v>0</v>
      </c>
      <c r="U201" s="1623">
        <f>0</f>
        <v>0</v>
      </c>
      <c r="V201" s="1623">
        <f>0</f>
        <v>0</v>
      </c>
      <c r="W201" s="1623">
        <f>0</f>
        <v>0</v>
      </c>
      <c r="X201" s="1623">
        <f>0</f>
        <v>0</v>
      </c>
      <c r="Y201" s="1623">
        <f>0</f>
        <v>0</v>
      </c>
      <c r="Z201" s="1623">
        <f>0</f>
        <v>0</v>
      </c>
      <c r="AA201" s="1623">
        <f>0</f>
        <v>0</v>
      </c>
      <c r="AB201" s="1623">
        <f>0</f>
        <v>0</v>
      </c>
      <c r="AC201" s="1079">
        <f>0</f>
        <v>0</v>
      </c>
      <c r="AD201" s="1623">
        <f>0</f>
        <v>0</v>
      </c>
      <c r="AE201" s="1623">
        <f>0</f>
        <v>0</v>
      </c>
      <c r="AF201" s="1079">
        <f>-A_MP/M_MBSH</f>
        <v>-0.17998807007087103</v>
      </c>
      <c r="AG201" s="1623">
        <f>0</f>
        <v>0</v>
      </c>
      <c r="AH201" s="1623">
        <f>0</f>
        <v>0</v>
      </c>
      <c r="AI201" s="1623">
        <f>0</f>
        <v>0</v>
      </c>
      <c r="AJ201" s="1623">
        <f>0</f>
        <v>0</v>
      </c>
      <c r="AK201" s="1623">
        <f>0</f>
        <v>0</v>
      </c>
      <c r="AL201" s="1623">
        <f>0</f>
        <v>0</v>
      </c>
      <c r="AM201" s="1623">
        <f>0</f>
        <v>0</v>
      </c>
      <c r="AN201" s="1623">
        <f>0</f>
        <v>0</v>
      </c>
      <c r="AO201" s="1079">
        <f>0</f>
        <v>0</v>
      </c>
      <c r="AP201" s="1623">
        <f>0</f>
        <v>0</v>
      </c>
      <c r="AQ201" s="1623">
        <f>0</f>
        <v>0</v>
      </c>
      <c r="AR201" s="1079">
        <f>-A_MCa/M_MBSH</f>
        <v>-0.2328926601076691</v>
      </c>
      <c r="AS201" s="1623">
        <f>0</f>
        <v>0</v>
      </c>
      <c r="AT201" s="1623">
        <f>0</f>
        <v>0</v>
      </c>
      <c r="AU201" s="1079">
        <f>0</f>
        <v>0</v>
      </c>
      <c r="AV201" s="1079">
        <f>0</f>
        <v>0</v>
      </c>
      <c r="AW201" s="1623">
        <f>0</f>
        <v>0</v>
      </c>
      <c r="AX201" s="1079">
        <f>0</f>
        <v>0</v>
      </c>
      <c r="AY201" s="1079">
        <f>0</f>
        <v>0</v>
      </c>
      <c r="AZ201" s="1623">
        <f>0</f>
        <v>0</v>
      </c>
      <c r="BA201" s="1623">
        <f>0</f>
        <v>0</v>
      </c>
      <c r="BB201" s="1079">
        <f>0</f>
        <v>0</v>
      </c>
      <c r="BC201" s="1079">
        <f>0</f>
        <v>0</v>
      </c>
      <c r="BD201" s="1623">
        <f>0</f>
        <v>0</v>
      </c>
      <c r="BE201" s="1079">
        <f>0</f>
        <v>0</v>
      </c>
      <c r="BF201" s="1079">
        <f>0</f>
        <v>0</v>
      </c>
      <c r="BG201" s="1079">
        <f>0</f>
        <v>0</v>
      </c>
      <c r="BH201" s="1079">
        <f>0</f>
        <v>0</v>
      </c>
      <c r="BI201" s="1079">
        <f>0</f>
        <v>0</v>
      </c>
      <c r="BJ201" s="1079">
        <f>0</f>
        <v>0</v>
      </c>
      <c r="BK201" s="1079">
        <f>0</f>
        <v>0</v>
      </c>
      <c r="BL201" s="1079">
        <f>1</f>
        <v>1</v>
      </c>
      <c r="BM201" s="1079">
        <f>0</f>
        <v>0</v>
      </c>
      <c r="BN201" s="1079">
        <f>0</f>
        <v>0</v>
      </c>
      <c r="BO201" s="1079">
        <f>0</f>
        <v>0</v>
      </c>
      <c r="BP201" s="1431">
        <f>0</f>
        <v>0</v>
      </c>
      <c r="BQ201" s="2381">
        <f>0</f>
        <v>0</v>
      </c>
      <c r="BR201" s="1079">
        <f>0</f>
        <v>0</v>
      </c>
      <c r="BS201" s="1079">
        <f>0</f>
        <v>0</v>
      </c>
      <c r="BT201" s="1079">
        <f>0</f>
        <v>0</v>
      </c>
      <c r="BU201" s="1079">
        <f>0</f>
        <v>0</v>
      </c>
      <c r="BV201" s="1079">
        <f>0</f>
        <v>0</v>
      </c>
      <c r="BW201" s="1079">
        <f>0</f>
        <v>0</v>
      </c>
      <c r="BX201" s="1079">
        <f>0</f>
        <v>0</v>
      </c>
      <c r="BY201" s="1079">
        <f>0</f>
        <v>0</v>
      </c>
      <c r="BZ201" s="1079">
        <f>0</f>
        <v>0</v>
      </c>
      <c r="CA201" s="1079">
        <f>0</f>
        <v>0</v>
      </c>
      <c r="CB201" s="1079">
        <f>0</f>
        <v>0</v>
      </c>
      <c r="CC201" s="1079">
        <f>0</f>
        <v>0</v>
      </c>
      <c r="CD201" s="1662">
        <f>q_BSH*P_recipDrivingForceBSH^2</f>
        <v>-2.4636481662170684E-46</v>
      </c>
      <c r="CF201" s="2385">
        <f>E220*E201+F220*F201+G220*G201+H220*H201+I220*I201+J220*J201+K220*K201+L220*L201+M220*M201+N220*N201+O220*O201+P220*P201+Q220*Q201+R220*R201+S220*S201+T220*T201+U220*U201+V220*V201+W220*W201+X220*X201+Y220*Y201+Z220*Z201+AA220*AA201+AB220*AB201+AC220*AC201+AD220*AD201+AE220*AE201+AF220*AF201+AG220*AG201+AH220*AH201+AI220*AI201+AJ220*AJ201+AK220*AK201+AL220*AL201+AM220*AM201+AN220*AN201+AO220*AO201+AP220*AP201+AQ220*AQ201+AR220*AR201+AS220*AS201+AT220*AT201+AU220*AU201+AV220*AV201+AW220*AW201+AX220*AX201+AY220*AY201+AZ220*AZ201+BA220*BA201+BB220*BB201+BC220*BC201+BD220*BD201+BE220*BE201+BF220*BF201+BG220*BG201+BH220*BH201+BI220*BI201+BJ220*BJ201+BK220*BK201+BL220*BL201+BM220*BM201+BN220*BN201+BO220*BO201+BP220*BP201+BQ220*BQ201+BR220*BR201+BS220*BS201+BT220*BT201+BU220*BU201+BV220*BV201+BW220*BW201+BX220*BX201+BY220*BY201+BZ220*BZ201+CA220*CA201+CB220*CB201+CC220*CC201</f>
        <v>0</v>
      </c>
      <c r="CG201" s="2385">
        <f>E221*E201+F221*F201+G221*G201+H221*H201+I221*I201+J221*J201+K221*K201+L221*L201+M221*M201+N221*N201+O221*O201+P221*P201+Q221*Q201+R221*R201+S221*S201+T221*T201+U221*U201+V221*V201+W221*W201+X221*X201+Y221*Y201+Z221*Z201+AA221*AA201+AB221*AB201+AC221*AC201+AD221*AD201+AE221*AE201+AF221*AF201+AG221*AG201+AH221*AH201+AI221*AI201+AJ221*AJ201+AK221*AK201+AL221*AL201+AM221*AM201+AN221*AN201+AO221*AO201+AP221*AP201+AQ221*AQ201+AR221*AR201+AS221*AS201+AT221*AT201+AU221*AU201+AV221*AV201+AW221*AW201+AX221*AX201+AY221*AY201+AZ221*AZ201+BA221*BA201+BB221*BB201+BC221*BC201+BD221*BD201+BE221*BE201+BF221*BF201+BG221*BG201+BH221*BH201+BI221*BI201+BJ221*BJ201+BK221*BK201+BL221*BL201+BM221*BM201+BN221*BN201+BO221*BO201+BP221*BP201+BQ221*BQ201+BR221*BR201+BS221*BS201+BT221*BT201+BU221*BU201+BV221*BV201+BW221*BW201+BX221*BX201+BY221*BY201+BZ221*BZ201+CA221*CA201+CB221*CB201+CC221*CC201</f>
        <v>0</v>
      </c>
      <c r="CH201" s="2386">
        <f>E222*E201+F222*F201+G222*G201+H222*H201+I222*I201+J222*J201+K222*K201+L222*L201+M222*M201+N222*N201+O222*O201+P222*P201+Q222*Q201+R222*R201+S222*S201+T222*T201+U222*U201+V222*V201+W222*W201+X222*X201+Y222*Y201+Z222*Z201+AA222*AA201+AB222*AB201+AC222*AC201+AD222*AD201+AE222*AE201+AF222*AF201+AG222*AG201+AH222*AH201+AI222*AI201+AJ222*AJ201+AK222*AK201+AL222*AL201+AM222*AM201+AN222*AN201+AO222*AO201+AP222*AP201+AQ222*AQ201+AR222*AR201+AS222*AS201+AT222*AT201+AU222*AU201+AV222*AV201+AW222*AW201+AX222*AX201+AY222*AY201+AZ222*AZ201+BA222*BA201+BB222*BB201+BC222*BC201+BD222*BD201+BE222*BE201+BF222*BF201+BG222*BG201+BH222*BH201+BI222*BI201+BJ222*BJ201+BK222*BK201+BL222*BL201+BM222*BM201+BN222*BN201+BO222*BO201+BP222*BP201+BQ222*BQ201+BR222*BR201+BS222*BS201+BT222*BT201+BU222*BU201+BV222*BV201+BW222*BW201+BX222*BX201+BY222*BY201+BZ222*BZ201+CA222*CA201+CB222*CB201+CC222*CC201</f>
        <v>0</v>
      </c>
      <c r="CI201" s="2387">
        <f>E223*E201+F223*F201+G223*G201+H223*H201+I223*I201+J223*J201+K223*K201+L223*L201+M223*M201+N223*N201+O223*O201+P223*P201+Q223*Q201+R223*R201+S223*S201+T223*T201+U223*U201+V223*V201+W223*W201+X223*X201+Y223*Y201+Z223*Z201+AA223*AA201+AB223*AB201+AC223*AC201+AD223*AD201+AE223*AE201+AF223*AF201+AG223*AG201+AH223*AH201+AI223*AI201+AJ223*AJ201+AK223*AK201+AL223*AL201+AM223*AM201+AN223*AN201+AO223*AO201+AP223*AP201+AQ223*AQ201+AR223*AR201+AS223*AS201+AT223*AT201+AU223*AU201+AV223*AV201+AW223*AW201+AX223*AX201+AY223*AY201+AZ223*AZ201+BA223*BA201+BB223*BB201+BC223*BC201+BD223*BD201+BE223*BE201+BF223*BF201+BG223*BG201+BH223*BH201+BI223*BI201+BJ223*BJ201+BK223*BK201+BL223*BL201+BM223*BM201+BN223*BN201+BO223*BO201+BP223*BP201+BQ223*BQ201+BR223*BR201+BS223*BS201+BT223*BT201+BU223*BU201+BV223*BV201+BW223*BW201+BX223*BX201+BY223*BY201+BZ223*BZ201+CA223*CA201+CB223*CB201+CC223*CC201</f>
        <v>0</v>
      </c>
      <c r="CJ201" s="2387">
        <f>E224*E201+F224*F201+G224*G201+H224*H201+I224*I201+J224*J201+K224*K201+L224*L201+M224*M201+N224*N201+O224*O201+P224*P201+Q224*Q201+R224*R201+S224*S201+T224*T201+U224*U201+V224*V201+W224*W201+X224*X201+Y224*Y201+Z224*Z201+AA224*AA201+AB224*AB201+AC224*AC201+AD224*AD201+AE224*AE201+AF224*AF201+AG224*AG201+AH224*AH201+AI224*AI201+AJ224*AJ201+AK224*AK201+AL224*AL201+AM224*AM201+AN224*AN201+AO224*AO201+AP224*AP201+AQ224*AQ201+AR224*AR201+AS224*AS201+AT224*AT201+AU224*AU201+AV224*AV201+AW224*AW201+AX224*AX201+AY224*AY201+AZ224*AZ201+BA224*BA201+BB224*BB201+BC224*BC201+BD224*BD201+BE224*BE201+BF224*BF201+BG224*BG201+BH224*BH201+BI224*BI201+BJ224*BJ201+BK224*BK201+BL224*BL201+BM224*BM201+BN224*BN201+BO224*BO201+BP224*BP201+BQ224*BQ201+BR224*BR201+BS224*BS201+BT224*BT201+BU224*BU201+BV224*BV201+BW224*BW201+BX224*BX201+BY224*BY201+BZ224*BZ201+CA224*CA201+CB224*CB201+CC224*CC201</f>
        <v>0</v>
      </c>
      <c r="CK201" s="2387">
        <f>E225*E201+F225*F201+G225*G201+H225*H201+I225*I201+J225*J201+K225*K201+L225*L201+M225*M201+N225*N201+O225*O201+P225*P201+Q225*Q201+R225*R201+S225*S201+T225*T201+U225*U201+V225*V201+W225*W201+X225*X201+Y225*Y201+Z225*Z201+AA225*AA201+AB225*AB201+AC225*AC201+AD225*AD201+AE225*AE201+AF225*AF201+AG225*AG201+AH225*AH201+AI225*AI201+AJ225*AJ201+AK225*AK201+AL225*AL201+AM225*AM201+AN225*AN201+AO225*AO201+AP225*AP201+AQ225*AQ201+AR225*AR201+AS225*AS201+AT225*AT201+AU225*AU201+AV225*AV201+AW225*AW201+AX225*AX201+AY225*AY201+AZ225*AZ201+BA225*BA201+BB225*BB201+BC225*BC201+BD225*BD201+BE225*BE201+BF225*BF201+BG225*BG201+BH225*BH201+BI225*BI201+BJ225*BJ201+BK225*BK201+BL225*BL201+BM225*BM201+BN225*BN201+BO225*BO201+BP225*BP201+BQ225*BQ201+BR225*BR201+BS225*BS201+BT225*BT201+BU225*BU201+BV225*BV201+BW225*BW201+BX225*BX201+BY225*BY201+BZ225*BZ201+CA225*CA201+CB225*CB201+CC225*CC201</f>
        <v>0</v>
      </c>
      <c r="CL201" s="2387">
        <f>E226*E201+F226*F201+G226*G201+H226*H201+I226*I201+J226*J201+K226*K201+L226*L201+M226*M201+N226*N201+O226*O201+P226*P201+Q226*Q201+R226*R201+S226*S201+T226*T201+U226*U201+V226*V201+W226*W201+X226*X201+Y226*Y201+Z226*Z201+AA226*AA201+AB226*AB201+AC226*AC201+AD226*AD201+AE226*AE201+AF226*AF201+AG226*AG201+AH226*AH201+AI226*AI201+AJ226*AJ201+AK226*AK201+AL226*AL201+AM226*AM201+AN226*AN201+AO226*AO201+AP226*AP201+AQ226*AQ201+AR226*AR201+AS226*AS201+AT226*AT201+AU226*AU201+AV226*AV201+AW226*AW201+AX226*AX201+AY226*AY201+AZ226*AZ201+BA226*BA201+BB226*BB201+BC226*BC201+BD226*BD201+BE226*BE201+BF226*BF201+BG226*BG201+BH226*BH201+BI226*BI201+BJ226*BJ201+BK226*BK201+BL226*BL201+BM226*BM201+BN226*BN201+BO226*BO201+BP226*BP201+BQ226*BQ201+BR226*BR201+BS226*BS201+BT226*BT201+BU226*BU201+BV226*BV201+BW226*BW201+BX226*BX201+BY226*BY201+BZ226*BZ201+CA226*CA201+CB226*CB201+CC226*CC201</f>
        <v>0</v>
      </c>
      <c r="CM201" s="2387">
        <f>E227*E201+F227*F201+G227*G201+H227*H201+I227*I201+J227*J201+K227*K201+L227*L201+M227*M201+N227*N201+O227*O201+P227*P201+Q227*Q201+R227*R201+S227*S201+T227*T201+U227*U201+V227*V201+W227*W201+X227*X201+Y227*Y201+Z227*Z201+AA227*AA201+AB227*AB201+AC227*AC201+AD227*AD201+AE227*AE201+AF227*AF201+AG227*AG201+AH227*AH201+AI227*AI201+AJ227*AJ201+AK227*AK201+AL227*AL201+AM227*AM201+AN227*AN201+AO227*AO201+AP227*AP201+AQ227*AQ201+AR227*AR201+AS227*AS201+AT227*AT201+AU227*AU201+AV227*AV201+AW227*AW201+AX227*AX201+AY227*AY201+AZ227*AZ201+BA227*BA201+BB227*BB201+BC227*BC201+BD227*BD201+BE227*BE201+BF227*BF201+BG227*BG201+BH227*BH201+BI227*BI201+BJ227*BJ201+BK227*BK201+BL227*BL201+BM227*BM201+BN227*BN201+BO227*BO201+BP227*BP201+BQ227*BQ201+BR227*BR201+BS227*BS201+BT227*BT201+BU227*BU201+BV227*BV201+BW227*BW201+BX227*BX201+BY227*BY201+BZ227*BZ201+CA227*CA201+CB227*CB201+CC227*CC201</f>
        <v>0</v>
      </c>
      <c r="CN201" s="2387">
        <f>E228*E201+F228*F201+G228*G201+H228*H201+I228*I201+J228*J201+K228*K201+L228*L201+M228*M201+N228*N201+O228*O201+P228*P201+Q228*Q201+R228*R201+S228*S201+T228*T201+U228*U201+V228*V201+W228*W201+X228*X201+Y228*Y201+Z228*Z201+AA228*AA201+AB228*AB201+AC228*AC201+AD228*AD201+AE228*AE201+AF228*AF201+AG228*AG201+AH228*AH201+AI228*AI201+AJ228*AJ201+AK228*AK201+AL228*AL201+AM228*AM201+AN228*AN201+AO228*AO201+AP228*AP201+AQ228*AQ201+AR228*AR201+AS228*AS201+AT228*AT201+AU228*AU201+AV228*AV201+AW228*AW201+AX228*AX201+AY228*AY201+AZ228*AZ201+BA228*BA201+BB228*BB201+BC228*BC201+BD228*BD201+BE228*BE201+BF228*BF201+BG228*BG201+BH228*BH201+BI228*BI201+BJ228*BJ201+BK228*BK201+BL228*BL201+BM228*BM201+BN228*BN201+BO228*BO201+BP228*BP201+BQ228*BQ201+BR228*BR201+BS228*BS201+BT228*BT201+BU228*BU201+BV228*BV201+BW228*BW201+BX228*BX201+BY228*BY201+BZ228*BZ201+CA228*CA201+CB228*CB201+CC228*CC201</f>
        <v>0</v>
      </c>
      <c r="CO201" s="2387">
        <f>E229*E201+F229*F201+G229*G201+H229*H201+I229*I201+J229*J201+K229*K201+L229*L201+M229*M201+N229*N201+O229*O201+P229*P201+Q229*Q201+R229*R201+S229*S201+T229*T201+U229*U201+V229*V201+W229*W201+X229*X201+Y229*Y201+Z229*Z201+AA229*AA201+AB229*AB201+AC229*AC201+AD229*AD201+AE229*AE201+AF229*AF201+AG229*AG201+AH229*AH201+AI229*AI201+AJ229*AJ201+AK229*AK201+AL229*AL201+AM229*AM201+AN229*AN201+AO229*AO201+AP229*AP201+AQ229*AQ201+AR229*AR201+AS229*AS201+AT229*AT201+AU229*AU201+AV229*AV201+AW229*AW201+AX229*AX201+AY229*AY201+AZ229*AZ201+BA229*BA201+BB229*BB201+BC229*BC201+BD229*BD201+BE229*BE201+BF229*BF201+BG229*BG201+BH229*BH201+BI229*BI201+BJ229*BJ201+BK229*BK201+BL229*BL201+BM229*BM201+BN229*BN201+BO229*BO201+BP229*BP201+BQ229*BQ201+BR229*BR201+BS229*BS201+BT229*BT201+BU229*BU201+BV229*BV201+BW229*BW201+BX229*BX201+BY229*BY201+BZ229*BZ201+CA229*CA201+CB229*CB201+CC229*CC201</f>
        <v>0</v>
      </c>
      <c r="CP201" s="2387">
        <f>E230*E201+F230*F201+G230*G201+H230*H201+I230*I201+J230*J201+K230*K201+L230*L201+M230*M201+N230*N201+O230*O201+P230*P201+Q230*Q201+R230*R201+S230*S201+T230*T201+U230*U201+V230*V201+W230*W201+X230*X201+Y230*Y201+Z230*Z201+AA230*AA201+AB230*AB201+AC230*AC201+AD230*AD201+AE230*AE201+AF230*AF201+AG230*AG201+AH230*AH201+AI230*AI201+AJ230*AJ201+AK230*AK201+AL230*AL201+AM230*AM201+AN230*AN201+AO230*AO201+AP230*AP201+AQ230*AQ201+AR230*AR201+AS230*AS201+AT230*AT201+AU230*AU201+AV230*AV201+AW230*AW201+AX230*AX201+AY230*AY201+AZ230*AZ201+BA230*BA201+BB230*BB201+BC230*BC201+BD230*BD201+BE230*BE201+BF230*BF201+BG230*BG201+BH230*BH201+BI230*BI201+BJ230*BJ201+BK230*BK201+BL230*BL201+BM230*BM201+BN230*BN201+BO230*BO201+BP230*BP201+BQ230*BQ201+BR230*BR201+BS230*BS201+BT230*BT201+BU230*BU201+BV230*BV201+BW230*BW201+BX230*BX201+BY230*BY201+BZ230*BZ201+CA230*CA201+CB230*CB201+CC230*CC201</f>
        <v>0</v>
      </c>
    </row>
    <row r="202" spans="2:94" x14ac:dyDescent="0.25">
      <c r="B202" s="1596">
        <v>83</v>
      </c>
      <c r="C202" s="1534" t="s">
        <v>3076</v>
      </c>
      <c r="D202" s="1539" t="s">
        <v>287</v>
      </c>
      <c r="E202" s="988">
        <f>0</f>
        <v>0</v>
      </c>
      <c r="F202" s="988">
        <f>0</f>
        <v>0</v>
      </c>
      <c r="G202" s="988">
        <f>0</f>
        <v>0</v>
      </c>
      <c r="H202" s="988">
        <f>0</f>
        <v>0</v>
      </c>
      <c r="I202" s="988">
        <f>0</f>
        <v>0</v>
      </c>
      <c r="J202" s="988">
        <f>0</f>
        <v>0</v>
      </c>
      <c r="K202" s="988">
        <f>0</f>
        <v>0</v>
      </c>
      <c r="L202" s="988">
        <f>0</f>
        <v>0</v>
      </c>
      <c r="M202" s="988">
        <f>0</f>
        <v>0</v>
      </c>
      <c r="N202" s="988">
        <f>0</f>
        <v>0</v>
      </c>
      <c r="O202" s="988">
        <f>0</f>
        <v>0</v>
      </c>
      <c r="P202" s="988">
        <f>0</f>
        <v>0</v>
      </c>
      <c r="Q202" s="995">
        <f>0</f>
        <v>0</v>
      </c>
      <c r="R202" s="988">
        <f>0</f>
        <v>0</v>
      </c>
      <c r="S202" s="988">
        <f>0</f>
        <v>0</v>
      </c>
      <c r="T202" s="988">
        <f>0</f>
        <v>0</v>
      </c>
      <c r="U202" s="988">
        <f>0</f>
        <v>0</v>
      </c>
      <c r="V202" s="988">
        <f>0</f>
        <v>0</v>
      </c>
      <c r="W202" s="988">
        <f>0</f>
        <v>0</v>
      </c>
      <c r="X202" s="988">
        <f>0</f>
        <v>0</v>
      </c>
      <c r="Y202" s="995">
        <f>-A_MN/M_MSTR</f>
        <v>-5.7075504823359977E-2</v>
      </c>
      <c r="Z202" s="988">
        <f>0</f>
        <v>0</v>
      </c>
      <c r="AA202" s="988">
        <f>0</f>
        <v>0</v>
      </c>
      <c r="AB202" s="988">
        <f>0</f>
        <v>0</v>
      </c>
      <c r="AC202" s="988">
        <f>0</f>
        <v>0</v>
      </c>
      <c r="AD202" s="988">
        <f>0</f>
        <v>0</v>
      </c>
      <c r="AE202" s="988">
        <f>0</f>
        <v>0</v>
      </c>
      <c r="AF202" s="995">
        <f>-A_MP/M_MSTR</f>
        <v>-0.12621410566683836</v>
      </c>
      <c r="AG202" s="988">
        <f>0</f>
        <v>0</v>
      </c>
      <c r="AH202" s="988">
        <f>0</f>
        <v>0</v>
      </c>
      <c r="AI202" s="988">
        <f>0</f>
        <v>0</v>
      </c>
      <c r="AJ202" s="988">
        <f>0</f>
        <v>0</v>
      </c>
      <c r="AK202" s="988">
        <f>0</f>
        <v>0</v>
      </c>
      <c r="AL202" s="988">
        <f>0</f>
        <v>0</v>
      </c>
      <c r="AM202" s="988">
        <f>0</f>
        <v>0</v>
      </c>
      <c r="AN202" s="988">
        <f>0</f>
        <v>0</v>
      </c>
      <c r="AO202" s="988">
        <f>0</f>
        <v>0</v>
      </c>
      <c r="AP202" s="988">
        <f>0</f>
        <v>0</v>
      </c>
      <c r="AQ202" s="988">
        <f>0</f>
        <v>0</v>
      </c>
      <c r="AR202" s="988">
        <f>0</f>
        <v>0</v>
      </c>
      <c r="AS202" s="995">
        <f>-A_MMg/M_MSTR</f>
        <v>-9.9039755597804202E-2</v>
      </c>
      <c r="AT202" s="988">
        <f>0</f>
        <v>0</v>
      </c>
      <c r="AU202" s="995">
        <f>0</f>
        <v>0</v>
      </c>
      <c r="AV202" s="988">
        <f>0</f>
        <v>0</v>
      </c>
      <c r="AW202" s="988">
        <f>0</f>
        <v>0</v>
      </c>
      <c r="AX202" s="995">
        <f>0</f>
        <v>0</v>
      </c>
      <c r="AY202" s="995">
        <f>0</f>
        <v>0</v>
      </c>
      <c r="AZ202" s="988">
        <f>0</f>
        <v>0</v>
      </c>
      <c r="BA202" s="995">
        <f>0</f>
        <v>0</v>
      </c>
      <c r="BB202" s="995">
        <f>0</f>
        <v>0</v>
      </c>
      <c r="BC202" s="988">
        <f>0</f>
        <v>0</v>
      </c>
      <c r="BD202" s="988">
        <f>0</f>
        <v>0</v>
      </c>
      <c r="BE202" s="995">
        <f>0</f>
        <v>0</v>
      </c>
      <c r="BF202" s="995">
        <f>0</f>
        <v>0</v>
      </c>
      <c r="BG202" s="988">
        <f>0</f>
        <v>0</v>
      </c>
      <c r="BH202" s="995">
        <f>0</f>
        <v>0</v>
      </c>
      <c r="BI202" s="995">
        <f>0</f>
        <v>0</v>
      </c>
      <c r="BJ202" s="995">
        <f>0</f>
        <v>0</v>
      </c>
      <c r="BK202" s="995">
        <f>0</f>
        <v>0</v>
      </c>
      <c r="BL202" s="1079">
        <f>0</f>
        <v>0</v>
      </c>
      <c r="BM202" s="995">
        <f>1</f>
        <v>1</v>
      </c>
      <c r="BN202" s="995">
        <f>0</f>
        <v>0</v>
      </c>
      <c r="BO202" s="995">
        <f>0</f>
        <v>0</v>
      </c>
      <c r="BP202" s="1431">
        <f>0</f>
        <v>0</v>
      </c>
      <c r="BQ202" s="2381">
        <f>0</f>
        <v>0</v>
      </c>
      <c r="BR202" s="995">
        <f>0</f>
        <v>0</v>
      </c>
      <c r="BS202" s="995">
        <f>0</f>
        <v>0</v>
      </c>
      <c r="BT202" s="995">
        <f>0</f>
        <v>0</v>
      </c>
      <c r="BU202" s="995">
        <f>0</f>
        <v>0</v>
      </c>
      <c r="BV202" s="995">
        <f>0</f>
        <v>0</v>
      </c>
      <c r="BW202" s="995">
        <f>0</f>
        <v>0</v>
      </c>
      <c r="BX202" s="995">
        <f>0</f>
        <v>0</v>
      </c>
      <c r="BY202" s="995">
        <f>0</f>
        <v>0</v>
      </c>
      <c r="BZ202" s="995">
        <f>0</f>
        <v>0</v>
      </c>
      <c r="CA202" s="995">
        <f>0</f>
        <v>0</v>
      </c>
      <c r="CB202" s="995">
        <f>0</f>
        <v>0</v>
      </c>
      <c r="CC202" s="995">
        <f>0</f>
        <v>0</v>
      </c>
      <c r="CD202" s="1661">
        <f>q_STR*P_recipDrivingForceSTR^3</f>
        <v>-8.9705628889585427E-48</v>
      </c>
      <c r="CF202" s="2385">
        <f>E220*E202+F220*F202+G220*G202+H220*H202+I220*I202+J220*J202+K220*K202+L220*L202+M220*M202+N220*N202+O220*O202+P220*P202+Q220*Q202+R220*R202+S220*S202+T220*T202+U220*U202+V220*V202+W220*W202+X220*X202+Y220*Y202+Z220*Z202+AA220*AA202+AB220*AB202+AC220*AC202+AD220*AD202+AE220*AE202+AF220*AF202+AG220*AG202+AH220*AH202+AI220*AI202+AJ220*AJ202+AK220*AK202+AL220*AL202+AM220*AM202+AN220*AN202+AO220*AO202+AP220*AP202+AQ220*AQ202+AR220*AR202+AS220*AS202+AT220*AT202+AU220*AU202+AV220*AV202+AW220*AW202+AX220*AX202+AY220*AY202+AZ220*AZ202+BA220*BA202+BB220*BB202+BC220*BC202+BD220*BD202+BE220*BE202+BF220*BF202+BG220*BG202+BH220*BH202+BI220*BI202+BJ220*BJ202+BK220*BK202+BL220*BL202+BM220*BM202+BN220*BN202+BO220*BO202+BP220*BP202+BQ220*BQ202+BR220*BR202+BS220*BS202+BT220*BT202+BU220*BU202+BV220*BV202+BW220*BW202+BX220*BX202+BY220*BY202+BZ220*BZ202+CA220*CA202+CB220*CB202+CC220*CC202</f>
        <v>0</v>
      </c>
      <c r="CG202" s="2385">
        <f>E221*E202+F221*F202+G221*G202+H221*H202+I221*I202+J221*J202+K221*K202+L221*L202+M221*M202+N221*N202+O221*O202+P221*P202+Q221*Q202+R221*R202+S221*S202+T221*T202+U221*U202+V221*V202+W221*W202+X221*X202+Y221*Y202+Z221*Z202+AA221*AA202+AB221*AB202+AC221*AC202+AD221*AD202+AE221*AE202+AF221*AF202+AG221*AG202+AH221*AH202+AI221*AI202+AJ221*AJ202+AK221*AK202+AL221*AL202+AM221*AM202+AN221*AN202+AO221*AO202+AP221*AP202+AQ221*AQ202+AR221*AR202+AS221*AS202+AT221*AT202+AU221*AU202+AV221*AV202+AW221*AW202+AX221*AX202+AY221*AY202+AZ221*AZ202+BA221*BA202+BB221*BB202+BC221*BC202+BD221*BD202+BE221*BE202+BF221*BF202+BG221*BG202+BH221*BH202+BI221*BI202+BJ221*BJ202+BK221*BK202+BL221*BL202+BM221*BM202+BN221*BN202+BO221*BO202+BP221*BP202+BQ221*BQ202+BR221*BR202+BS221*BS202+BT221*BT202+BU221*BU202+BV221*BV202+BW221*BW202+BX221*BX202+BY221*BY202+BZ221*BZ202+CA221*CA202+CB221*CB202+CC221*CC202</f>
        <v>0</v>
      </c>
      <c r="CH202" s="2386">
        <f>E222*E202+F222*F202+G222*G202+H222*H202+I222*I202+J222*J202+K222*K202+L222*L202+M222*M202+N222*N202+O222*O202+P222*P202+Q222*Q202+R222*R202+S222*S202+T222*T202+U222*U202+V222*V202+W222*W202+X222*X202+Y222*Y202+Z222*Z202+AA222*AA202+AB222*AB202+AC222*AC202+AD222*AD202+AE222*AE202+AF222*AF202+AG222*AG202+AH222*AH202+AI222*AI202+AJ222*AJ202+AK222*AK202+AL222*AL202+AM222*AM202+AN222*AN202+AO222*AO202+AP222*AP202+AQ222*AQ202+AR222*AR202+AS222*AS202+AT222*AT202+AU222*AU202+AV222*AV202+AW222*AW202+AX222*AX202+AY222*AY202+AZ222*AZ202+BA222*BA202+BB222*BB202+BC222*BC202+BD222*BD202+BE222*BE202+BF222*BF202+BG222*BG202+BH222*BH202+BI222*BI202+BJ222*BJ202+BK222*BK202+BL222*BL202+BM222*BM202+BN222*BN202+BO222*BO202+BP222*BP202+BQ222*BQ202+BR222*BR202+BS222*BS202+BT222*BT202+BU222*BU202+BV222*BV202+BW222*BW202+BX222*BX202+BY222*BY202+BZ222*BZ202+CA222*CA202+CB222*CB202+CC222*CC202</f>
        <v>0</v>
      </c>
      <c r="CI202" s="2387">
        <f>E223*E202+F223*F202+G223*G202+H223*H202+I223*I202+J223*J202+K223*K202+L223*L202+M223*M202+N223*N202+O223*O202+P223*P202+Q223*Q202+R223*R202+S223*S202+T223*T202+U223*U202+V223*V202+W223*W202+X223*X202+Y223*Y202+Z223*Z202+AA223*AA202+AB223*AB202+AC223*AC202+AD223*AD202+AE223*AE202+AF223*AF202+AG223*AG202+AH223*AH202+AI223*AI202+AJ223*AJ202+AK223*AK202+AL223*AL202+AM223*AM202+AN223*AN202+AO223*AO202+AP223*AP202+AQ223*AQ202+AR223*AR202+AS223*AS202+AT223*AT202+AU223*AU202+AV223*AV202+AW223*AW202+AX223*AX202+AY223*AY202+AZ223*AZ202+BA223*BA202+BB223*BB202+BC223*BC202+BD223*BD202+BE223*BE202+BF223*BF202+BG223*BG202+BH223*BH202+BI223*BI202+BJ223*BJ202+BK223*BK202+BL223*BL202+BM223*BM202+BN223*BN202+BO223*BO202+BP223*BP202+BQ223*BQ202+BR223*BR202+BS223*BS202+BT223*BT202+BU223*BU202+BV223*BV202+BW223*BW202+BX223*BX202+BY223*BY202+BZ223*BZ202+CA223*CA202+CB223*CB202+CC223*CC202</f>
        <v>0</v>
      </c>
      <c r="CJ202" s="2387">
        <f>E224*E202+F224*F202+G224*G202+H224*H202+I224*I202+J224*J202+K224*K202+L224*L202+M224*M202+N224*N202+O224*O202+P224*P202+Q224*Q202+R224*R202+S224*S202+T224*T202+U224*U202+V224*V202+W224*W202+X224*X202+Y224*Y202+Z224*Z202+AA224*AA202+AB224*AB202+AC224*AC202+AD224*AD202+AE224*AE202+AF224*AF202+AG224*AG202+AH224*AH202+AI224*AI202+AJ224*AJ202+AK224*AK202+AL224*AL202+AM224*AM202+AN224*AN202+AO224*AO202+AP224*AP202+AQ224*AQ202+AR224*AR202+AS224*AS202+AT224*AT202+AU224*AU202+AV224*AV202+AW224*AW202+AX224*AX202+AY224*AY202+AZ224*AZ202+BA224*BA202+BB224*BB202+BC224*BC202+BD224*BD202+BE224*BE202+BF224*BF202+BG224*BG202+BH224*BH202+BI224*BI202+BJ224*BJ202+BK224*BK202+BL224*BL202+BM224*BM202+BN224*BN202+BO224*BO202+BP224*BP202+BQ224*BQ202+BR224*BR202+BS224*BS202+BT224*BT202+BU224*BU202+BV224*BV202+BW224*BW202+BX224*BX202+BY224*BY202+BZ224*BZ202+CA224*CA202+CB224*CB202+CC224*CC202</f>
        <v>0</v>
      </c>
      <c r="CK202" s="2387">
        <f>E225*E202+F225*F202+G225*G202+H225*H202+I225*I202+J225*J202+K225*K202+L225*L202+M225*M202+N225*N202+O225*O202+P225*P202+Q225*Q202+R225*R202+S225*S202+T225*T202+U225*U202+V225*V202+W225*W202+X225*X202+Y225*Y202+Z225*Z202+AA225*AA202+AB225*AB202+AC225*AC202+AD225*AD202+AE225*AE202+AF225*AF202+AG225*AG202+AH225*AH202+AI225*AI202+AJ225*AJ202+AK225*AK202+AL225*AL202+AM225*AM202+AN225*AN202+AO225*AO202+AP225*AP202+AQ225*AQ202+AR225*AR202+AS225*AS202+AT225*AT202+AU225*AU202+AV225*AV202+AW225*AW202+AX225*AX202+AY225*AY202+AZ225*AZ202+BA225*BA202+BB225*BB202+BC225*BC202+BD225*BD202+BE225*BE202+BF225*BF202+BG225*BG202+BH225*BH202+BI225*BI202+BJ225*BJ202+BK225*BK202+BL225*BL202+BM225*BM202+BN225*BN202+BO225*BO202+BP225*BP202+BQ225*BQ202+BR225*BR202+BS225*BS202+BT225*BT202+BU225*BU202+BV225*BV202+BW225*BW202+BX225*BX202+BY225*BY202+BZ225*BZ202+CA225*CA202+CB225*CB202+CC225*CC202</f>
        <v>0</v>
      </c>
      <c r="CL202" s="2387">
        <f>E226*E202+F226*F202+G226*G202+H226*H202+I226*I202+J226*J202+K226*K202+L226*L202+M226*M202+N226*N202+O226*O202+P226*P202+Q226*Q202+R226*R202+S226*S202+T226*T202+U226*U202+V226*V202+W226*W202+X226*X202+Y226*Y202+Z226*Z202+AA226*AA202+AB226*AB202+AC226*AC202+AD226*AD202+AE226*AE202+AF226*AF202+AG226*AG202+AH226*AH202+AI226*AI202+AJ226*AJ202+AK226*AK202+AL226*AL202+AM226*AM202+AN226*AN202+AO226*AO202+AP226*AP202+AQ226*AQ202+AR226*AR202+AS226*AS202+AT226*AT202+AU226*AU202+AV226*AV202+AW226*AW202+AX226*AX202+AY226*AY202+AZ226*AZ202+BA226*BA202+BB226*BB202+BC226*BC202+BD226*BD202+BE226*BE202+BF226*BF202+BG226*BG202+BH226*BH202+BI226*BI202+BJ226*BJ202+BK226*BK202+BL226*BL202+BM226*BM202+BN226*BN202+BO226*BO202+BP226*BP202+BQ226*BQ202+BR226*BR202+BS226*BS202+BT226*BT202+BU226*BU202+BV226*BV202+BW226*BW202+BX226*BX202+BY226*BY202+BZ226*BZ202+CA226*CA202+CB226*CB202+CC226*CC202</f>
        <v>0</v>
      </c>
      <c r="CM202" s="2387">
        <f>E227*E202+F227*F202+G227*G202+H227*H202+I227*I202+J227*J202+K227*K202+L227*L202+M227*M202+N227*N202+O227*O202+P227*P202+Q227*Q202+R227*R202+S227*S202+T227*T202+U227*U202+V227*V202+W227*W202+X227*X202+Y227*Y202+Z227*Z202+AA227*AA202+AB227*AB202+AC227*AC202+AD227*AD202+AE227*AE202+AF227*AF202+AG227*AG202+AH227*AH202+AI227*AI202+AJ227*AJ202+AK227*AK202+AL227*AL202+AM227*AM202+AN227*AN202+AO227*AO202+AP227*AP202+AQ227*AQ202+AR227*AR202+AS227*AS202+AT227*AT202+AU227*AU202+AV227*AV202+AW227*AW202+AX227*AX202+AY227*AY202+AZ227*AZ202+BA227*BA202+BB227*BB202+BC227*BC202+BD227*BD202+BE227*BE202+BF227*BF202+BG227*BG202+BH227*BH202+BI227*BI202+BJ227*BJ202+BK227*BK202+BL227*BL202+BM227*BM202+BN227*BN202+BO227*BO202+BP227*BP202+BQ227*BQ202+BR227*BR202+BS227*BS202+BT227*BT202+BU227*BU202+BV227*BV202+BW227*BW202+BX227*BX202+BY227*BY202+BZ227*BZ202+CA227*CA202+CB227*CB202+CC227*CC202</f>
        <v>0</v>
      </c>
      <c r="CN202" s="2387">
        <f>E228*E202+F228*F202+G228*G202+H228*H202+I228*I202+J228*J202+K228*K202+L228*L202+M228*M202+N228*N202+O228*O202+P228*P202+Q228*Q202+R228*R202+S228*S202+T228*T202+U228*U202+V228*V202+W228*W202+X228*X202+Y228*Y202+Z228*Z202+AA228*AA202+AB228*AB202+AC228*AC202+AD228*AD202+AE228*AE202+AF228*AF202+AG228*AG202+AH228*AH202+AI228*AI202+AJ228*AJ202+AK228*AK202+AL228*AL202+AM228*AM202+AN228*AN202+AO228*AO202+AP228*AP202+AQ228*AQ202+AR228*AR202+AS228*AS202+AT228*AT202+AU228*AU202+AV228*AV202+AW228*AW202+AX228*AX202+AY228*AY202+AZ228*AZ202+BA228*BA202+BB228*BB202+BC228*BC202+BD228*BD202+BE228*BE202+BF228*BF202+BG228*BG202+BH228*BH202+BI228*BI202+BJ228*BJ202+BK228*BK202+BL228*BL202+BM228*BM202+BN228*BN202+BO228*BO202+BP228*BP202+BQ228*BQ202+BR228*BR202+BS228*BS202+BT228*BT202+BU228*BU202+BV228*BV202+BW228*BW202+BX228*BX202+BY228*BY202+BZ228*BZ202+CA228*CA202+CB228*CB202+CC228*CC202</f>
        <v>0</v>
      </c>
      <c r="CO202" s="2387">
        <f>E229*E202+F229*F202+G229*G202+H229*H202+I229*I202+J229*J202+K229*K202+L229*L202+M229*M202+N229*N202+O229*O202+P229*P202+Q229*Q202+R229*R202+S229*S202+T229*T202+U229*U202+V229*V202+W229*W202+X229*X202+Y229*Y202+Z229*Z202+AA229*AA202+AB229*AB202+AC229*AC202+AD229*AD202+AE229*AE202+AF229*AF202+AG229*AG202+AH229*AH202+AI229*AI202+AJ229*AJ202+AK229*AK202+AL229*AL202+AM229*AM202+AN229*AN202+AO229*AO202+AP229*AP202+AQ229*AQ202+AR229*AR202+AS229*AS202+AT229*AT202+AU229*AU202+AV229*AV202+AW229*AW202+AX229*AX202+AY229*AY202+AZ229*AZ202+BA229*BA202+BB229*BB202+BC229*BC202+BD229*BD202+BE229*BE202+BF229*BF202+BG229*BG202+BH229*BH202+BI229*BI202+BJ229*BJ202+BK229*BK202+BL229*BL202+BM229*BM202+BN229*BN202+BO229*BO202+BP229*BP202+BQ229*BQ202+BR229*BR202+BS229*BS202+BT229*BT202+BU229*BU202+BV229*BV202+BW229*BW202+BX229*BX202+BY229*BY202+BZ229*BZ202+CA229*CA202+CB229*CB202+CC229*CC202</f>
        <v>0</v>
      </c>
      <c r="CP202" s="2387">
        <f>E230*E202+F230*F202+G230*G202+H230*H202+I230*I202+J230*J202+K230*K202+L230*L202+M230*M202+N230*N202+O230*O202+P230*P202+Q230*Q202+R230*R202+S230*S202+T230*T202+U230*U202+V230*V202+W230*W202+X230*X202+Y230*Y202+Z230*Z202+AA230*AA202+AB230*AB202+AC230*AC202+AD230*AD202+AE230*AE202+AF230*AF202+AG230*AG202+AH230*AH202+AI230*AI202+AJ230*AJ202+AK230*AK202+AL230*AL202+AM230*AM202+AN230*AN202+AO230*AO202+AP230*AP202+AQ230*AQ202+AR230*AR202+AS230*AS202+AT230*AT202+AU230*AU202+AV230*AV202+AW230*AW202+AX230*AX202+AY230*AY202+AZ230*AZ202+BA230*BA202+BB230*BB202+BC230*BC202+BD230*BD202+BE230*BE202+BF230*BF202+BG230*BG202+BH230*BH202+BI230*BI202+BJ230*BJ202+BK230*BK202+BL230*BL202+BM230*BM202+BN230*BN202+BO230*BO202+BP230*BP202+BQ230*BQ202+BR230*BR202+BS230*BS202+BT230*BT202+BU230*BU202+BV230*BV202+BW230*BW202+BX230*BX202+BY230*BY202+BZ230*BZ202+CA230*CA202+CB230*CB202+CC230*CC202</f>
        <v>0</v>
      </c>
    </row>
    <row r="203" spans="2:94" x14ac:dyDescent="0.25">
      <c r="B203" s="1596">
        <v>84</v>
      </c>
      <c r="C203" s="1534" t="s">
        <v>3077</v>
      </c>
      <c r="D203" s="1539" t="s">
        <v>1125</v>
      </c>
      <c r="E203" s="988">
        <f>0</f>
        <v>0</v>
      </c>
      <c r="F203" s="988">
        <f>0</f>
        <v>0</v>
      </c>
      <c r="G203" s="988">
        <f>0</f>
        <v>0</v>
      </c>
      <c r="H203" s="988">
        <f>0</f>
        <v>0</v>
      </c>
      <c r="I203" s="988">
        <f>0</f>
        <v>0</v>
      </c>
      <c r="J203" s="988">
        <f>0</f>
        <v>0</v>
      </c>
      <c r="K203" s="988">
        <f>0</f>
        <v>0</v>
      </c>
      <c r="L203" s="988">
        <f>0</f>
        <v>0</v>
      </c>
      <c r="M203" s="988">
        <f>0</f>
        <v>0</v>
      </c>
      <c r="N203" s="988">
        <f>0</f>
        <v>0</v>
      </c>
      <c r="O203" s="988">
        <f>0</f>
        <v>0</v>
      </c>
      <c r="P203" s="988">
        <f>0</f>
        <v>0</v>
      </c>
      <c r="Q203" s="995">
        <f>0</f>
        <v>0</v>
      </c>
      <c r="R203" s="988">
        <f>0</f>
        <v>0</v>
      </c>
      <c r="S203" s="988">
        <f>0</f>
        <v>0</v>
      </c>
      <c r="T203" s="988">
        <f>0</f>
        <v>0</v>
      </c>
      <c r="U203" s="988">
        <f>0</f>
        <v>0</v>
      </c>
      <c r="V203" s="988">
        <f>0</f>
        <v>0</v>
      </c>
      <c r="W203" s="988">
        <f>0</f>
        <v>0</v>
      </c>
      <c r="X203" s="988">
        <f>0</f>
        <v>0</v>
      </c>
      <c r="Y203" s="995">
        <f>0</f>
        <v>0</v>
      </c>
      <c r="Z203" s="988">
        <f>0</f>
        <v>0</v>
      </c>
      <c r="AA203" s="988">
        <f>0</f>
        <v>0</v>
      </c>
      <c r="AB203" s="988">
        <f>0</f>
        <v>0</v>
      </c>
      <c r="AC203" s="988">
        <f>0</f>
        <v>0</v>
      </c>
      <c r="AD203" s="988">
        <f>0</f>
        <v>0</v>
      </c>
      <c r="AE203" s="988">
        <f>0</f>
        <v>0</v>
      </c>
      <c r="AF203" s="995">
        <f>-2*A_MP/M_MVivi</f>
        <v>-0.1234998580474381</v>
      </c>
      <c r="AG203" s="988">
        <f>0</f>
        <v>0</v>
      </c>
      <c r="AH203" s="988">
        <f>0</f>
        <v>0</v>
      </c>
      <c r="AI203" s="988">
        <f>0</f>
        <v>0</v>
      </c>
      <c r="AJ203" s="988">
        <f>0</f>
        <v>0</v>
      </c>
      <c r="AK203" s="988">
        <f>0</f>
        <v>0</v>
      </c>
      <c r="AL203" s="988">
        <f>0</f>
        <v>0</v>
      </c>
      <c r="AM203" s="988">
        <f>0</f>
        <v>0</v>
      </c>
      <c r="AN203" s="988">
        <f>0</f>
        <v>0</v>
      </c>
      <c r="AO203" s="988">
        <f>0</f>
        <v>0</v>
      </c>
      <c r="AP203" s="988">
        <f>0</f>
        <v>0</v>
      </c>
      <c r="AQ203" s="988">
        <f>0</f>
        <v>0</v>
      </c>
      <c r="AR203" s="988">
        <f>0</f>
        <v>0</v>
      </c>
      <c r="AS203" s="995">
        <f>0</f>
        <v>0</v>
      </c>
      <c r="AT203" s="988">
        <f>0</f>
        <v>0</v>
      </c>
      <c r="AU203" s="995">
        <f>-3*A_MFe/M_MVivi</f>
        <v>-0.33400121987727954</v>
      </c>
      <c r="AV203" s="988">
        <f>0</f>
        <v>0</v>
      </c>
      <c r="AW203" s="988">
        <f>0</f>
        <v>0</v>
      </c>
      <c r="AX203" s="995">
        <f>0</f>
        <v>0</v>
      </c>
      <c r="AY203" s="995">
        <f>0</f>
        <v>0</v>
      </c>
      <c r="AZ203" s="988">
        <f>0</f>
        <v>0</v>
      </c>
      <c r="BA203" s="995">
        <f>0</f>
        <v>0</v>
      </c>
      <c r="BB203" s="995">
        <f>0</f>
        <v>0</v>
      </c>
      <c r="BC203" s="988">
        <f>0</f>
        <v>0</v>
      </c>
      <c r="BD203" s="988">
        <f>0</f>
        <v>0</v>
      </c>
      <c r="BE203" s="995">
        <f>0</f>
        <v>0</v>
      </c>
      <c r="BF203" s="995">
        <f>0</f>
        <v>0</v>
      </c>
      <c r="BG203" s="988">
        <f>0</f>
        <v>0</v>
      </c>
      <c r="BH203" s="995">
        <f>0</f>
        <v>0</v>
      </c>
      <c r="BI203" s="995">
        <f>0</f>
        <v>0</v>
      </c>
      <c r="BJ203" s="995">
        <f>0</f>
        <v>0</v>
      </c>
      <c r="BK203" s="995">
        <f>0</f>
        <v>0</v>
      </c>
      <c r="BL203" s="1079">
        <f>0</f>
        <v>0</v>
      </c>
      <c r="BM203" s="995">
        <f>0</f>
        <v>0</v>
      </c>
      <c r="BN203" s="995">
        <f>1</f>
        <v>1</v>
      </c>
      <c r="BO203" s="995">
        <f>0</f>
        <v>0</v>
      </c>
      <c r="BP203" s="1431">
        <f>0</f>
        <v>0</v>
      </c>
      <c r="BQ203" s="2381">
        <f>0</f>
        <v>0</v>
      </c>
      <c r="BR203" s="995">
        <f>0</f>
        <v>0</v>
      </c>
      <c r="BS203" s="995">
        <f>0</f>
        <v>0</v>
      </c>
      <c r="BT203" s="995">
        <f>0</f>
        <v>0</v>
      </c>
      <c r="BU203" s="995">
        <f>0</f>
        <v>0</v>
      </c>
      <c r="BV203" s="995">
        <f>0</f>
        <v>0</v>
      </c>
      <c r="BW203" s="995">
        <f>0</f>
        <v>0</v>
      </c>
      <c r="BX203" s="995">
        <f>0</f>
        <v>0</v>
      </c>
      <c r="BY203" s="995">
        <f>0</f>
        <v>0</v>
      </c>
      <c r="BZ203" s="995">
        <f>0</f>
        <v>0</v>
      </c>
      <c r="CA203" s="995">
        <f>0</f>
        <v>0</v>
      </c>
      <c r="CB203" s="995">
        <f>0</f>
        <v>0</v>
      </c>
      <c r="CC203" s="995">
        <f>0</f>
        <v>0</v>
      </c>
      <c r="CD203" s="1661">
        <f>q_Vivi*P_recipDrivingForceVivi^2</f>
        <v>-1E-50</v>
      </c>
      <c r="CF203" s="2385">
        <f>E220*E203+F220*F203+G220*G203+H220*H203+I220*I203+J220*J203+K220*K203+L220*L203+M220*M203+N220*N203+O220*O203+P220*P203+Q220*Q203+R220*R203+S220*S203+T220*T203+U220*U203+V220*V203+W220*W203+X220*X203+Y220*Y203+Z220*Z203+AA220*AA203+AB220*AB203+AC220*AC203+AD220*AD203+AE220*AE203+AF220*AF203+AG220*AG203+AH220*AH203+AI220*AI203+AJ220*AJ203+AK220*AK203+AL220*AL203+AM220*AM203+AN220*AN203+AO220*AO203+AP220*AP203+AQ220*AQ203+AR220*AR203+AS220*AS203+AT220*AT203+AU220*AU203+AV220*AV203+AW220*AW203+AX220*AX203+AY220*AY203+AZ220*AZ203+BA220*BA203+BB220*BB203+BC220*BC203+BD220*BD203+BE220*BE203+BF220*BF203+BG220*BG203+BH220*BH203+BI220*BI203+BJ220*BJ203+BK220*BK203+BL220*BL203+BM220*BM203+BN220*BN203+BO220*BO203+BP220*BP203+BQ220*BQ203+BR220*BR203+BS220*BS203+BT220*BT203+BU220*BU203+BV220*BV203+BW220*BW203+BX220*BX203+BY220*BY203+BZ220*BZ203+CA220*CA203+CB220*CB203+CC220*CC203</f>
        <v>0</v>
      </c>
      <c r="CG203" s="2385">
        <f>E221*E203+F221*F203+G221*G203+H221*H203+I221*I203+J221*J203+K221*K203+L221*L203+M221*M203+N221*N203+O221*O203+P221*P203+Q221*Q203+R221*R203+S221*S203+T221*T203+U221*U203+V221*V203+W221*W203+X221*X203+Y221*Y203+Z221*Z203+AA221*AA203+AB221*AB203+AC221*AC203+AD221*AD203+AE221*AE203+AF221*AF203+AG221*AG203+AH221*AH203+AI221*AI203+AJ221*AJ203+AK221*AK203+AL221*AL203+AM221*AM203+AN221*AN203+AO221*AO203+AP221*AP203+AQ221*AQ203+AR221*AR203+AS221*AS203+AT221*AT203+AU221*AU203+AV221*AV203+AW221*AW203+AX221*AX203+AY221*AY203+AZ221*AZ203+BA221*BA203+BB221*BB203+BC221*BC203+BD221*BD203+BE221*BE203+BF221*BF203+BG221*BG203+BH221*BH203+BI221*BI203+BJ221*BJ203+BK221*BK203+BL221*BL203+BM221*BM203+BN221*BN203+BO221*BO203+BP221*BP203+BQ221*BQ203+BR221*BR203+BS221*BS203+BT221*BT203+BU221*BU203+BV221*BV203+BW221*BW203+BX221*BX203+BY221*BY203+BZ221*BZ203+CA221*CA203+CB221*CB203+CC221*CC203</f>
        <v>0</v>
      </c>
      <c r="CH203" s="2386">
        <f>E222*E203+F222*F203+G222*G203+H222*H203+I222*I203+J222*J203+K222*K203+L222*L203+M222*M203+N222*N203+O222*O203+P222*P203+Q222*Q203+R222*R203+S222*S203+T222*T203+U222*U203+V222*V203+W222*W203+X222*X203+Y222*Y203+Z222*Z203+AA222*AA203+AB222*AB203+AC222*AC203+AD222*AD203+AE222*AE203+AF222*AF203+AG222*AG203+AH222*AH203+AI222*AI203+AJ222*AJ203+AK222*AK203+AL222*AL203+AM222*AM203+AN222*AN203+AO222*AO203+AP222*AP203+AQ222*AQ203+AR222*AR203+AS222*AS203+AT222*AT203+AU222*AU203+AV222*AV203+AW222*AW203+AX222*AX203+AY222*AY203+AZ222*AZ203+BA222*BA203+BB222*BB203+BC222*BC203+BD222*BD203+BE222*BE203+BF222*BF203+BG222*BG203+BH222*BH203+BI222*BI203+BJ222*BJ203+BK222*BK203+BL222*BL203+BM222*BM203+BN222*BN203+BO222*BO203+BP222*BP203+BQ222*BQ203+BR222*BR203+BS222*BS203+BT222*BT203+BU222*BU203+BV222*BV203+BW222*BW203+BX222*BX203+BY222*BY203+BZ222*BZ203+CA222*CA203+CB222*CB203+CC222*CC203</f>
        <v>0</v>
      </c>
      <c r="CI203" s="2387">
        <f>E223*E203+F223*F203+G223*G203+H223*H203+I223*I203+J223*J203+K223*K203+L223*L203+M223*M203+N223*N203+O223*O203+P223*P203+Q223*Q203+R223*R203+S223*S203+T223*T203+U223*U203+V223*V203+W223*W203+X223*X203+Y223*Y203+Z223*Z203+AA223*AA203+AB223*AB203+AC223*AC203+AD223*AD203+AE223*AE203+AF223*AF203+AG223*AG203+AH223*AH203+AI223*AI203+AJ223*AJ203+AK223*AK203+AL223*AL203+AM223*AM203+AN223*AN203+AO223*AO203+AP223*AP203+AQ223*AQ203+AR223*AR203+AS223*AS203+AT223*AT203+AU223*AU203+AV223*AV203+AW223*AW203+AX223*AX203+AY223*AY203+AZ223*AZ203+BA223*BA203+BB223*BB203+BC223*BC203+BD223*BD203+BE223*BE203+BF223*BF203+BG223*BG203+BH223*BH203+BI223*BI203+BJ223*BJ203+BK223*BK203+BL223*BL203+BM223*BM203+BN223*BN203+BO223*BO203+BP223*BP203+BQ223*BQ203+BR223*BR203+BS223*BS203+BT223*BT203+BU223*BU203+BV223*BV203+BW223*BW203+BX223*BX203+BY223*BY203+BZ223*BZ203+CA223*CA203+CB223*CB203+CC223*CC203</f>
        <v>0</v>
      </c>
      <c r="CJ203" s="2387">
        <f>E224*E203+F224*F203+G224*G203+H224*H203+I224*I203+J224*J203+K224*K203+L224*L203+M224*M203+N224*N203+O224*O203+P224*P203+Q224*Q203+R224*R203+S224*S203+T224*T203+U224*U203+V224*V203+W224*W203+X224*X203+Y224*Y203+Z224*Z203+AA224*AA203+AB224*AB203+AC224*AC203+AD224*AD203+AE224*AE203+AF224*AF203+AG224*AG203+AH224*AH203+AI224*AI203+AJ224*AJ203+AK224*AK203+AL224*AL203+AM224*AM203+AN224*AN203+AO224*AO203+AP224*AP203+AQ224*AQ203+AR224*AR203+AS224*AS203+AT224*AT203+AU224*AU203+AV224*AV203+AW224*AW203+AX224*AX203+AY224*AY203+AZ224*AZ203+BA224*BA203+BB224*BB203+BC224*BC203+BD224*BD203+BE224*BE203+BF224*BF203+BG224*BG203+BH224*BH203+BI224*BI203+BJ224*BJ203+BK224*BK203+BL224*BL203+BM224*BM203+BN224*BN203+BO224*BO203+BP224*BP203+BQ224*BQ203+BR224*BR203+BS224*BS203+BT224*BT203+BU224*BU203+BV224*BV203+BW224*BW203+BX224*BX203+BY224*BY203+BZ224*BZ203+CA224*CA203+CB224*CB203+CC224*CC203</f>
        <v>0</v>
      </c>
      <c r="CK203" s="2387">
        <f>E225*E203+F225*F203+G225*G203+H225*H203+I225*I203+J225*J203+K225*K203+L225*L203+M225*M203+N225*N203+O225*O203+P225*P203+Q225*Q203+R225*R203+S225*S203+T225*T203+U225*U203+V225*V203+W225*W203+X225*X203+Y225*Y203+Z225*Z203+AA225*AA203+AB225*AB203+AC225*AC203+AD225*AD203+AE225*AE203+AF225*AF203+AG225*AG203+AH225*AH203+AI225*AI203+AJ225*AJ203+AK225*AK203+AL225*AL203+AM225*AM203+AN225*AN203+AO225*AO203+AP225*AP203+AQ225*AQ203+AR225*AR203+AS225*AS203+AT225*AT203+AU225*AU203+AV225*AV203+AW225*AW203+AX225*AX203+AY225*AY203+AZ225*AZ203+BA225*BA203+BB225*BB203+BC225*BC203+BD225*BD203+BE225*BE203+BF225*BF203+BG225*BG203+BH225*BH203+BI225*BI203+BJ225*BJ203+BK225*BK203+BL225*BL203+BM225*BM203+BN225*BN203+BO225*BO203+BP225*BP203+BQ225*BQ203+BR225*BR203+BS225*BS203+BT225*BT203+BU225*BU203+BV225*BV203+BW225*BW203+BX225*BX203+BY225*BY203+BZ225*BZ203+CA225*CA203+CB225*CB203+CC225*CC203</f>
        <v>0</v>
      </c>
      <c r="CL203" s="2387">
        <f>E226*E203+F226*F203+G226*G203+H226*H203+I226*I203+J226*J203+K226*K203+L226*L203+M226*M203+N226*N203+O226*O203+P226*P203+Q226*Q203+R226*R203+S226*S203+T226*T203+U226*U203+V226*V203+W226*W203+X226*X203+Y226*Y203+Z226*Z203+AA226*AA203+AB226*AB203+AC226*AC203+AD226*AD203+AE226*AE203+AF226*AF203+AG226*AG203+AH226*AH203+AI226*AI203+AJ226*AJ203+AK226*AK203+AL226*AL203+AM226*AM203+AN226*AN203+AO226*AO203+AP226*AP203+AQ226*AQ203+AR226*AR203+AS226*AS203+AT226*AT203+AU226*AU203+AV226*AV203+AW226*AW203+AX226*AX203+AY226*AY203+AZ226*AZ203+BA226*BA203+BB226*BB203+BC226*BC203+BD226*BD203+BE226*BE203+BF226*BF203+BG226*BG203+BH226*BH203+BI226*BI203+BJ226*BJ203+BK226*BK203+BL226*BL203+BM226*BM203+BN226*BN203+BO226*BO203+BP226*BP203+BQ226*BQ203+BR226*BR203+BS226*BS203+BT226*BT203+BU226*BU203+BV226*BV203+BW226*BW203+BX226*BX203+BY226*BY203+BZ226*BZ203+CA226*CA203+CB226*CB203+CC226*CC203</f>
        <v>0</v>
      </c>
      <c r="CM203" s="2387">
        <f>E227*E203+F227*F203+G227*G203+H227*H203+I227*I203+J227*J203+K227*K203+L227*L203+M227*M203+N227*N203+O227*O203+P227*P203+Q227*Q203+R227*R203+S227*S203+T227*T203+U227*U203+V227*V203+W227*W203+X227*X203+Y227*Y203+Z227*Z203+AA227*AA203+AB227*AB203+AC227*AC203+AD227*AD203+AE227*AE203+AF227*AF203+AG227*AG203+AH227*AH203+AI227*AI203+AJ227*AJ203+AK227*AK203+AL227*AL203+AM227*AM203+AN227*AN203+AO227*AO203+AP227*AP203+AQ227*AQ203+AR227*AR203+AS227*AS203+AT227*AT203+AU227*AU203+AV227*AV203+AW227*AW203+AX227*AX203+AY227*AY203+AZ227*AZ203+BA227*BA203+BB227*BB203+BC227*BC203+BD227*BD203+BE227*BE203+BF227*BF203+BG227*BG203+BH227*BH203+BI227*BI203+BJ227*BJ203+BK227*BK203+BL227*BL203+BM227*BM203+BN227*BN203+BO227*BO203+BP227*BP203+BQ227*BQ203+BR227*BR203+BS227*BS203+BT227*BT203+BU227*BU203+BV227*BV203+BW227*BW203+BX227*BX203+BY227*BY203+BZ227*BZ203+CA227*CA203+CB227*CB203+CC227*CC203</f>
        <v>0</v>
      </c>
      <c r="CN203" s="2387">
        <f>E228*E203+F228*F203+G228*G203+H228*H203+I228*I203+J228*J203+K228*K203+L228*L203+M228*M203+N228*N203+O228*O203+P228*P203+Q228*Q203+R228*R203+S228*S203+T228*T203+U228*U203+V228*V203+W228*W203+X228*X203+Y228*Y203+Z228*Z203+AA228*AA203+AB228*AB203+AC228*AC203+AD228*AD203+AE228*AE203+AF228*AF203+AG228*AG203+AH228*AH203+AI228*AI203+AJ228*AJ203+AK228*AK203+AL228*AL203+AM228*AM203+AN228*AN203+AO228*AO203+AP228*AP203+AQ228*AQ203+AR228*AR203+AS228*AS203+AT228*AT203+AU228*AU203+AV228*AV203+AW228*AW203+AX228*AX203+AY228*AY203+AZ228*AZ203+BA228*BA203+BB228*BB203+BC228*BC203+BD228*BD203+BE228*BE203+BF228*BF203+BG228*BG203+BH228*BH203+BI228*BI203+BJ228*BJ203+BK228*BK203+BL228*BL203+BM228*BM203+BN228*BN203+BO228*BO203+BP228*BP203+BQ228*BQ203+BR228*BR203+BS228*BS203+BT228*BT203+BU228*BU203+BV228*BV203+BW228*BW203+BX228*BX203+BY228*BY203+BZ228*BZ203+CA228*CA203+CB228*CB203+CC228*CC203</f>
        <v>0</v>
      </c>
      <c r="CO203" s="2387">
        <f>E229*E203+F229*F203+G229*G203+H229*H203+I229*I203+J229*J203+K229*K203+L229*L203+M229*M203+N229*N203+O229*O203+P229*P203+Q229*Q203+R229*R203+S229*S203+T229*T203+U229*U203+V229*V203+W229*W203+X229*X203+Y229*Y203+Z229*Z203+AA229*AA203+AB229*AB203+AC229*AC203+AD229*AD203+AE229*AE203+AF229*AF203+AG229*AG203+AH229*AH203+AI229*AI203+AJ229*AJ203+AK229*AK203+AL229*AL203+AM229*AM203+AN229*AN203+AO229*AO203+AP229*AP203+AQ229*AQ203+AR229*AR203+AS229*AS203+AT229*AT203+AU229*AU203+AV229*AV203+AW229*AW203+AX229*AX203+AY229*AY203+AZ229*AZ203+BA229*BA203+BB229*BB203+BC229*BC203+BD229*BD203+BE229*BE203+BF229*BF203+BG229*BG203+BH229*BH203+BI229*BI203+BJ229*BJ203+BK229*BK203+BL229*BL203+BM229*BM203+BN229*BN203+BO229*BO203+BP229*BP203+BQ229*BQ203+BR229*BR203+BS229*BS203+BT229*BT203+BU229*BU203+BV229*BV203+BW229*BW203+BX229*BX203+BY229*BY203+BZ229*BZ203+CA229*CA203+CB229*CB203+CC229*CC203</f>
        <v>0</v>
      </c>
      <c r="CP203" s="2387">
        <f>E230*E203+F230*F203+G230*G203+H230*H203+I230*I203+J230*J203+K230*K203+L230*L203+M230*M203+N230*N203+O230*O203+P230*P203+Q230*Q203+R230*R203+S230*S203+T230*T203+U230*U203+V230*V203+W230*W203+X230*X203+Y230*Y203+Z230*Z203+AA230*AA203+AB230*AB203+AC230*AC203+AD230*AD203+AE230*AE203+AF230*AF203+AG230*AG203+AH230*AH203+AI230*AI203+AJ230*AJ203+AK230*AK203+AL230*AL203+AM230*AM203+AN230*AN203+AO230*AO203+AP230*AP203+AQ230*AQ203+AR230*AR203+AS230*AS203+AT230*AT203+AU230*AU203+AV230*AV203+AW230*AW203+AX230*AX203+AY230*AY203+AZ230*AZ203+BA230*BA203+BB230*BB203+BC230*BC203+BD230*BD203+BE230*BE203+BF230*BF203+BG230*BG203+BH230*BH203+BI230*BI203+BJ230*BJ203+BK230*BK203+BL230*BL203+BM230*BM203+BN230*BN203+BO230*BO203+BP230*BP203+BQ230*BQ203+BR230*BR203+BS230*BS203+BT230*BT203+BU230*BU203+BV230*BV203+BW230*BW203+BX230*BX203+BY230*BY203+BZ230*BZ203+CA230*CA203+CB230*CB203+CC230*CC203</f>
        <v>0</v>
      </c>
    </row>
    <row r="204" spans="2:94" x14ac:dyDescent="0.25">
      <c r="B204" s="1597">
        <v>85</v>
      </c>
      <c r="C204" s="1536" t="s">
        <v>3078</v>
      </c>
      <c r="D204" s="1433" t="s">
        <v>4241</v>
      </c>
      <c r="E204" s="1624">
        <f>0</f>
        <v>0</v>
      </c>
      <c r="F204" s="1624">
        <f>0</f>
        <v>0</v>
      </c>
      <c r="G204" s="1624">
        <f>0</f>
        <v>0</v>
      </c>
      <c r="H204" s="1624">
        <f>0</f>
        <v>0</v>
      </c>
      <c r="I204" s="1624">
        <f>0</f>
        <v>0</v>
      </c>
      <c r="J204" s="1624">
        <f>0</f>
        <v>0</v>
      </c>
      <c r="K204" s="1624">
        <f>0</f>
        <v>0</v>
      </c>
      <c r="L204" s="1624">
        <f>0</f>
        <v>0</v>
      </c>
      <c r="M204" s="1624">
        <f>0</f>
        <v>0</v>
      </c>
      <c r="N204" s="1624">
        <f>0</f>
        <v>0</v>
      </c>
      <c r="O204" s="1624">
        <f>0</f>
        <v>0</v>
      </c>
      <c r="P204" s="1624">
        <f>0</f>
        <v>0</v>
      </c>
      <c r="Q204" s="1624">
        <f>0</f>
        <v>0</v>
      </c>
      <c r="R204" s="1624">
        <f>0</f>
        <v>0</v>
      </c>
      <c r="S204" s="1624">
        <f>0</f>
        <v>0</v>
      </c>
      <c r="T204" s="1624">
        <f>0</f>
        <v>0</v>
      </c>
      <c r="U204" s="1624">
        <f>0</f>
        <v>0</v>
      </c>
      <c r="V204" s="1624">
        <f>0</f>
        <v>0</v>
      </c>
      <c r="W204" s="1624">
        <f>0</f>
        <v>0</v>
      </c>
      <c r="X204" s="1624">
        <f>0</f>
        <v>0</v>
      </c>
      <c r="Y204" s="1624">
        <f>0</f>
        <v>0</v>
      </c>
      <c r="Z204" s="1624">
        <f>0</f>
        <v>0</v>
      </c>
      <c r="AA204" s="1624">
        <f>0</f>
        <v>0</v>
      </c>
      <c r="AB204" s="1624">
        <f>0</f>
        <v>0</v>
      </c>
      <c r="AC204" s="1624">
        <f>0</f>
        <v>0</v>
      </c>
      <c r="AD204" s="1624">
        <f>0</f>
        <v>0</v>
      </c>
      <c r="AE204" s="1624">
        <f>0</f>
        <v>0</v>
      </c>
      <c r="AF204" s="1624">
        <f>0</f>
        <v>0</v>
      </c>
      <c r="AG204" s="1624">
        <f>0</f>
        <v>0</v>
      </c>
      <c r="AH204" s="1624">
        <f>0</f>
        <v>0</v>
      </c>
      <c r="AI204" s="1624">
        <f>0</f>
        <v>0</v>
      </c>
      <c r="AJ204" s="1624">
        <f>0</f>
        <v>0</v>
      </c>
      <c r="AK204" s="1624">
        <f>0</f>
        <v>0</v>
      </c>
      <c r="AL204" s="1624">
        <f>0</f>
        <v>0</v>
      </c>
      <c r="AM204" s="1624">
        <f>0</f>
        <v>0</v>
      </c>
      <c r="AN204" s="1624">
        <f>0</f>
        <v>0</v>
      </c>
      <c r="AO204" s="1624">
        <f>0</f>
        <v>0</v>
      </c>
      <c r="AP204" s="1624">
        <f>0</f>
        <v>0</v>
      </c>
      <c r="AQ204" s="1624">
        <f>0</f>
        <v>0</v>
      </c>
      <c r="AR204" s="1624">
        <f>0</f>
        <v>0</v>
      </c>
      <c r="AS204" s="1624">
        <f>0</f>
        <v>0</v>
      </c>
      <c r="AT204" s="1624">
        <f>0</f>
        <v>0</v>
      </c>
      <c r="AU204" s="1624">
        <f>0</f>
        <v>0</v>
      </c>
      <c r="AV204" s="1624">
        <f>0</f>
        <v>0</v>
      </c>
      <c r="AW204" s="1624">
        <f>0</f>
        <v>0</v>
      </c>
      <c r="AX204" s="1624">
        <f>0</f>
        <v>0</v>
      </c>
      <c r="AY204" s="1624">
        <f>0</f>
        <v>0</v>
      </c>
      <c r="AZ204" s="1624">
        <f>0</f>
        <v>0</v>
      </c>
      <c r="BA204" s="1624">
        <f>0</f>
        <v>0</v>
      </c>
      <c r="BB204" s="1624">
        <f>0</f>
        <v>0</v>
      </c>
      <c r="BC204" s="1624">
        <f>0</f>
        <v>0</v>
      </c>
      <c r="BD204" s="1624">
        <f>0</f>
        <v>0</v>
      </c>
      <c r="BE204" s="1624">
        <f>0</f>
        <v>0</v>
      </c>
      <c r="BF204" s="1624">
        <f>0</f>
        <v>0</v>
      </c>
      <c r="BG204" s="1624">
        <f>0</f>
        <v>0</v>
      </c>
      <c r="BH204" s="1624">
        <f>0</f>
        <v>0</v>
      </c>
      <c r="BI204" s="1624">
        <f>0</f>
        <v>0</v>
      </c>
      <c r="BJ204" s="1624">
        <f>0</f>
        <v>0</v>
      </c>
      <c r="BK204" s="1624">
        <f>0</f>
        <v>0</v>
      </c>
      <c r="BL204" s="1624">
        <f>0</f>
        <v>0</v>
      </c>
      <c r="BM204" s="1624">
        <f>0</f>
        <v>0</v>
      </c>
      <c r="BN204" s="1624">
        <f>0</f>
        <v>0</v>
      </c>
      <c r="BO204" s="1624">
        <f>0</f>
        <v>0</v>
      </c>
      <c r="BP204" s="1644">
        <f>1</f>
        <v>1</v>
      </c>
      <c r="BQ204" s="2382">
        <f>0</f>
        <v>0</v>
      </c>
      <c r="BR204" s="1624">
        <f>0</f>
        <v>0</v>
      </c>
      <c r="BS204" s="1624">
        <f>0</f>
        <v>0</v>
      </c>
      <c r="BT204" s="1624">
        <f>0</f>
        <v>0</v>
      </c>
      <c r="BU204" s="1624">
        <f>0</f>
        <v>0</v>
      </c>
      <c r="BV204" s="1624">
        <f>0</f>
        <v>0</v>
      </c>
      <c r="BW204" s="1624">
        <f>0</f>
        <v>0</v>
      </c>
      <c r="BX204" s="1624">
        <f>0</f>
        <v>0</v>
      </c>
      <c r="BY204" s="1624">
        <f>0</f>
        <v>0</v>
      </c>
      <c r="BZ204" s="1624">
        <f>0</f>
        <v>0</v>
      </c>
      <c r="CA204" s="1624">
        <f>0</f>
        <v>0</v>
      </c>
      <c r="CB204" s="1624">
        <f>0</f>
        <v>0</v>
      </c>
      <c r="CC204" s="1624">
        <f>0</f>
        <v>0</v>
      </c>
      <c r="CD204" s="1648">
        <f>q_ALPHA_O2*X_VSS*d_ampALPHA*(S_ALPHA_sat-S_ALPHA)</f>
        <v>1.3008058915311436</v>
      </c>
      <c r="CF204" s="2385">
        <f>E220*E204+F220*F204+G220*G204+H220*H204+I220*I204+J220*J204+K220*K204+L220*L204+M220*M204+N220*N204+O220*O204+P220*P204+Q220*Q204+R220*R204+S220*S204+T220*T204+U220*U204+V220*V204+W220*W204+X220*X204+Y220*Y204+Z220*Z204+AA220*AA204+AB220*AB204+AC220*AC204+AD220*AD204+AE220*AE204+AF220*AF204+AG220*AG204+AH220*AH204+AI220*AI204+AJ220*AJ204+AK220*AK204+AL220*AL204+AM220*AM204+AN220*AN204+AO220*AO204+AP220*AP204+AQ220*AQ204+AR220*AR204+AS220*AS204+AT220*AT204+AU220*AU204+AV220*AV204+AW220*AW204+AX220*AX204+AY220*AY204+AZ220*AZ204+BA220*BA204+BB220*BB204+BC220*BC204+BD220*BD204+BE220*BE204+BF220*BF204+BG220*BG204+BH220*BH204+BI220*BI204+BJ220*BJ204+BK220*BK204+BL220*BL204+BM220*BM204+BN220*BN204+BO220*BO204+BP220*BP204+BQ220*BQ204+BR220*BR204+BS220*BS204+BT220*BT204+BU220*BU204+BV220*BV204+BW220*BW204+BX220*BX204+BY220*BY204+BZ220*BZ204+CA220*CA204+CB220*CB204+CC220*CC204</f>
        <v>0</v>
      </c>
      <c r="CG204" s="2385">
        <f>E221*E204+F221*F204+G221*G204+H221*H204+I221*I204+J221*J204+K221*K204+L221*L204+M221*M204+N221*N204+O221*O204+P221*P204+Q221*Q204+R221*R204+S221*S204+T221*T204+U221*U204+V221*V204+W221*W204+X221*X204+Y221*Y204+Z221*Z204+AA221*AA204+AB221*AB204+AC221*AC204+AD221*AD204+AE221*AE204+AF221*AF204+AG221*AG204+AH221*AH204+AI221*AI204+AJ221*AJ204+AK221*AK204+AL221*AL204+AM221*AM204+AN221*AN204+AO221*AO204+AP221*AP204+AQ221*AQ204+AR221*AR204+AS221*AS204+AT221*AT204+AU221*AU204+AV221*AV204+AW221*AW204+AX221*AX204+AY221*AY204+AZ221*AZ204+BA221*BA204+BB221*BB204+BC221*BC204+BD221*BD204+BE221*BE204+BF221*BF204+BG221*BG204+BH221*BH204+BI221*BI204+BJ221*BJ204+BK221*BK204+BL221*BL204+BM221*BM204+BN221*BN204+BO221*BO204+BP221*BP204+BQ221*BQ204+BR221*BR204+BS221*BS204+BT221*BT204+BU221*BU204+BV221*BV204+BW221*BW204+BX221*BX204+BY221*BY204+BZ221*BZ204+CA221*CA204+CB221*CB204+CC221*CC204</f>
        <v>0</v>
      </c>
      <c r="CH204" s="2386">
        <f>E222*E204+F222*F204+G222*G204+H222*H204+I222*I204+J222*J204+K222*K204+L222*L204+M222*M204+N222*N204+O222*O204+P222*P204+Q222*Q204+R222*R204+S222*S204+T222*T204+U222*U204+V222*V204+W222*W204+X222*X204+Y222*Y204+Z222*Z204+AA222*AA204+AB222*AB204+AC222*AC204+AD222*AD204+AE222*AE204+AF222*AF204+AG222*AG204+AH222*AH204+AI222*AI204+AJ222*AJ204+AK222*AK204+AL222*AL204+AM222*AM204+AN222*AN204+AO222*AO204+AP222*AP204+AQ222*AQ204+AR222*AR204+AS222*AS204+AT222*AT204+AU222*AU204+AV222*AV204+AW222*AW204+AX222*AX204+AY222*AY204+AZ222*AZ204+BA222*BA204+BB222*BB204+BC222*BC204+BD222*BD204+BE222*BE204+BF222*BF204+BG222*BG204+BH222*BH204+BI222*BI204+BJ222*BJ204+BK222*BK204+BL222*BL204+BM222*BM204+BN222*BN204+BO222*BO204+BP222*BP204+BQ222*BQ204+BR222*BR204+BS222*BS204+BT222*BT204+BU222*BU204+BV222*BV204+BW222*BW204+BX222*BX204+BY222*BY204+BZ222*BZ204+CA222*CA204+CB222*CB204+CC222*CC204</f>
        <v>0</v>
      </c>
      <c r="CI204" s="2387">
        <f>E223*E204+F223*F204+G223*G204+H223*H204+I223*I204+J223*J204+K223*K204+L223*L204+M223*M204+N223*N204+O223*O204+P223*P204+Q223*Q204+R223*R204+S223*S204+T223*T204+U223*U204+V223*V204+W223*W204+X223*X204+Y223*Y204+Z223*Z204+AA223*AA204+AB223*AB204+AC223*AC204+AD223*AD204+AE223*AE204+AF223*AF204+AG223*AG204+AH223*AH204+AI223*AI204+AJ223*AJ204+AK223*AK204+AL223*AL204+AM223*AM204+AN223*AN204+AO223*AO204+AP223*AP204+AQ223*AQ204+AR223*AR204+AS223*AS204+AT223*AT204+AU223*AU204+AV223*AV204+AW223*AW204+AX223*AX204+AY223*AY204+AZ223*AZ204+BA223*BA204+BB223*BB204+BC223*BC204+BD223*BD204+BE223*BE204+BF223*BF204+BG223*BG204+BH223*BH204+BI223*BI204+BJ223*BJ204+BK223*BK204+BL223*BL204+BM223*BM204+BN223*BN204+BO223*BO204+BP223*BP204+BQ223*BQ204+BR223*BR204+BS223*BS204+BT223*BT204+BU223*BU204+BV223*BV204+BW223*BW204+BX223*BX204+BY223*BY204+BZ223*BZ204+CA223*CA204+CB223*CB204+CC223*CC204</f>
        <v>0</v>
      </c>
      <c r="CJ204" s="2387">
        <f>E224*E204+F224*F204+G224*G204+H224*H204+I224*I204+J224*J204+K224*K204+L224*L204+M224*M204+N224*N204+O224*O204+P224*P204+Q224*Q204+R224*R204+S224*S204+T224*T204+U224*U204+V224*V204+W224*W204+X224*X204+Y224*Y204+Z224*Z204+AA224*AA204+AB224*AB204+AC224*AC204+AD224*AD204+AE224*AE204+AF224*AF204+AG224*AG204+AH224*AH204+AI224*AI204+AJ224*AJ204+AK224*AK204+AL224*AL204+AM224*AM204+AN224*AN204+AO224*AO204+AP224*AP204+AQ224*AQ204+AR224*AR204+AS224*AS204+AT224*AT204+AU224*AU204+AV224*AV204+AW224*AW204+AX224*AX204+AY224*AY204+AZ224*AZ204+BA224*BA204+BB224*BB204+BC224*BC204+BD224*BD204+BE224*BE204+BF224*BF204+BG224*BG204+BH224*BH204+BI224*BI204+BJ224*BJ204+BK224*BK204+BL224*BL204+BM224*BM204+BN224*BN204+BO224*BO204+BP224*BP204+BQ224*BQ204+BR224*BR204+BS224*BS204+BT224*BT204+BU224*BU204+BV224*BV204+BW224*BW204+BX224*BX204+BY224*BY204+BZ224*BZ204+CA224*CA204+CB224*CB204+CC224*CC204</f>
        <v>0</v>
      </c>
      <c r="CK204" s="2387">
        <f>E225*E204+F225*F204+G225*G204+H225*H204+I225*I204+J225*J204+K225*K204+L225*L204+M225*M204+N225*N204+O225*O204+P225*P204+Q225*Q204+R225*R204+S225*S204+T225*T204+U225*U204+V225*V204+W225*W204+X225*X204+Y225*Y204+Z225*Z204+AA225*AA204+AB225*AB204+AC225*AC204+AD225*AD204+AE225*AE204+AF225*AF204+AG225*AG204+AH225*AH204+AI225*AI204+AJ225*AJ204+AK225*AK204+AL225*AL204+AM225*AM204+AN225*AN204+AO225*AO204+AP225*AP204+AQ225*AQ204+AR225*AR204+AS225*AS204+AT225*AT204+AU225*AU204+AV225*AV204+AW225*AW204+AX225*AX204+AY225*AY204+AZ225*AZ204+BA225*BA204+BB225*BB204+BC225*BC204+BD225*BD204+BE225*BE204+BF225*BF204+BG225*BG204+BH225*BH204+BI225*BI204+BJ225*BJ204+BK225*BK204+BL225*BL204+BM225*BM204+BN225*BN204+BO225*BO204+BP225*BP204+BQ225*BQ204+BR225*BR204+BS225*BS204+BT225*BT204+BU225*BU204+BV225*BV204+BW225*BW204+BX225*BX204+BY225*BY204+BZ225*BZ204+CA225*CA204+CB225*CB204+CC225*CC204</f>
        <v>0</v>
      </c>
      <c r="CL204" s="2387">
        <f>E226*E204+F226*F204+G226*G204+H226*H204+I226*I204+J226*J204+K226*K204+L226*L204+M226*M204+N226*N204+O226*O204+P226*P204+Q226*Q204+R226*R204+S226*S204+T226*T204+U226*U204+V226*V204+W226*W204+X226*X204+Y226*Y204+Z226*Z204+AA226*AA204+AB226*AB204+AC226*AC204+AD226*AD204+AE226*AE204+AF226*AF204+AG226*AG204+AH226*AH204+AI226*AI204+AJ226*AJ204+AK226*AK204+AL226*AL204+AM226*AM204+AN226*AN204+AO226*AO204+AP226*AP204+AQ226*AQ204+AR226*AR204+AS226*AS204+AT226*AT204+AU226*AU204+AV226*AV204+AW226*AW204+AX226*AX204+AY226*AY204+AZ226*AZ204+BA226*BA204+BB226*BB204+BC226*BC204+BD226*BD204+BE226*BE204+BF226*BF204+BG226*BG204+BH226*BH204+BI226*BI204+BJ226*BJ204+BK226*BK204+BL226*BL204+BM226*BM204+BN226*BN204+BO226*BO204+BP226*BP204+BQ226*BQ204+BR226*BR204+BS226*BS204+BT226*BT204+BU226*BU204+BV226*BV204+BW226*BW204+BX226*BX204+BY226*BY204+BZ226*BZ204+CA226*CA204+CB226*CB204+CC226*CC204</f>
        <v>0</v>
      </c>
      <c r="CM204" s="2387">
        <f>E227*E204+F227*F204+G227*G204+H227*H204+I227*I204+J227*J204+K227*K204+L227*L204+M227*M204+N227*N204+O227*O204+P227*P204+Q227*Q204+R227*R204+S227*S204+T227*T204+U227*U204+V227*V204+W227*W204+X227*X204+Y227*Y204+Z227*Z204+AA227*AA204+AB227*AB204+AC227*AC204+AD227*AD204+AE227*AE204+AF227*AF204+AG227*AG204+AH227*AH204+AI227*AI204+AJ227*AJ204+AK227*AK204+AL227*AL204+AM227*AM204+AN227*AN204+AO227*AO204+AP227*AP204+AQ227*AQ204+AR227*AR204+AS227*AS204+AT227*AT204+AU227*AU204+AV227*AV204+AW227*AW204+AX227*AX204+AY227*AY204+AZ227*AZ204+BA227*BA204+BB227*BB204+BC227*BC204+BD227*BD204+BE227*BE204+BF227*BF204+BG227*BG204+BH227*BH204+BI227*BI204+BJ227*BJ204+BK227*BK204+BL227*BL204+BM227*BM204+BN227*BN204+BO227*BO204+BP227*BP204+BQ227*BQ204+BR227*BR204+BS227*BS204+BT227*BT204+BU227*BU204+BV227*BV204+BW227*BW204+BX227*BX204+BY227*BY204+BZ227*BZ204+CA227*CA204+CB227*CB204+CC227*CC204</f>
        <v>0</v>
      </c>
      <c r="CN204" s="2387">
        <f>E228*E204+F228*F204+G228*G204+H228*H204+I228*I204+J228*J204+K228*K204+L228*L204+M228*M204+N228*N204+O228*O204+P228*P204+Q228*Q204+R228*R204+S228*S204+T228*T204+U228*U204+V228*V204+W228*W204+X228*X204+Y228*Y204+Z228*Z204+AA228*AA204+AB228*AB204+AC228*AC204+AD228*AD204+AE228*AE204+AF228*AF204+AG228*AG204+AH228*AH204+AI228*AI204+AJ228*AJ204+AK228*AK204+AL228*AL204+AM228*AM204+AN228*AN204+AO228*AO204+AP228*AP204+AQ228*AQ204+AR228*AR204+AS228*AS204+AT228*AT204+AU228*AU204+AV228*AV204+AW228*AW204+AX228*AX204+AY228*AY204+AZ228*AZ204+BA228*BA204+BB228*BB204+BC228*BC204+BD228*BD204+BE228*BE204+BF228*BF204+BG228*BG204+BH228*BH204+BI228*BI204+BJ228*BJ204+BK228*BK204+BL228*BL204+BM228*BM204+BN228*BN204+BO228*BO204+BP228*BP204+BQ228*BQ204+BR228*BR204+BS228*BS204+BT228*BT204+BU228*BU204+BV228*BV204+BW228*BW204+BX228*BX204+BY228*BY204+BZ228*BZ204+CA228*CA204+CB228*CB204+CC228*CC204</f>
        <v>0</v>
      </c>
      <c r="CO204" s="2387">
        <f>E229*E204+F229*F204+G229*G204+H229*H204+I229*I204+J229*J204+K229*K204+L229*L204+M229*M204+N229*N204+O229*O204+P229*P204+Q229*Q204+R229*R204+S229*S204+T229*T204+U229*U204+V229*V204+W229*W204+X229*X204+Y229*Y204+Z229*Z204+AA229*AA204+AB229*AB204+AC229*AC204+AD229*AD204+AE229*AE204+AF229*AF204+AG229*AG204+AH229*AH204+AI229*AI204+AJ229*AJ204+AK229*AK204+AL229*AL204+AM229*AM204+AN229*AN204+AO229*AO204+AP229*AP204+AQ229*AQ204+AR229*AR204+AS229*AS204+AT229*AT204+AU229*AU204+AV229*AV204+AW229*AW204+AX229*AX204+AY229*AY204+AZ229*AZ204+BA229*BA204+BB229*BB204+BC229*BC204+BD229*BD204+BE229*BE204+BF229*BF204+BG229*BG204+BH229*BH204+BI229*BI204+BJ229*BJ204+BK229*BK204+BL229*BL204+BM229*BM204+BN229*BN204+BO229*BO204+BP229*BP204+BQ229*BQ204+BR229*BR204+BS229*BS204+BT229*BT204+BU229*BU204+BV229*BV204+BW229*BW204+BX229*BX204+BY229*BY204+BZ229*BZ204+CA229*CA204+CB229*CB204+CC229*CC204</f>
        <v>0</v>
      </c>
      <c r="CP204" s="2387">
        <f>E230*E204+F230*F204+G230*G204+H230*H204+I230*I204+J230*J204+K230*K204+L230*L204+M230*M204+N230*N204+O230*O204+P230*P204+Q230*Q204+R230*R204+S230*S204+T230*T204+U230*U204+V230*V204+W230*W204+X230*X204+Y230*Y204+Z230*Z204+AA230*AA204+AB230*AB204+AC230*AC204+AD230*AD204+AE230*AE204+AF230*AF204+AG230*AG204+AH230*AH204+AI230*AI204+AJ230*AJ204+AK230*AK204+AL230*AL204+AM230*AM204+AN230*AN204+AO230*AO204+AP230*AP204+AQ230*AQ204+AR230*AR204+AS230*AS204+AT230*AT204+AU230*AU204+AV230*AV204+AW230*AW204+AX230*AX204+AY230*AY204+AZ230*AZ204+BA230*BA204+BB230*BB204+BC230*BC204+BD230*BD204+BE230*BE204+BF230*BF204+BG230*BG204+BH230*BH204+BI230*BI204+BJ230*BJ204+BK230*BK204+BL230*BL204+BM230*BM204+BN230*BN204+BO230*BO204+BP230*BP204+BQ230*BQ204+BR230*BR204+BS230*BS204+BT230*BT204+BU230*BU204+BV230*BV204+BW230*BW204+BX230*BX204+BY230*BY204+BZ230*BZ204+CA230*CA204+CB230*CB204+CC230*CC204</f>
        <v>0</v>
      </c>
    </row>
    <row r="205" spans="2:94" x14ac:dyDescent="0.25">
      <c r="B205" s="1598">
        <v>86</v>
      </c>
      <c r="C205" s="676" t="s">
        <v>3223</v>
      </c>
      <c r="D205" s="677" t="s">
        <v>3217</v>
      </c>
      <c r="E205" s="989">
        <f>0</f>
        <v>0</v>
      </c>
      <c r="F205" s="989">
        <f>0</f>
        <v>0</v>
      </c>
      <c r="G205" s="989">
        <f>0</f>
        <v>0</v>
      </c>
      <c r="H205" s="989">
        <f>0</f>
        <v>0</v>
      </c>
      <c r="I205" s="989">
        <f>0</f>
        <v>0</v>
      </c>
      <c r="J205" s="989">
        <f>0</f>
        <v>0</v>
      </c>
      <c r="K205" s="989">
        <f>0</f>
        <v>0</v>
      </c>
      <c r="L205" s="989">
        <f>0</f>
        <v>0</v>
      </c>
      <c r="M205" s="989">
        <f>0</f>
        <v>0</v>
      </c>
      <c r="N205" s="989">
        <f>0</f>
        <v>0</v>
      </c>
      <c r="O205" s="989">
        <f>0</f>
        <v>0</v>
      </c>
      <c r="P205" s="989">
        <f>0</f>
        <v>0</v>
      </c>
      <c r="Q205" s="996">
        <f>0</f>
        <v>0</v>
      </c>
      <c r="R205" s="989">
        <f>0</f>
        <v>0</v>
      </c>
      <c r="S205" s="989">
        <f>0</f>
        <v>0</v>
      </c>
      <c r="T205" s="989">
        <f>0</f>
        <v>0</v>
      </c>
      <c r="U205" s="989">
        <f>0</f>
        <v>0</v>
      </c>
      <c r="V205" s="989">
        <f>0</f>
        <v>0</v>
      </c>
      <c r="W205" s="989">
        <f>0</f>
        <v>0</v>
      </c>
      <c r="X205" s="989">
        <f>0</f>
        <v>0</v>
      </c>
      <c r="Y205" s="989">
        <f>0</f>
        <v>0</v>
      </c>
      <c r="Z205" s="989">
        <f>0</f>
        <v>0</v>
      </c>
      <c r="AA205" s="989">
        <f>0</f>
        <v>0</v>
      </c>
      <c r="AB205" s="989">
        <f>0</f>
        <v>0</v>
      </c>
      <c r="AC205" s="989">
        <f>0</f>
        <v>0</v>
      </c>
      <c r="AD205" s="989">
        <f>0</f>
        <v>0</v>
      </c>
      <c r="AE205" s="989">
        <f>0</f>
        <v>0</v>
      </c>
      <c r="AF205" s="989">
        <f>0</f>
        <v>0</v>
      </c>
      <c r="AG205" s="989">
        <f>0</f>
        <v>0</v>
      </c>
      <c r="AH205" s="989">
        <f>0</f>
        <v>0</v>
      </c>
      <c r="AI205" s="989">
        <f>0</f>
        <v>0</v>
      </c>
      <c r="AJ205" s="989">
        <f>0</f>
        <v>0</v>
      </c>
      <c r="AK205" s="989">
        <f>0</f>
        <v>0</v>
      </c>
      <c r="AL205" s="989">
        <f>0</f>
        <v>0</v>
      </c>
      <c r="AM205" s="989">
        <f>0</f>
        <v>0</v>
      </c>
      <c r="AN205" s="989">
        <f>1</f>
        <v>1</v>
      </c>
      <c r="AO205" s="989">
        <f>0</f>
        <v>0</v>
      </c>
      <c r="AP205" s="989">
        <f>0</f>
        <v>0</v>
      </c>
      <c r="AQ205" s="989">
        <f>0</f>
        <v>0</v>
      </c>
      <c r="AR205" s="989">
        <f>0</f>
        <v>0</v>
      </c>
      <c r="AS205" s="989">
        <f>0</f>
        <v>0</v>
      </c>
      <c r="AT205" s="989">
        <f>0</f>
        <v>0</v>
      </c>
      <c r="AU205" s="996">
        <f>0</f>
        <v>0</v>
      </c>
      <c r="AV205" s="996">
        <f>0</f>
        <v>0</v>
      </c>
      <c r="AW205" s="996">
        <f>0</f>
        <v>0</v>
      </c>
      <c r="AX205" s="996">
        <f>0</f>
        <v>0</v>
      </c>
      <c r="AY205" s="996">
        <f>0</f>
        <v>0</v>
      </c>
      <c r="AZ205" s="996">
        <f>0</f>
        <v>0</v>
      </c>
      <c r="BA205" s="996">
        <f>0</f>
        <v>0</v>
      </c>
      <c r="BB205" s="996">
        <f>0</f>
        <v>0</v>
      </c>
      <c r="BC205" s="996">
        <f>0</f>
        <v>0</v>
      </c>
      <c r="BD205" s="996">
        <f>0</f>
        <v>0</v>
      </c>
      <c r="BE205" s="996">
        <f>0</f>
        <v>0</v>
      </c>
      <c r="BF205" s="996">
        <f>0</f>
        <v>0</v>
      </c>
      <c r="BG205" s="996">
        <f>0</f>
        <v>0</v>
      </c>
      <c r="BH205" s="996">
        <f>0</f>
        <v>0</v>
      </c>
      <c r="BI205" s="996">
        <f>0</f>
        <v>0</v>
      </c>
      <c r="BJ205" s="996">
        <f>0</f>
        <v>0</v>
      </c>
      <c r="BK205" s="996">
        <f>0</f>
        <v>0</v>
      </c>
      <c r="BL205" s="1642">
        <f>0</f>
        <v>0</v>
      </c>
      <c r="BM205" s="996">
        <f>0</f>
        <v>0</v>
      </c>
      <c r="BN205" s="996">
        <f>0</f>
        <v>0</v>
      </c>
      <c r="BO205" s="996">
        <f>0</f>
        <v>0</v>
      </c>
      <c r="BP205" s="1432">
        <f>0</f>
        <v>0</v>
      </c>
      <c r="BQ205" s="2383">
        <f>0</f>
        <v>0</v>
      </c>
      <c r="BR205" s="989">
        <f>-1</f>
        <v>-1</v>
      </c>
      <c r="BS205" s="989">
        <f>0</f>
        <v>0</v>
      </c>
      <c r="BT205" s="989">
        <f>0</f>
        <v>0</v>
      </c>
      <c r="BU205" s="989">
        <f>0</f>
        <v>0</v>
      </c>
      <c r="BV205" s="989">
        <f>0</f>
        <v>0</v>
      </c>
      <c r="BW205" s="989">
        <f>0</f>
        <v>0</v>
      </c>
      <c r="BX205" s="996">
        <f>0</f>
        <v>0</v>
      </c>
      <c r="BY205" s="996">
        <f>0</f>
        <v>0</v>
      </c>
      <c r="BZ205" s="996">
        <f>0</f>
        <v>0</v>
      </c>
      <c r="CA205" s="996">
        <f>0</f>
        <v>0</v>
      </c>
      <c r="CB205" s="996">
        <f>0</f>
        <v>0</v>
      </c>
      <c r="CC205" s="996">
        <f>0</f>
        <v>0</v>
      </c>
      <c r="CD205" s="1663">
        <f>k_transfer_GCO2_bub</f>
        <v>2861.6873452767227</v>
      </c>
      <c r="CF205" s="2385">
        <f>E220*E205+F220*F205+G220*G205+H220*H205+I220*I205+J220*J205+K220*K205+L220*L205+M220*M205+N220*N205+O220*O205+P220*P205+Q220*Q205+R220*R205+S220*S205+T220*T205+U220*U205+V220*V205+W220*W205+X220*X205+Y220*Y205+Z220*Z205+AA220*AA205+AB220*AB205+AC220*AC205+AD220*AD205+AE220*AE205+AF220*AF205+AG220*AG205+AH220*AH205+AI220*AI205+AJ220*AJ205+AK220*AK205+AL220*AL205+AM220*AM205+AN220*AN205+AO220*AO205+AP220*AP205+AQ220*AQ205+AR220*AR205+AS220*AS205+AT220*AT205+AU220*AU205+AV220*AV205+AW220*AW205+AX220*AX205+AY220*AY205+AZ220*AZ205+BA220*BA205+BB220*BB205+BC220*BC205+BD220*BD205+BE220*BE205+BF220*BF205+BG220*BG205+BH220*BH205+BI220*BI205+BJ220*BJ205+BK220*BK205+BL220*BL205+BM220*BM205+BN220*BN205+BO220*BO205+BP220*BP205+BQ220*BQ205+BR220*BR205+BS220*BS205+BT220*BT205+BU220*BU205+BV220*BV205+BW220*BW205+BX220*BX205+BY220*BY205+BZ220*BZ205+CA220*CA205+CB220*CB205+CC220*CC205</f>
        <v>0</v>
      </c>
      <c r="CG205" s="2385">
        <f>E221*E205+F221*F205+G221*G205+H221*H205+I221*I205+J221*J205+K221*K205+L221*L205+M221*M205+N221*N205+O221*O205+P221*P205+Q221*Q205+R221*R205+S221*S205+T221*T205+U221*U205+V221*V205+W221*W205+X221*X205+Y221*Y205+Z221*Z205+AA221*AA205+AB221*AB205+AC221*AC205+AD221*AD205+AE221*AE205+AF221*AF205+AG221*AG205+AH221*AH205+AI221*AI205+AJ221*AJ205+AK221*AK205+AL221*AL205+AM221*AM205+AN221*AN205+AO221*AO205+AP221*AP205+AQ221*AQ205+AR221*AR205+AS221*AS205+AT221*AT205+AU221*AU205+AV221*AV205+AW221*AW205+AX221*AX205+AY221*AY205+AZ221*AZ205+BA221*BA205+BB221*BB205+BC221*BC205+BD221*BD205+BE221*BE205+BF221*BF205+BG221*BG205+BH221*BH205+BI221*BI205+BJ221*BJ205+BK221*BK205+BL221*BL205+BM221*BM205+BN221*BN205+BO221*BO205+BP221*BP205+BQ221*BQ205+BR221*BR205+BS221*BS205+BT221*BT205+BU221*BU205+BV221*BV205+BW221*BW205+BX221*BX205+BY221*BY205+BZ221*BZ205+CA221*CA205+CB221*CB205+CC221*CC205</f>
        <v>0</v>
      </c>
      <c r="CH205" s="2386">
        <f>E222*E205+F222*F205+G222*G205+H222*H205+I222*I205+J222*J205+K222*K205+L222*L205+M222*M205+N222*N205+O222*O205+P222*P205+Q222*Q205+R222*R205+S222*S205+T222*T205+U222*U205+V222*V205+W222*W205+X222*X205+Y222*Y205+Z222*Z205+AA222*AA205+AB222*AB205+AC222*AC205+AD222*AD205+AE222*AE205+AF222*AF205+AG222*AG205+AH222*AH205+AI222*AI205+AJ222*AJ205+AK222*AK205+AL222*AL205+AM222*AM205+AN222*AN205+AO222*AO205+AP222*AP205+AQ222*AQ205+AR222*AR205+AS222*AS205+AT222*AT205+AU222*AU205+AV222*AV205+AW222*AW205+AX222*AX205+AY222*AY205+AZ222*AZ205+BA222*BA205+BB222*BB205+BC222*BC205+BD222*BD205+BE222*BE205+BF222*BF205+BG222*BG205+BH222*BH205+BI222*BI205+BJ222*BJ205+BK222*BK205+BL222*BL205+BM222*BM205+BN222*BN205+BO222*BO205+BP222*BP205+BQ222*BQ205+BR222*BR205+BS222*BS205+BT222*BT205+BU222*BU205+BV222*BV205+BW222*BW205+BX222*BX205+BY222*BY205+BZ222*BZ205+CA222*CA205+CB222*CB205+CC222*CC205</f>
        <v>0</v>
      </c>
      <c r="CI205" s="2387">
        <f>E223*E205+F223*F205+G223*G205+H223*H205+I223*I205+J223*J205+K223*K205+L223*L205+M223*M205+N223*N205+O223*O205+P223*P205+Q223*Q205+R223*R205+S223*S205+T223*T205+U223*U205+V223*V205+W223*W205+X223*X205+Y223*Y205+Z223*Z205+AA223*AA205+AB223*AB205+AC223*AC205+AD223*AD205+AE223*AE205+AF223*AF205+AG223*AG205+AH223*AH205+AI223*AI205+AJ223*AJ205+AK223*AK205+AL223*AL205+AM223*AM205+AN223*AN205+AO223*AO205+AP223*AP205+AQ223*AQ205+AR223*AR205+AS223*AS205+AT223*AT205+AU223*AU205+AV223*AV205+AW223*AW205+AX223*AX205+AY223*AY205+AZ223*AZ205+BA223*BA205+BB223*BB205+BC223*BC205+BD223*BD205+BE223*BE205+BF223*BF205+BG223*BG205+BH223*BH205+BI223*BI205+BJ223*BJ205+BK223*BK205+BL223*BL205+BM223*BM205+BN223*BN205+BO223*BO205+BP223*BP205+BQ223*BQ205+BR223*BR205+BS223*BS205+BT223*BT205+BU223*BU205+BV223*BV205+BW223*BW205+BX223*BX205+BY223*BY205+BZ223*BZ205+CA223*CA205+CB223*CB205+CC223*CC205</f>
        <v>0</v>
      </c>
      <c r="CJ205" s="2387">
        <f>E224*E205+F224*F205+G224*G205+H224*H205+I224*I205+J224*J205+K224*K205+L224*L205+M224*M205+N224*N205+O224*O205+P224*P205+Q224*Q205+R224*R205+S224*S205+T224*T205+U224*U205+V224*V205+W224*W205+X224*X205+Y224*Y205+Z224*Z205+AA224*AA205+AB224*AB205+AC224*AC205+AD224*AD205+AE224*AE205+AF224*AF205+AG224*AG205+AH224*AH205+AI224*AI205+AJ224*AJ205+AK224*AK205+AL224*AL205+AM224*AM205+AN224*AN205+AO224*AO205+AP224*AP205+AQ224*AQ205+AR224*AR205+AS224*AS205+AT224*AT205+AU224*AU205+AV224*AV205+AW224*AW205+AX224*AX205+AY224*AY205+AZ224*AZ205+BA224*BA205+BB224*BB205+BC224*BC205+BD224*BD205+BE224*BE205+BF224*BF205+BG224*BG205+BH224*BH205+BI224*BI205+BJ224*BJ205+BK224*BK205+BL224*BL205+BM224*BM205+BN224*BN205+BO224*BO205+BP224*BP205+BQ224*BQ205+BR224*BR205+BS224*BS205+BT224*BT205+BU224*BU205+BV224*BV205+BW224*BW205+BX224*BX205+BY224*BY205+BZ224*BZ205+CA224*CA205+CB224*CB205+CC224*CC205</f>
        <v>0</v>
      </c>
      <c r="CK205" s="2387">
        <f>E225*E205+F225*F205+G225*G205+H225*H205+I225*I205+J225*J205+K225*K205+L225*L205+M225*M205+N225*N205+O225*O205+P225*P205+Q225*Q205+R225*R205+S225*S205+T225*T205+U225*U205+V225*V205+W225*W205+X225*X205+Y225*Y205+Z225*Z205+AA225*AA205+AB225*AB205+AC225*AC205+AD225*AD205+AE225*AE205+AF225*AF205+AG225*AG205+AH225*AH205+AI225*AI205+AJ225*AJ205+AK225*AK205+AL225*AL205+AM225*AM205+AN225*AN205+AO225*AO205+AP225*AP205+AQ225*AQ205+AR225*AR205+AS225*AS205+AT225*AT205+AU225*AU205+AV225*AV205+AW225*AW205+AX225*AX205+AY225*AY205+AZ225*AZ205+BA225*BA205+BB225*BB205+BC225*BC205+BD225*BD205+BE225*BE205+BF225*BF205+BG225*BG205+BH225*BH205+BI225*BI205+BJ225*BJ205+BK225*BK205+BL225*BL205+BM225*BM205+BN225*BN205+BO225*BO205+BP225*BP205+BQ225*BQ205+BR225*BR205+BS225*BS205+BT225*BT205+BU225*BU205+BV225*BV205+BW225*BW205+BX225*BX205+BY225*BY205+BZ225*BZ205+CA225*CA205+CB225*CB205+CC225*CC205</f>
        <v>0</v>
      </c>
      <c r="CL205" s="2387">
        <f>E226*E205+F226*F205+G226*G205+H226*H205+I226*I205+J226*J205+K226*K205+L226*L205+M226*M205+N226*N205+O226*O205+P226*P205+Q226*Q205+R226*R205+S226*S205+T226*T205+U226*U205+V226*V205+W226*W205+X226*X205+Y226*Y205+Z226*Z205+AA226*AA205+AB226*AB205+AC226*AC205+AD226*AD205+AE226*AE205+AF226*AF205+AG226*AG205+AH226*AH205+AI226*AI205+AJ226*AJ205+AK226*AK205+AL226*AL205+AM226*AM205+AN226*AN205+AO226*AO205+AP226*AP205+AQ226*AQ205+AR226*AR205+AS226*AS205+AT226*AT205+AU226*AU205+AV226*AV205+AW226*AW205+AX226*AX205+AY226*AY205+AZ226*AZ205+BA226*BA205+BB226*BB205+BC226*BC205+BD226*BD205+BE226*BE205+BF226*BF205+BG226*BG205+BH226*BH205+BI226*BI205+BJ226*BJ205+BK226*BK205+BL226*BL205+BM226*BM205+BN226*BN205+BO226*BO205+BP226*BP205+BQ226*BQ205+BR226*BR205+BS226*BS205+BT226*BT205+BU226*BU205+BV226*BV205+BW226*BW205+BX226*BX205+BY226*BY205+BZ226*BZ205+CA226*CA205+CB226*CB205+CC226*CC205</f>
        <v>0</v>
      </c>
      <c r="CM205" s="2387">
        <f>E227*E205+F227*F205+G227*G205+H227*H205+I227*I205+J227*J205+K227*K205+L227*L205+M227*M205+N227*N205+O227*O205+P227*P205+Q227*Q205+R227*R205+S227*S205+T227*T205+U227*U205+V227*V205+W227*W205+X227*X205+Y227*Y205+Z227*Z205+AA227*AA205+AB227*AB205+AC227*AC205+AD227*AD205+AE227*AE205+AF227*AF205+AG227*AG205+AH227*AH205+AI227*AI205+AJ227*AJ205+AK227*AK205+AL227*AL205+AM227*AM205+AN227*AN205+AO227*AO205+AP227*AP205+AQ227*AQ205+AR227*AR205+AS227*AS205+AT227*AT205+AU227*AU205+AV227*AV205+AW227*AW205+AX227*AX205+AY227*AY205+AZ227*AZ205+BA227*BA205+BB227*BB205+BC227*BC205+BD227*BD205+BE227*BE205+BF227*BF205+BG227*BG205+BH227*BH205+BI227*BI205+BJ227*BJ205+BK227*BK205+BL227*BL205+BM227*BM205+BN227*BN205+BO227*BO205+BP227*BP205+BQ227*BQ205+BR227*BR205+BS227*BS205+BT227*BT205+BU227*BU205+BV227*BV205+BW227*BW205+BX227*BX205+BY227*BY205+BZ227*BZ205+CA227*CA205+CB227*CB205+CC227*CC205</f>
        <v>0</v>
      </c>
      <c r="CN205" s="2387">
        <f>E228*E205+F228*F205+G228*G205+H228*H205+I228*I205+J228*J205+K228*K205+L228*L205+M228*M205+N228*N205+O228*O205+P228*P205+Q228*Q205+R228*R205+S228*S205+T228*T205+U228*U205+V228*V205+W228*W205+X228*X205+Y228*Y205+Z228*Z205+AA228*AA205+AB228*AB205+AC228*AC205+AD228*AD205+AE228*AE205+AF228*AF205+AG228*AG205+AH228*AH205+AI228*AI205+AJ228*AJ205+AK228*AK205+AL228*AL205+AM228*AM205+AN228*AN205+AO228*AO205+AP228*AP205+AQ228*AQ205+AR228*AR205+AS228*AS205+AT228*AT205+AU228*AU205+AV228*AV205+AW228*AW205+AX228*AX205+AY228*AY205+AZ228*AZ205+BA228*BA205+BB228*BB205+BC228*BC205+BD228*BD205+BE228*BE205+BF228*BF205+BG228*BG205+BH228*BH205+BI228*BI205+BJ228*BJ205+BK228*BK205+BL228*BL205+BM228*BM205+BN228*BN205+BO228*BO205+BP228*BP205+BQ228*BQ205+BR228*BR205+BS228*BS205+BT228*BT205+BU228*BU205+BV228*BV205+BW228*BW205+BX228*BX205+BY228*BY205+BZ228*BZ205+CA228*CA205+CB228*CB205+CC228*CC205</f>
        <v>0</v>
      </c>
      <c r="CO205" s="2387">
        <f>E229*E205+F229*F205+G229*G205+H229*H205+I229*I205+J229*J205+K229*K205+L229*L205+M229*M205+N229*N205+O229*O205+P229*P205+Q229*Q205+R229*R205+S229*S205+T229*T205+U229*U205+V229*V205+W229*W205+X229*X205+Y229*Y205+Z229*Z205+AA229*AA205+AB229*AB205+AC229*AC205+AD229*AD205+AE229*AE205+AF229*AF205+AG229*AG205+AH229*AH205+AI229*AI205+AJ229*AJ205+AK229*AK205+AL229*AL205+AM229*AM205+AN229*AN205+AO229*AO205+AP229*AP205+AQ229*AQ205+AR229*AR205+AS229*AS205+AT229*AT205+AU229*AU205+AV229*AV205+AW229*AW205+AX229*AX205+AY229*AY205+AZ229*AZ205+BA229*BA205+BB229*BB205+BC229*BC205+BD229*BD205+BE229*BE205+BF229*BF205+BG229*BG205+BH229*BH205+BI229*BI205+BJ229*BJ205+BK229*BK205+BL229*BL205+BM229*BM205+BN229*BN205+BO229*BO205+BP229*BP205+BQ229*BQ205+BR229*BR205+BS229*BS205+BT229*BT205+BU229*BU205+BV229*BV205+BW229*BW205+BX229*BX205+BY229*BY205+BZ229*BZ205+CA229*CA205+CB229*CB205+CC229*CC205</f>
        <v>0</v>
      </c>
      <c r="CP205" s="2387">
        <f>E230*E205+F230*F205+G230*G205+H230*H205+I230*I205+J230*J205+K230*K205+L230*L205+M230*M205+N230*N205+O230*O205+P230*P205+Q230*Q205+R230*R205+S230*S205+T230*T205+U230*U205+V230*V205+W230*W205+X230*X205+Y230*Y205+Z230*Z205+AA230*AA205+AB230*AB205+AC230*AC205+AD230*AD205+AE230*AE205+AF230*AF205+AG230*AG205+AH230*AH205+AI230*AI205+AJ230*AJ205+AK230*AK205+AL230*AL205+AM230*AM205+AN230*AN205+AO230*AO205+AP230*AP205+AQ230*AQ205+AR230*AR205+AS230*AS205+AT230*AT205+AU230*AU205+AV230*AV205+AW230*AW205+AX230*AX205+AY230*AY205+AZ230*AZ205+BA230*BA205+BB230*BB205+BC230*BC205+BD230*BD205+BE230*BE205+BF230*BF205+BG230*BG205+BH230*BH205+BI230*BI205+BJ230*BJ205+BK230*BK205+BL230*BL205+BM230*BM205+BN230*BN205+BO230*BO205+BP230*BP205+BQ230*BQ205+BR230*BR205+BS230*BS205+BT230*BT205+BU230*BU205+BV230*BV205+BW230*BW205+BX230*BX205+BY230*BY205+BZ230*BZ205+CA230*CA205+CB230*CB205+CC230*CC205</f>
        <v>0</v>
      </c>
    </row>
    <row r="206" spans="2:94" x14ac:dyDescent="0.25">
      <c r="B206" s="1598">
        <v>87</v>
      </c>
      <c r="C206" s="676" t="s">
        <v>3224</v>
      </c>
      <c r="D206" s="677" t="s">
        <v>3218</v>
      </c>
      <c r="E206" s="989">
        <f>0</f>
        <v>0</v>
      </c>
      <c r="F206" s="989">
        <f>0</f>
        <v>0</v>
      </c>
      <c r="G206" s="989">
        <f>0</f>
        <v>0</v>
      </c>
      <c r="H206" s="989">
        <f>0</f>
        <v>0</v>
      </c>
      <c r="I206" s="989">
        <f>0</f>
        <v>0</v>
      </c>
      <c r="J206" s="989">
        <f>0</f>
        <v>0</v>
      </c>
      <c r="K206" s="989">
        <f>0</f>
        <v>0</v>
      </c>
      <c r="L206" s="989">
        <f>0</f>
        <v>0</v>
      </c>
      <c r="M206" s="989">
        <f>0</f>
        <v>0</v>
      </c>
      <c r="N206" s="989">
        <f>0</f>
        <v>0</v>
      </c>
      <c r="O206" s="989">
        <f>0</f>
        <v>0</v>
      </c>
      <c r="P206" s="989">
        <f>0</f>
        <v>0</v>
      </c>
      <c r="Q206" s="996">
        <f>0</f>
        <v>0</v>
      </c>
      <c r="R206" s="989">
        <f>0</f>
        <v>0</v>
      </c>
      <c r="S206" s="989">
        <f>0</f>
        <v>0</v>
      </c>
      <c r="T206" s="989">
        <f>0</f>
        <v>0</v>
      </c>
      <c r="U206" s="989">
        <f>0</f>
        <v>0</v>
      </c>
      <c r="V206" s="989">
        <f>0</f>
        <v>0</v>
      </c>
      <c r="W206" s="989">
        <f>0</f>
        <v>0</v>
      </c>
      <c r="X206" s="989">
        <f>0</f>
        <v>0</v>
      </c>
      <c r="Y206" s="989">
        <f>0</f>
        <v>0</v>
      </c>
      <c r="Z206" s="989">
        <f>0</f>
        <v>0</v>
      </c>
      <c r="AA206" s="989">
        <f>0</f>
        <v>0</v>
      </c>
      <c r="AB206" s="989">
        <f>0</f>
        <v>0</v>
      </c>
      <c r="AC206" s="989">
        <f>0</f>
        <v>0</v>
      </c>
      <c r="AD206" s="989">
        <f>0</f>
        <v>0</v>
      </c>
      <c r="AE206" s="989">
        <f>0</f>
        <v>0</v>
      </c>
      <c r="AF206" s="989">
        <f>0</f>
        <v>0</v>
      </c>
      <c r="AG206" s="989">
        <f>0</f>
        <v>0</v>
      </c>
      <c r="AH206" s="989">
        <f>0</f>
        <v>0</v>
      </c>
      <c r="AI206" s="989">
        <f>0</f>
        <v>0</v>
      </c>
      <c r="AJ206" s="989">
        <f>0</f>
        <v>0</v>
      </c>
      <c r="AK206" s="989">
        <f>0</f>
        <v>0</v>
      </c>
      <c r="AL206" s="989">
        <f>1</f>
        <v>1</v>
      </c>
      <c r="AM206" s="989">
        <f>0</f>
        <v>0</v>
      </c>
      <c r="AN206" s="989">
        <f>0</f>
        <v>0</v>
      </c>
      <c r="AO206" s="989">
        <f>0</f>
        <v>0</v>
      </c>
      <c r="AP206" s="989">
        <f>0</f>
        <v>0</v>
      </c>
      <c r="AQ206" s="989">
        <f>0</f>
        <v>0</v>
      </c>
      <c r="AR206" s="989">
        <f>0</f>
        <v>0</v>
      </c>
      <c r="AS206" s="989">
        <f>0</f>
        <v>0</v>
      </c>
      <c r="AT206" s="989">
        <f>0</f>
        <v>0</v>
      </c>
      <c r="AU206" s="996">
        <f>0</f>
        <v>0</v>
      </c>
      <c r="AV206" s="996">
        <f>0</f>
        <v>0</v>
      </c>
      <c r="AW206" s="996">
        <f>0</f>
        <v>0</v>
      </c>
      <c r="AX206" s="996">
        <f>0</f>
        <v>0</v>
      </c>
      <c r="AY206" s="996">
        <f>0</f>
        <v>0</v>
      </c>
      <c r="AZ206" s="996">
        <f>0</f>
        <v>0</v>
      </c>
      <c r="BA206" s="996">
        <f>0</f>
        <v>0</v>
      </c>
      <c r="BB206" s="996">
        <f>0</f>
        <v>0</v>
      </c>
      <c r="BC206" s="996">
        <f>0</f>
        <v>0</v>
      </c>
      <c r="BD206" s="996">
        <f>0</f>
        <v>0</v>
      </c>
      <c r="BE206" s="996">
        <f>0</f>
        <v>0</v>
      </c>
      <c r="BF206" s="996">
        <f>0</f>
        <v>0</v>
      </c>
      <c r="BG206" s="996">
        <f>0</f>
        <v>0</v>
      </c>
      <c r="BH206" s="996">
        <f>0</f>
        <v>0</v>
      </c>
      <c r="BI206" s="996">
        <f>0</f>
        <v>0</v>
      </c>
      <c r="BJ206" s="996">
        <f>0</f>
        <v>0</v>
      </c>
      <c r="BK206" s="996">
        <f>0</f>
        <v>0</v>
      </c>
      <c r="BL206" s="1642">
        <f>0</f>
        <v>0</v>
      </c>
      <c r="BM206" s="996">
        <f>0</f>
        <v>0</v>
      </c>
      <c r="BN206" s="996">
        <f>0</f>
        <v>0</v>
      </c>
      <c r="BO206" s="996">
        <f>0</f>
        <v>0</v>
      </c>
      <c r="BP206" s="1432">
        <f>0</f>
        <v>0</v>
      </c>
      <c r="BQ206" s="2383">
        <f>0</f>
        <v>0</v>
      </c>
      <c r="BR206" s="989">
        <f>0</f>
        <v>0</v>
      </c>
      <c r="BS206" s="989">
        <f>-1</f>
        <v>-1</v>
      </c>
      <c r="BT206" s="989">
        <f>0</f>
        <v>0</v>
      </c>
      <c r="BU206" s="989">
        <f>0</f>
        <v>0</v>
      </c>
      <c r="BV206" s="989">
        <f>0</f>
        <v>0</v>
      </c>
      <c r="BW206" s="989">
        <f>0</f>
        <v>0</v>
      </c>
      <c r="BX206" s="996">
        <f>0</f>
        <v>0</v>
      </c>
      <c r="BY206" s="996">
        <f>0</f>
        <v>0</v>
      </c>
      <c r="BZ206" s="996">
        <f>0</f>
        <v>0</v>
      </c>
      <c r="CA206" s="996">
        <f>0</f>
        <v>0</v>
      </c>
      <c r="CB206" s="996">
        <f>0</f>
        <v>0</v>
      </c>
      <c r="CC206" s="996">
        <f>0</f>
        <v>0</v>
      </c>
      <c r="CD206" s="1663">
        <f>k_LaGCH4_bub*(S_GCH4_bub_sat-S_CH4)</f>
        <v>-0.84435000000000004</v>
      </c>
      <c r="CF206" s="2385">
        <f>E220*E206+F220*F206+G220*G206+H220*H206+I220*I206+J220*J206+K220*K206+L220*L206+M220*M206+N220*N206+O220*O206+P220*P206+Q220*Q206+R220*R206+S220*S206+T220*T206+U220*U206+V220*V206+W220*W206+X220*X206+Y220*Y206+Z220*Z206+AA220*AA206+AB220*AB206+AC220*AC206+AD220*AD206+AE220*AE206+AF220*AF206+AG220*AG206+AH220*AH206+AI220*AI206+AJ220*AJ206+AK220*AK206+AL220*AL206+AM220*AM206+AN220*AN206+AO220*AO206+AP220*AP206+AQ220*AQ206+AR220*AR206+AS220*AS206+AT220*AT206+AU220*AU206+AV220*AV206+AW220*AW206+AX220*AX206+AY220*AY206+AZ220*AZ206+BA220*BA206+BB220*BB206+BC220*BC206+BD220*BD206+BE220*BE206+BF220*BF206+BG220*BG206+BH220*BH206+BI220*BI206+BJ220*BJ206+BK220*BK206+BL220*BL206+BM220*BM206+BN220*BN206+BO220*BO206+BP220*BP206+BQ220*BQ206+BR220*BR206+BS220*BS206+BT220*BT206+BU220*BU206+BV220*BV206+BW220*BW206+BX220*BX206+BY220*BY206+BZ220*BZ206+CA220*CA206+CB220*CB206+CC220*CC206</f>
        <v>0</v>
      </c>
      <c r="CG206" s="2385">
        <f>E221*E206+F221*F206+G221*G206+H221*H206+I221*I206+J221*J206+K221*K206+L221*L206+M221*M206+N221*N206+O221*O206+P221*P206+Q221*Q206+R221*R206+S221*S206+T221*T206+U221*U206+V221*V206+W221*W206+X221*X206+Y221*Y206+Z221*Z206+AA221*AA206+AB221*AB206+AC221*AC206+AD221*AD206+AE221*AE206+AF221*AF206+AG221*AG206+AH221*AH206+AI221*AI206+AJ221*AJ206+AK221*AK206+AL221*AL206+AM221*AM206+AN221*AN206+AO221*AO206+AP221*AP206+AQ221*AQ206+AR221*AR206+AS221*AS206+AT221*AT206+AU221*AU206+AV221*AV206+AW221*AW206+AX221*AX206+AY221*AY206+AZ221*AZ206+BA221*BA206+BB221*BB206+BC221*BC206+BD221*BD206+BE221*BE206+BF221*BF206+BG221*BG206+BH221*BH206+BI221*BI206+BJ221*BJ206+BK221*BK206+BL221*BL206+BM221*BM206+BN221*BN206+BO221*BO206+BP221*BP206+BQ221*BQ206+BR221*BR206+BS221*BS206+BT221*BT206+BU221*BU206+BV221*BV206+BW221*BW206+BX221*BX206+BY221*BY206+BZ221*BZ206+CA221*CA206+CB221*CB206+CC221*CC206</f>
        <v>0</v>
      </c>
      <c r="CH206" s="2386">
        <f>E222*E206+F222*F206+G222*G206+H222*H206+I222*I206+J222*J206+K222*K206+L222*L206+M222*M206+N222*N206+O222*O206+P222*P206+Q222*Q206+R222*R206+S222*S206+T222*T206+U222*U206+V222*V206+W222*W206+X222*X206+Y222*Y206+Z222*Z206+AA222*AA206+AB222*AB206+AC222*AC206+AD222*AD206+AE222*AE206+AF222*AF206+AG222*AG206+AH222*AH206+AI222*AI206+AJ222*AJ206+AK222*AK206+AL222*AL206+AM222*AM206+AN222*AN206+AO222*AO206+AP222*AP206+AQ222*AQ206+AR222*AR206+AS222*AS206+AT222*AT206+AU222*AU206+AV222*AV206+AW222*AW206+AX222*AX206+AY222*AY206+AZ222*AZ206+BA222*BA206+BB222*BB206+BC222*BC206+BD222*BD206+BE222*BE206+BF222*BF206+BG222*BG206+BH222*BH206+BI222*BI206+BJ222*BJ206+BK222*BK206+BL222*BL206+BM222*BM206+BN222*BN206+BO222*BO206+BP222*BP206+BQ222*BQ206+BR222*BR206+BS222*BS206+BT222*BT206+BU222*BU206+BV222*BV206+BW222*BW206+BX222*BX206+BY222*BY206+BZ222*BZ206+CA222*CA206+CB222*CB206+CC222*CC206</f>
        <v>0</v>
      </c>
      <c r="CI206" s="2387">
        <f>E223*E206+F223*F206+G223*G206+H223*H206+I223*I206+J223*J206+K223*K206+L223*L206+M223*M206+N223*N206+O223*O206+P223*P206+Q223*Q206+R223*R206+S223*S206+T223*T206+U223*U206+V223*V206+W223*W206+X223*X206+Y223*Y206+Z223*Z206+AA223*AA206+AB223*AB206+AC223*AC206+AD223*AD206+AE223*AE206+AF223*AF206+AG223*AG206+AH223*AH206+AI223*AI206+AJ223*AJ206+AK223*AK206+AL223*AL206+AM223*AM206+AN223*AN206+AO223*AO206+AP223*AP206+AQ223*AQ206+AR223*AR206+AS223*AS206+AT223*AT206+AU223*AU206+AV223*AV206+AW223*AW206+AX223*AX206+AY223*AY206+AZ223*AZ206+BA223*BA206+BB223*BB206+BC223*BC206+BD223*BD206+BE223*BE206+BF223*BF206+BG223*BG206+BH223*BH206+BI223*BI206+BJ223*BJ206+BK223*BK206+BL223*BL206+BM223*BM206+BN223*BN206+BO223*BO206+BP223*BP206+BQ223*BQ206+BR223*BR206+BS223*BS206+BT223*BT206+BU223*BU206+BV223*BV206+BW223*BW206+BX223*BX206+BY223*BY206+BZ223*BZ206+CA223*CA206+CB223*CB206+CC223*CC206</f>
        <v>0</v>
      </c>
      <c r="CJ206" s="2387">
        <f>E224*E206+F224*F206+G224*G206+H224*H206+I224*I206+J224*J206+K224*K206+L224*L206+M224*M206+N224*N206+O224*O206+P224*P206+Q224*Q206+R224*R206+S224*S206+T224*T206+U224*U206+V224*V206+W224*W206+X224*X206+Y224*Y206+Z224*Z206+AA224*AA206+AB224*AB206+AC224*AC206+AD224*AD206+AE224*AE206+AF224*AF206+AG224*AG206+AH224*AH206+AI224*AI206+AJ224*AJ206+AK224*AK206+AL224*AL206+AM224*AM206+AN224*AN206+AO224*AO206+AP224*AP206+AQ224*AQ206+AR224*AR206+AS224*AS206+AT224*AT206+AU224*AU206+AV224*AV206+AW224*AW206+AX224*AX206+AY224*AY206+AZ224*AZ206+BA224*BA206+BB224*BB206+BC224*BC206+BD224*BD206+BE224*BE206+BF224*BF206+BG224*BG206+BH224*BH206+BI224*BI206+BJ224*BJ206+BK224*BK206+BL224*BL206+BM224*BM206+BN224*BN206+BO224*BO206+BP224*BP206+BQ224*BQ206+BR224*BR206+BS224*BS206+BT224*BT206+BU224*BU206+BV224*BV206+BW224*BW206+BX224*BX206+BY224*BY206+BZ224*BZ206+CA224*CA206+CB224*CB206+CC224*CC206</f>
        <v>0</v>
      </c>
      <c r="CK206" s="2387">
        <f>E225*E206+F225*F206+G225*G206+H225*H206+I225*I206+J225*J206+K225*K206+L225*L206+M225*M206+N225*N206+O225*O206+P225*P206+Q225*Q206+R225*R206+S225*S206+T225*T206+U225*U206+V225*V206+W225*W206+X225*X206+Y225*Y206+Z225*Z206+AA225*AA206+AB225*AB206+AC225*AC206+AD225*AD206+AE225*AE206+AF225*AF206+AG225*AG206+AH225*AH206+AI225*AI206+AJ225*AJ206+AK225*AK206+AL225*AL206+AM225*AM206+AN225*AN206+AO225*AO206+AP225*AP206+AQ225*AQ206+AR225*AR206+AS225*AS206+AT225*AT206+AU225*AU206+AV225*AV206+AW225*AW206+AX225*AX206+AY225*AY206+AZ225*AZ206+BA225*BA206+BB225*BB206+BC225*BC206+BD225*BD206+BE225*BE206+BF225*BF206+BG225*BG206+BH225*BH206+BI225*BI206+BJ225*BJ206+BK225*BK206+BL225*BL206+BM225*BM206+BN225*BN206+BO225*BO206+BP225*BP206+BQ225*BQ206+BR225*BR206+BS225*BS206+BT225*BT206+BU225*BU206+BV225*BV206+BW225*BW206+BX225*BX206+BY225*BY206+BZ225*BZ206+CA225*CA206+CB225*CB206+CC225*CC206</f>
        <v>0</v>
      </c>
      <c r="CL206" s="2387">
        <f>E226*E206+F226*F206+G226*G206+H226*H206+I226*I206+J226*J206+K226*K206+L226*L206+M226*M206+N226*N206+O226*O206+P226*P206+Q226*Q206+R226*R206+S226*S206+T226*T206+U226*U206+V226*V206+W226*W206+X226*X206+Y226*Y206+Z226*Z206+AA226*AA206+AB226*AB206+AC226*AC206+AD226*AD206+AE226*AE206+AF226*AF206+AG226*AG206+AH226*AH206+AI226*AI206+AJ226*AJ206+AK226*AK206+AL226*AL206+AM226*AM206+AN226*AN206+AO226*AO206+AP226*AP206+AQ226*AQ206+AR226*AR206+AS226*AS206+AT226*AT206+AU226*AU206+AV226*AV206+AW226*AW206+AX226*AX206+AY226*AY206+AZ226*AZ206+BA226*BA206+BB226*BB206+BC226*BC206+BD226*BD206+BE226*BE206+BF226*BF206+BG226*BG206+BH226*BH206+BI226*BI206+BJ226*BJ206+BK226*BK206+BL226*BL206+BM226*BM206+BN226*BN206+BO226*BO206+BP226*BP206+BQ226*BQ206+BR226*BR206+BS226*BS206+BT226*BT206+BU226*BU206+BV226*BV206+BW226*BW206+BX226*BX206+BY226*BY206+BZ226*BZ206+CA226*CA206+CB226*CB206+CC226*CC206</f>
        <v>0</v>
      </c>
      <c r="CM206" s="2387">
        <f>E227*E206+F227*F206+G227*G206+H227*H206+I227*I206+J227*J206+K227*K206+L227*L206+M227*M206+N227*N206+O227*O206+P227*P206+Q227*Q206+R227*R206+S227*S206+T227*T206+U227*U206+V227*V206+W227*W206+X227*X206+Y227*Y206+Z227*Z206+AA227*AA206+AB227*AB206+AC227*AC206+AD227*AD206+AE227*AE206+AF227*AF206+AG227*AG206+AH227*AH206+AI227*AI206+AJ227*AJ206+AK227*AK206+AL227*AL206+AM227*AM206+AN227*AN206+AO227*AO206+AP227*AP206+AQ227*AQ206+AR227*AR206+AS227*AS206+AT227*AT206+AU227*AU206+AV227*AV206+AW227*AW206+AX227*AX206+AY227*AY206+AZ227*AZ206+BA227*BA206+BB227*BB206+BC227*BC206+BD227*BD206+BE227*BE206+BF227*BF206+BG227*BG206+BH227*BH206+BI227*BI206+BJ227*BJ206+BK227*BK206+BL227*BL206+BM227*BM206+BN227*BN206+BO227*BO206+BP227*BP206+BQ227*BQ206+BR227*BR206+BS227*BS206+BT227*BT206+BU227*BU206+BV227*BV206+BW227*BW206+BX227*BX206+BY227*BY206+BZ227*BZ206+CA227*CA206+CB227*CB206+CC227*CC206</f>
        <v>0</v>
      </c>
      <c r="CN206" s="2387">
        <f>E228*E206+F228*F206+G228*G206+H228*H206+I228*I206+J228*J206+K228*K206+L228*L206+M228*M206+N228*N206+O228*O206+P228*P206+Q228*Q206+R228*R206+S228*S206+T228*T206+U228*U206+V228*V206+W228*W206+X228*X206+Y228*Y206+Z228*Z206+AA228*AA206+AB228*AB206+AC228*AC206+AD228*AD206+AE228*AE206+AF228*AF206+AG228*AG206+AH228*AH206+AI228*AI206+AJ228*AJ206+AK228*AK206+AL228*AL206+AM228*AM206+AN228*AN206+AO228*AO206+AP228*AP206+AQ228*AQ206+AR228*AR206+AS228*AS206+AT228*AT206+AU228*AU206+AV228*AV206+AW228*AW206+AX228*AX206+AY228*AY206+AZ228*AZ206+BA228*BA206+BB228*BB206+BC228*BC206+BD228*BD206+BE228*BE206+BF228*BF206+BG228*BG206+BH228*BH206+BI228*BI206+BJ228*BJ206+BK228*BK206+BL228*BL206+BM228*BM206+BN228*BN206+BO228*BO206+BP228*BP206+BQ228*BQ206+BR228*BR206+BS228*BS206+BT228*BT206+BU228*BU206+BV228*BV206+BW228*BW206+BX228*BX206+BY228*BY206+BZ228*BZ206+CA228*CA206+CB228*CB206+CC228*CC206</f>
        <v>0</v>
      </c>
      <c r="CO206" s="2387">
        <f>E229*E206+F229*F206+G229*G206+H229*H206+I229*I206+J229*J206+K229*K206+L229*L206+M229*M206+N229*N206+O229*O206+P229*P206+Q229*Q206+R229*R206+S229*S206+T229*T206+U229*U206+V229*V206+W229*W206+X229*X206+Y229*Y206+Z229*Z206+AA229*AA206+AB229*AB206+AC229*AC206+AD229*AD206+AE229*AE206+AF229*AF206+AG229*AG206+AH229*AH206+AI229*AI206+AJ229*AJ206+AK229*AK206+AL229*AL206+AM229*AM206+AN229*AN206+AO229*AO206+AP229*AP206+AQ229*AQ206+AR229*AR206+AS229*AS206+AT229*AT206+AU229*AU206+AV229*AV206+AW229*AW206+AX229*AX206+AY229*AY206+AZ229*AZ206+BA229*BA206+BB229*BB206+BC229*BC206+BD229*BD206+BE229*BE206+BF229*BF206+BG229*BG206+BH229*BH206+BI229*BI206+BJ229*BJ206+BK229*BK206+BL229*BL206+BM229*BM206+BN229*BN206+BO229*BO206+BP229*BP206+BQ229*BQ206+BR229*BR206+BS229*BS206+BT229*BT206+BU229*BU206+BV229*BV206+BW229*BW206+BX229*BX206+BY229*BY206+BZ229*BZ206+CA229*CA206+CB229*CB206+CC229*CC206</f>
        <v>0</v>
      </c>
      <c r="CP206" s="2387">
        <f>E230*E206+F230*F206+G230*G206+H230*H206+I230*I206+J230*J206+K230*K206+L230*L206+M230*M206+N230*N206+O230*O206+P230*P206+Q230*Q206+R230*R206+S230*S206+T230*T206+U230*U206+V230*V206+W230*W206+X230*X206+Y230*Y206+Z230*Z206+AA230*AA206+AB230*AB206+AC230*AC206+AD230*AD206+AE230*AE206+AF230*AF206+AG230*AG206+AH230*AH206+AI230*AI206+AJ230*AJ206+AK230*AK206+AL230*AL206+AM230*AM206+AN230*AN206+AO230*AO206+AP230*AP206+AQ230*AQ206+AR230*AR206+AS230*AS206+AT230*AT206+AU230*AU206+AV230*AV206+AW230*AW206+AX230*AX206+AY230*AY206+AZ230*AZ206+BA230*BA206+BB230*BB206+BC230*BC206+BD230*BD206+BE230*BE206+BF230*BF206+BG230*BG206+BH230*BH206+BI230*BI206+BJ230*BJ206+BK230*BK206+BL230*BL206+BM230*BM206+BN230*BN206+BO230*BO206+BP230*BP206+BQ230*BQ206+BR230*BR206+BS230*BS206+BT230*BT206+BU230*BU206+BV230*BV206+BW230*BW206+BX230*BX206+BY230*BY206+BZ230*BZ206+CA230*CA206+CB230*CB206+CC230*CC206</f>
        <v>0</v>
      </c>
    </row>
    <row r="207" spans="2:94" x14ac:dyDescent="0.25">
      <c r="B207" s="1598">
        <v>88</v>
      </c>
      <c r="C207" s="676" t="s">
        <v>3225</v>
      </c>
      <c r="D207" s="677" t="s">
        <v>3219</v>
      </c>
      <c r="E207" s="989">
        <f>0</f>
        <v>0</v>
      </c>
      <c r="F207" s="989">
        <f>0</f>
        <v>0</v>
      </c>
      <c r="G207" s="989">
        <f>0</f>
        <v>0</v>
      </c>
      <c r="H207" s="989">
        <f>0</f>
        <v>0</v>
      </c>
      <c r="I207" s="989">
        <f>0</f>
        <v>0</v>
      </c>
      <c r="J207" s="989">
        <f>0</f>
        <v>0</v>
      </c>
      <c r="K207" s="989">
        <f>0</f>
        <v>0</v>
      </c>
      <c r="L207" s="989">
        <f>0</f>
        <v>0</v>
      </c>
      <c r="M207" s="989">
        <f>0</f>
        <v>0</v>
      </c>
      <c r="N207" s="989">
        <f>0</f>
        <v>0</v>
      </c>
      <c r="O207" s="989">
        <f>0</f>
        <v>0</v>
      </c>
      <c r="P207" s="989">
        <f>0</f>
        <v>0</v>
      </c>
      <c r="Q207" s="996">
        <f>0</f>
        <v>0</v>
      </c>
      <c r="R207" s="989">
        <f>0</f>
        <v>0</v>
      </c>
      <c r="S207" s="989">
        <f>0</f>
        <v>0</v>
      </c>
      <c r="T207" s="989">
        <f>0</f>
        <v>0</v>
      </c>
      <c r="U207" s="989">
        <f>0</f>
        <v>0</v>
      </c>
      <c r="V207" s="989">
        <f>0</f>
        <v>0</v>
      </c>
      <c r="W207" s="989">
        <f>0</f>
        <v>0</v>
      </c>
      <c r="X207" s="989">
        <f>0</f>
        <v>0</v>
      </c>
      <c r="Y207" s="989">
        <f>0</f>
        <v>0</v>
      </c>
      <c r="Z207" s="989">
        <f>0</f>
        <v>0</v>
      </c>
      <c r="AA207" s="989">
        <f>0</f>
        <v>0</v>
      </c>
      <c r="AB207" s="989">
        <f>0</f>
        <v>0</v>
      </c>
      <c r="AC207" s="989">
        <f>0</f>
        <v>0</v>
      </c>
      <c r="AD207" s="989">
        <f>0</f>
        <v>0</v>
      </c>
      <c r="AE207" s="989">
        <f>0</f>
        <v>0</v>
      </c>
      <c r="AF207" s="989">
        <f>0</f>
        <v>0</v>
      </c>
      <c r="AG207" s="989">
        <f>0</f>
        <v>0</v>
      </c>
      <c r="AH207" s="989">
        <f>0</f>
        <v>0</v>
      </c>
      <c r="AI207" s="989">
        <f>0</f>
        <v>0</v>
      </c>
      <c r="AJ207" s="989">
        <f>0</f>
        <v>0</v>
      </c>
      <c r="AK207" s="989">
        <f>0</f>
        <v>0</v>
      </c>
      <c r="AL207" s="989">
        <f>0</f>
        <v>0</v>
      </c>
      <c r="AM207" s="989">
        <f>1</f>
        <v>1</v>
      </c>
      <c r="AN207" s="989">
        <f>0</f>
        <v>0</v>
      </c>
      <c r="AO207" s="989">
        <f>0</f>
        <v>0</v>
      </c>
      <c r="AP207" s="989">
        <f>0</f>
        <v>0</v>
      </c>
      <c r="AQ207" s="989">
        <f>0</f>
        <v>0</v>
      </c>
      <c r="AR207" s="989">
        <f>0</f>
        <v>0</v>
      </c>
      <c r="AS207" s="989">
        <f>0</f>
        <v>0</v>
      </c>
      <c r="AT207" s="989">
        <f>0</f>
        <v>0</v>
      </c>
      <c r="AU207" s="996">
        <f>0</f>
        <v>0</v>
      </c>
      <c r="AV207" s="996">
        <f>0</f>
        <v>0</v>
      </c>
      <c r="AW207" s="996">
        <f>0</f>
        <v>0</v>
      </c>
      <c r="AX207" s="996">
        <f>0</f>
        <v>0</v>
      </c>
      <c r="AY207" s="996">
        <f>0</f>
        <v>0</v>
      </c>
      <c r="AZ207" s="996">
        <f>0</f>
        <v>0</v>
      </c>
      <c r="BA207" s="996">
        <f>0</f>
        <v>0</v>
      </c>
      <c r="BB207" s="996">
        <f>0</f>
        <v>0</v>
      </c>
      <c r="BC207" s="996">
        <f>0</f>
        <v>0</v>
      </c>
      <c r="BD207" s="996">
        <f>0</f>
        <v>0</v>
      </c>
      <c r="BE207" s="996">
        <f>0</f>
        <v>0</v>
      </c>
      <c r="BF207" s="996">
        <f>0</f>
        <v>0</v>
      </c>
      <c r="BG207" s="996">
        <f>0</f>
        <v>0</v>
      </c>
      <c r="BH207" s="996">
        <f>0</f>
        <v>0</v>
      </c>
      <c r="BI207" s="996">
        <f>0</f>
        <v>0</v>
      </c>
      <c r="BJ207" s="996">
        <f>0</f>
        <v>0</v>
      </c>
      <c r="BK207" s="996">
        <f>0</f>
        <v>0</v>
      </c>
      <c r="BL207" s="1642">
        <f>0</f>
        <v>0</v>
      </c>
      <c r="BM207" s="996">
        <f>0</f>
        <v>0</v>
      </c>
      <c r="BN207" s="996">
        <f>0</f>
        <v>0</v>
      </c>
      <c r="BO207" s="996">
        <f>0</f>
        <v>0</v>
      </c>
      <c r="BP207" s="1432">
        <f>0</f>
        <v>0</v>
      </c>
      <c r="BQ207" s="2383">
        <f>0</f>
        <v>0</v>
      </c>
      <c r="BR207" s="989">
        <f>0</f>
        <v>0</v>
      </c>
      <c r="BS207" s="989">
        <f>0</f>
        <v>0</v>
      </c>
      <c r="BT207" s="989">
        <f>-1</f>
        <v>-1</v>
      </c>
      <c r="BU207" s="989">
        <f>0</f>
        <v>0</v>
      </c>
      <c r="BV207" s="989">
        <f>0</f>
        <v>0</v>
      </c>
      <c r="BW207" s="989">
        <f>0</f>
        <v>0</v>
      </c>
      <c r="BX207" s="996">
        <f>0</f>
        <v>0</v>
      </c>
      <c r="BY207" s="996">
        <f>0</f>
        <v>0</v>
      </c>
      <c r="BZ207" s="996">
        <f>0</f>
        <v>0</v>
      </c>
      <c r="CA207" s="996">
        <f>0</f>
        <v>0</v>
      </c>
      <c r="CB207" s="996">
        <f>0</f>
        <v>0</v>
      </c>
      <c r="CC207" s="996">
        <f>0</f>
        <v>0</v>
      </c>
      <c r="CD207" s="1663">
        <f>k_LaGH2_bub*(S_GH2_bub_sat-S_H2)</f>
        <v>-1.4673500000000002</v>
      </c>
      <c r="CF207" s="2385">
        <f>E220*E207+F220*F207+G220*G207+H220*H207+I220*I207+J220*J207+K220*K207+L220*L207+M220*M207+N220*N207+O220*O207+P220*P207+Q220*Q207+R220*R207+S220*S207+T220*T207+U220*U207+V220*V207+W220*W207+X220*X207+Y220*Y207+Z220*Z207+AA220*AA207+AB220*AB207+AC220*AC207+AD220*AD207+AE220*AE207+AF220*AF207+AG220*AG207+AH220*AH207+AI220*AI207+AJ220*AJ207+AK220*AK207+AL220*AL207+AM220*AM207+AN220*AN207+AO220*AO207+AP220*AP207+AQ220*AQ207+AR220*AR207+AS220*AS207+AT220*AT207+AU220*AU207+AV220*AV207+AW220*AW207+AX220*AX207+AY220*AY207+AZ220*AZ207+BA220*BA207+BB220*BB207+BC220*BC207+BD220*BD207+BE220*BE207+BF220*BF207+BG220*BG207+BH220*BH207+BI220*BI207+BJ220*BJ207+BK220*BK207+BL220*BL207+BM220*BM207+BN220*BN207+BO220*BO207+BP220*BP207+BQ220*BQ207+BR220*BR207+BS220*BS207+BT220*BT207+BU220*BU207+BV220*BV207+BW220*BW207+BX220*BX207+BY220*BY207+BZ220*BZ207+CA220*CA207+CB220*CB207+CC220*CC207</f>
        <v>0</v>
      </c>
      <c r="CG207" s="2385">
        <f>E221*E207+F221*F207+G221*G207+H221*H207+I221*I207+J221*J207+K221*K207+L221*L207+M221*M207+N221*N207+O221*O207+P221*P207+Q221*Q207+R221*R207+S221*S207+T221*T207+U221*U207+V221*V207+W221*W207+X221*X207+Y221*Y207+Z221*Z207+AA221*AA207+AB221*AB207+AC221*AC207+AD221*AD207+AE221*AE207+AF221*AF207+AG221*AG207+AH221*AH207+AI221*AI207+AJ221*AJ207+AK221*AK207+AL221*AL207+AM221*AM207+AN221*AN207+AO221*AO207+AP221*AP207+AQ221*AQ207+AR221*AR207+AS221*AS207+AT221*AT207+AU221*AU207+AV221*AV207+AW221*AW207+AX221*AX207+AY221*AY207+AZ221*AZ207+BA221*BA207+BB221*BB207+BC221*BC207+BD221*BD207+BE221*BE207+BF221*BF207+BG221*BG207+BH221*BH207+BI221*BI207+BJ221*BJ207+BK221*BK207+BL221*BL207+BM221*BM207+BN221*BN207+BO221*BO207+BP221*BP207+BQ221*BQ207+BR221*BR207+BS221*BS207+BT221*BT207+BU221*BU207+BV221*BV207+BW221*BW207+BX221*BX207+BY221*BY207+BZ221*BZ207+CA221*CA207+CB221*CB207+CC221*CC207</f>
        <v>0</v>
      </c>
      <c r="CH207" s="2386">
        <f>E222*E207+F222*F207+G222*G207+H222*H207+I222*I207+J222*J207+K222*K207+L222*L207+M222*M207+N222*N207+O222*O207+P222*P207+Q222*Q207+R222*R207+S222*S207+T222*T207+U222*U207+V222*V207+W222*W207+X222*X207+Y222*Y207+Z222*Z207+AA222*AA207+AB222*AB207+AC222*AC207+AD222*AD207+AE222*AE207+AF222*AF207+AG222*AG207+AH222*AH207+AI222*AI207+AJ222*AJ207+AK222*AK207+AL222*AL207+AM222*AM207+AN222*AN207+AO222*AO207+AP222*AP207+AQ222*AQ207+AR222*AR207+AS222*AS207+AT222*AT207+AU222*AU207+AV222*AV207+AW222*AW207+AX222*AX207+AY222*AY207+AZ222*AZ207+BA222*BA207+BB222*BB207+BC222*BC207+BD222*BD207+BE222*BE207+BF222*BF207+BG222*BG207+BH222*BH207+BI222*BI207+BJ222*BJ207+BK222*BK207+BL222*BL207+BM222*BM207+BN222*BN207+BO222*BO207+BP222*BP207+BQ222*BQ207+BR222*BR207+BS222*BS207+BT222*BT207+BU222*BU207+BV222*BV207+BW222*BW207+BX222*BX207+BY222*BY207+BZ222*BZ207+CA222*CA207+CB222*CB207+CC222*CC207</f>
        <v>0</v>
      </c>
      <c r="CI207" s="2387">
        <f>E223*E207+F223*F207+G223*G207+H223*H207+I223*I207+J223*J207+K223*K207+L223*L207+M223*M207+N223*N207+O223*O207+P223*P207+Q223*Q207+R223*R207+S223*S207+T223*T207+U223*U207+V223*V207+W223*W207+X223*X207+Y223*Y207+Z223*Z207+AA223*AA207+AB223*AB207+AC223*AC207+AD223*AD207+AE223*AE207+AF223*AF207+AG223*AG207+AH223*AH207+AI223*AI207+AJ223*AJ207+AK223*AK207+AL223*AL207+AM223*AM207+AN223*AN207+AO223*AO207+AP223*AP207+AQ223*AQ207+AR223*AR207+AS223*AS207+AT223*AT207+AU223*AU207+AV223*AV207+AW223*AW207+AX223*AX207+AY223*AY207+AZ223*AZ207+BA223*BA207+BB223*BB207+BC223*BC207+BD223*BD207+BE223*BE207+BF223*BF207+BG223*BG207+BH223*BH207+BI223*BI207+BJ223*BJ207+BK223*BK207+BL223*BL207+BM223*BM207+BN223*BN207+BO223*BO207+BP223*BP207+BQ223*BQ207+BR223*BR207+BS223*BS207+BT223*BT207+BU223*BU207+BV223*BV207+BW223*BW207+BX223*BX207+BY223*BY207+BZ223*BZ207+CA223*CA207+CB223*CB207+CC223*CC207</f>
        <v>0</v>
      </c>
      <c r="CJ207" s="2387">
        <f>E224*E207+F224*F207+G224*G207+H224*H207+I224*I207+J224*J207+K224*K207+L224*L207+M224*M207+N224*N207+O224*O207+P224*P207+Q224*Q207+R224*R207+S224*S207+T224*T207+U224*U207+V224*V207+W224*W207+X224*X207+Y224*Y207+Z224*Z207+AA224*AA207+AB224*AB207+AC224*AC207+AD224*AD207+AE224*AE207+AF224*AF207+AG224*AG207+AH224*AH207+AI224*AI207+AJ224*AJ207+AK224*AK207+AL224*AL207+AM224*AM207+AN224*AN207+AO224*AO207+AP224*AP207+AQ224*AQ207+AR224*AR207+AS224*AS207+AT224*AT207+AU224*AU207+AV224*AV207+AW224*AW207+AX224*AX207+AY224*AY207+AZ224*AZ207+BA224*BA207+BB224*BB207+BC224*BC207+BD224*BD207+BE224*BE207+BF224*BF207+BG224*BG207+BH224*BH207+BI224*BI207+BJ224*BJ207+BK224*BK207+BL224*BL207+BM224*BM207+BN224*BN207+BO224*BO207+BP224*BP207+BQ224*BQ207+BR224*BR207+BS224*BS207+BT224*BT207+BU224*BU207+BV224*BV207+BW224*BW207+BX224*BX207+BY224*BY207+BZ224*BZ207+CA224*CA207+CB224*CB207+CC224*CC207</f>
        <v>0</v>
      </c>
      <c r="CK207" s="2387">
        <f>E225*E207+F225*F207+G225*G207+H225*H207+I225*I207+J225*J207+K225*K207+L225*L207+M225*M207+N225*N207+O225*O207+P225*P207+Q225*Q207+R225*R207+S225*S207+T225*T207+U225*U207+V225*V207+W225*W207+X225*X207+Y225*Y207+Z225*Z207+AA225*AA207+AB225*AB207+AC225*AC207+AD225*AD207+AE225*AE207+AF225*AF207+AG225*AG207+AH225*AH207+AI225*AI207+AJ225*AJ207+AK225*AK207+AL225*AL207+AM225*AM207+AN225*AN207+AO225*AO207+AP225*AP207+AQ225*AQ207+AR225*AR207+AS225*AS207+AT225*AT207+AU225*AU207+AV225*AV207+AW225*AW207+AX225*AX207+AY225*AY207+AZ225*AZ207+BA225*BA207+BB225*BB207+BC225*BC207+BD225*BD207+BE225*BE207+BF225*BF207+BG225*BG207+BH225*BH207+BI225*BI207+BJ225*BJ207+BK225*BK207+BL225*BL207+BM225*BM207+BN225*BN207+BO225*BO207+BP225*BP207+BQ225*BQ207+BR225*BR207+BS225*BS207+BT225*BT207+BU225*BU207+BV225*BV207+BW225*BW207+BX225*BX207+BY225*BY207+BZ225*BZ207+CA225*CA207+CB225*CB207+CC225*CC207</f>
        <v>0</v>
      </c>
      <c r="CL207" s="2387">
        <f>E226*E207+F226*F207+G226*G207+H226*H207+I226*I207+J226*J207+K226*K207+L226*L207+M226*M207+N226*N207+O226*O207+P226*P207+Q226*Q207+R226*R207+S226*S207+T226*T207+U226*U207+V226*V207+W226*W207+X226*X207+Y226*Y207+Z226*Z207+AA226*AA207+AB226*AB207+AC226*AC207+AD226*AD207+AE226*AE207+AF226*AF207+AG226*AG207+AH226*AH207+AI226*AI207+AJ226*AJ207+AK226*AK207+AL226*AL207+AM226*AM207+AN226*AN207+AO226*AO207+AP226*AP207+AQ226*AQ207+AR226*AR207+AS226*AS207+AT226*AT207+AU226*AU207+AV226*AV207+AW226*AW207+AX226*AX207+AY226*AY207+AZ226*AZ207+BA226*BA207+BB226*BB207+BC226*BC207+BD226*BD207+BE226*BE207+BF226*BF207+BG226*BG207+BH226*BH207+BI226*BI207+BJ226*BJ207+BK226*BK207+BL226*BL207+BM226*BM207+BN226*BN207+BO226*BO207+BP226*BP207+BQ226*BQ207+BR226*BR207+BS226*BS207+BT226*BT207+BU226*BU207+BV226*BV207+BW226*BW207+BX226*BX207+BY226*BY207+BZ226*BZ207+CA226*CA207+CB226*CB207+CC226*CC207</f>
        <v>0</v>
      </c>
      <c r="CM207" s="2387">
        <f>E227*E207+F227*F207+G227*G207+H227*H207+I227*I207+J227*J207+K227*K207+L227*L207+M227*M207+N227*N207+O227*O207+P227*P207+Q227*Q207+R227*R207+S227*S207+T227*T207+U227*U207+V227*V207+W227*W207+X227*X207+Y227*Y207+Z227*Z207+AA227*AA207+AB227*AB207+AC227*AC207+AD227*AD207+AE227*AE207+AF227*AF207+AG227*AG207+AH227*AH207+AI227*AI207+AJ227*AJ207+AK227*AK207+AL227*AL207+AM227*AM207+AN227*AN207+AO227*AO207+AP227*AP207+AQ227*AQ207+AR227*AR207+AS227*AS207+AT227*AT207+AU227*AU207+AV227*AV207+AW227*AW207+AX227*AX207+AY227*AY207+AZ227*AZ207+BA227*BA207+BB227*BB207+BC227*BC207+BD227*BD207+BE227*BE207+BF227*BF207+BG227*BG207+BH227*BH207+BI227*BI207+BJ227*BJ207+BK227*BK207+BL227*BL207+BM227*BM207+BN227*BN207+BO227*BO207+BP227*BP207+BQ227*BQ207+BR227*BR207+BS227*BS207+BT227*BT207+BU227*BU207+BV227*BV207+BW227*BW207+BX227*BX207+BY227*BY207+BZ227*BZ207+CA227*CA207+CB227*CB207+CC227*CC207</f>
        <v>0</v>
      </c>
      <c r="CN207" s="2387">
        <f>E228*E207+F228*F207+G228*G207+H228*H207+I228*I207+J228*J207+K228*K207+L228*L207+M228*M207+N228*N207+O228*O207+P228*P207+Q228*Q207+R228*R207+S228*S207+T228*T207+U228*U207+V228*V207+W228*W207+X228*X207+Y228*Y207+Z228*Z207+AA228*AA207+AB228*AB207+AC228*AC207+AD228*AD207+AE228*AE207+AF228*AF207+AG228*AG207+AH228*AH207+AI228*AI207+AJ228*AJ207+AK228*AK207+AL228*AL207+AM228*AM207+AN228*AN207+AO228*AO207+AP228*AP207+AQ228*AQ207+AR228*AR207+AS228*AS207+AT228*AT207+AU228*AU207+AV228*AV207+AW228*AW207+AX228*AX207+AY228*AY207+AZ228*AZ207+BA228*BA207+BB228*BB207+BC228*BC207+BD228*BD207+BE228*BE207+BF228*BF207+BG228*BG207+BH228*BH207+BI228*BI207+BJ228*BJ207+BK228*BK207+BL228*BL207+BM228*BM207+BN228*BN207+BO228*BO207+BP228*BP207+BQ228*BQ207+BR228*BR207+BS228*BS207+BT228*BT207+BU228*BU207+BV228*BV207+BW228*BW207+BX228*BX207+BY228*BY207+BZ228*BZ207+CA228*CA207+CB228*CB207+CC228*CC207</f>
        <v>0</v>
      </c>
      <c r="CO207" s="2387">
        <f>E229*E207+F229*F207+G229*G207+H229*H207+I229*I207+J229*J207+K229*K207+L229*L207+M229*M207+N229*N207+O229*O207+P229*P207+Q229*Q207+R229*R207+S229*S207+T229*T207+U229*U207+V229*V207+W229*W207+X229*X207+Y229*Y207+Z229*Z207+AA229*AA207+AB229*AB207+AC229*AC207+AD229*AD207+AE229*AE207+AF229*AF207+AG229*AG207+AH229*AH207+AI229*AI207+AJ229*AJ207+AK229*AK207+AL229*AL207+AM229*AM207+AN229*AN207+AO229*AO207+AP229*AP207+AQ229*AQ207+AR229*AR207+AS229*AS207+AT229*AT207+AU229*AU207+AV229*AV207+AW229*AW207+AX229*AX207+AY229*AY207+AZ229*AZ207+BA229*BA207+BB229*BB207+BC229*BC207+BD229*BD207+BE229*BE207+BF229*BF207+BG229*BG207+BH229*BH207+BI229*BI207+BJ229*BJ207+BK229*BK207+BL229*BL207+BM229*BM207+BN229*BN207+BO229*BO207+BP229*BP207+BQ229*BQ207+BR229*BR207+BS229*BS207+BT229*BT207+BU229*BU207+BV229*BV207+BW229*BW207+BX229*BX207+BY229*BY207+BZ229*BZ207+CA229*CA207+CB229*CB207+CC229*CC207</f>
        <v>0</v>
      </c>
      <c r="CP207" s="2387">
        <f>E230*E207+F230*F207+G230*G207+H230*H207+I230*I207+J230*J207+K230*K207+L230*L207+M230*M207+N230*N207+O230*O207+P230*P207+Q230*Q207+R230*R207+S230*S207+T230*T207+U230*U207+V230*V207+W230*W207+X230*X207+Y230*Y207+Z230*Z207+AA230*AA207+AB230*AB207+AC230*AC207+AD230*AD207+AE230*AE207+AF230*AF207+AG230*AG207+AH230*AH207+AI230*AI207+AJ230*AJ207+AK230*AK207+AL230*AL207+AM230*AM207+AN230*AN207+AO230*AO207+AP230*AP207+AQ230*AQ207+AR230*AR207+AS230*AS207+AT230*AT207+AU230*AU207+AV230*AV207+AW230*AW207+AX230*AX207+AY230*AY207+AZ230*AZ207+BA230*BA207+BB230*BB207+BC230*BC207+BD230*BD207+BE230*BE207+BF230*BF207+BG230*BG207+BH230*BH207+BI230*BI207+BJ230*BJ207+BK230*BK207+BL230*BL207+BM230*BM207+BN230*BN207+BO230*BO207+BP230*BP207+BQ230*BQ207+BR230*BR207+BS230*BS207+BT230*BT207+BU230*BU207+BV230*BV207+BW230*BW207+BX230*BX207+BY230*BY207+BZ230*BZ207+CA230*CA207+CB230*CB207+CC230*CC207</f>
        <v>0</v>
      </c>
    </row>
    <row r="208" spans="2:94" x14ac:dyDescent="0.25">
      <c r="B208" s="1598">
        <v>89</v>
      </c>
      <c r="C208" s="676" t="s">
        <v>3226</v>
      </c>
      <c r="D208" s="677" t="s">
        <v>3220</v>
      </c>
      <c r="E208" s="989">
        <f>0</f>
        <v>0</v>
      </c>
      <c r="F208" s="989">
        <f>0</f>
        <v>0</v>
      </c>
      <c r="G208" s="989">
        <f>0</f>
        <v>0</v>
      </c>
      <c r="H208" s="989">
        <f>0</f>
        <v>0</v>
      </c>
      <c r="I208" s="989">
        <f>0</f>
        <v>0</v>
      </c>
      <c r="J208" s="989">
        <f>0</f>
        <v>0</v>
      </c>
      <c r="K208" s="989">
        <f>0</f>
        <v>0</v>
      </c>
      <c r="L208" s="989">
        <f>0</f>
        <v>0</v>
      </c>
      <c r="M208" s="989">
        <f>0</f>
        <v>0</v>
      </c>
      <c r="N208" s="989">
        <f>0</f>
        <v>0</v>
      </c>
      <c r="O208" s="989">
        <f>0</f>
        <v>0</v>
      </c>
      <c r="P208" s="989">
        <f>0</f>
        <v>0</v>
      </c>
      <c r="Q208" s="996">
        <f>0</f>
        <v>0</v>
      </c>
      <c r="R208" s="989">
        <f>0</f>
        <v>0</v>
      </c>
      <c r="S208" s="989">
        <f>0</f>
        <v>0</v>
      </c>
      <c r="T208" s="989">
        <f>0</f>
        <v>0</v>
      </c>
      <c r="U208" s="989">
        <f>0</f>
        <v>0</v>
      </c>
      <c r="V208" s="989">
        <f>0</f>
        <v>0</v>
      </c>
      <c r="W208" s="989">
        <f>0</f>
        <v>0</v>
      </c>
      <c r="X208" s="989">
        <f>0</f>
        <v>0</v>
      </c>
      <c r="Y208" s="989">
        <f>0</f>
        <v>0</v>
      </c>
      <c r="Z208" s="989">
        <f>0</f>
        <v>0</v>
      </c>
      <c r="AA208" s="989">
        <f>0</f>
        <v>0</v>
      </c>
      <c r="AB208" s="989">
        <f>0</f>
        <v>0</v>
      </c>
      <c r="AC208" s="989">
        <f>0</f>
        <v>0</v>
      </c>
      <c r="AD208" s="989">
        <f>0</f>
        <v>0</v>
      </c>
      <c r="AE208" s="989">
        <f>0</f>
        <v>0</v>
      </c>
      <c r="AF208" s="989">
        <f>0</f>
        <v>0</v>
      </c>
      <c r="AG208" s="989">
        <f>0</f>
        <v>0</v>
      </c>
      <c r="AH208" s="989">
        <f>0</f>
        <v>0</v>
      </c>
      <c r="AI208" s="989">
        <f>0</f>
        <v>0</v>
      </c>
      <c r="AJ208" s="989">
        <f>0</f>
        <v>0</v>
      </c>
      <c r="AK208" s="989">
        <f>1</f>
        <v>1</v>
      </c>
      <c r="AL208" s="989">
        <f>0</f>
        <v>0</v>
      </c>
      <c r="AM208" s="989">
        <f>0</f>
        <v>0</v>
      </c>
      <c r="AN208" s="989">
        <f>0</f>
        <v>0</v>
      </c>
      <c r="AO208" s="989">
        <f>0</f>
        <v>0</v>
      </c>
      <c r="AP208" s="989">
        <f>0</f>
        <v>0</v>
      </c>
      <c r="AQ208" s="989">
        <f>0</f>
        <v>0</v>
      </c>
      <c r="AR208" s="989">
        <f>0</f>
        <v>0</v>
      </c>
      <c r="AS208" s="989">
        <f>0</f>
        <v>0</v>
      </c>
      <c r="AT208" s="989">
        <f>0</f>
        <v>0</v>
      </c>
      <c r="AU208" s="996">
        <f>0</f>
        <v>0</v>
      </c>
      <c r="AV208" s="996">
        <f>0</f>
        <v>0</v>
      </c>
      <c r="AW208" s="996">
        <f>0</f>
        <v>0</v>
      </c>
      <c r="AX208" s="996">
        <f>0</f>
        <v>0</v>
      </c>
      <c r="AY208" s="996">
        <f>0</f>
        <v>0</v>
      </c>
      <c r="AZ208" s="996">
        <f>0</f>
        <v>0</v>
      </c>
      <c r="BA208" s="996">
        <f>0</f>
        <v>0</v>
      </c>
      <c r="BB208" s="996">
        <f>0</f>
        <v>0</v>
      </c>
      <c r="BC208" s="996">
        <f>0</f>
        <v>0</v>
      </c>
      <c r="BD208" s="996">
        <f>0</f>
        <v>0</v>
      </c>
      <c r="BE208" s="996">
        <f>0</f>
        <v>0</v>
      </c>
      <c r="BF208" s="996">
        <f>0</f>
        <v>0</v>
      </c>
      <c r="BG208" s="996">
        <f>0</f>
        <v>0</v>
      </c>
      <c r="BH208" s="996">
        <f>0</f>
        <v>0</v>
      </c>
      <c r="BI208" s="996">
        <f>0</f>
        <v>0</v>
      </c>
      <c r="BJ208" s="996">
        <f>0</f>
        <v>0</v>
      </c>
      <c r="BK208" s="996">
        <f>0</f>
        <v>0</v>
      </c>
      <c r="BL208" s="1642">
        <f>0</f>
        <v>0</v>
      </c>
      <c r="BM208" s="996">
        <f>0</f>
        <v>0</v>
      </c>
      <c r="BN208" s="996">
        <f>0</f>
        <v>0</v>
      </c>
      <c r="BO208" s="996">
        <f>0</f>
        <v>0</v>
      </c>
      <c r="BP208" s="1432">
        <f>0</f>
        <v>0</v>
      </c>
      <c r="BQ208" s="2383">
        <f>0</f>
        <v>0</v>
      </c>
      <c r="BR208" s="989">
        <f>0</f>
        <v>0</v>
      </c>
      <c r="BS208" s="989">
        <f>0</f>
        <v>0</v>
      </c>
      <c r="BT208" s="989">
        <f>0</f>
        <v>0</v>
      </c>
      <c r="BU208" s="989">
        <f>-1</f>
        <v>-1</v>
      </c>
      <c r="BV208" s="989">
        <f>0</f>
        <v>0</v>
      </c>
      <c r="BW208" s="989">
        <f>0</f>
        <v>0</v>
      </c>
      <c r="BX208" s="996">
        <f>0</f>
        <v>0</v>
      </c>
      <c r="BY208" s="996">
        <f>0</f>
        <v>0</v>
      </c>
      <c r="BZ208" s="996">
        <f>0</f>
        <v>0</v>
      </c>
      <c r="CA208" s="996">
        <f>0</f>
        <v>0</v>
      </c>
      <c r="CB208" s="996">
        <f>0</f>
        <v>0</v>
      </c>
      <c r="CC208" s="996">
        <f>0</f>
        <v>0</v>
      </c>
      <c r="CD208" s="1663">
        <f>k_LaGO2_bub*(S_GO2_bub_sat-S_O2)</f>
        <v>800</v>
      </c>
      <c r="CF208" s="2385">
        <f>E220*E208+F220*F208+G220*G208+H220*H208+I220*I208+J220*J208+K220*K208+L220*L208+M220*M208+N220*N208+O220*O208+P220*P208+Q220*Q208+R220*R208+S220*S208+T220*T208+U220*U208+V220*V208+W220*W208+X220*X208+Y220*Y208+Z220*Z208+AA220*AA208+AB220*AB208+AC220*AC208+AD220*AD208+AE220*AE208+AF220*AF208+AG220*AG208+AH220*AH208+AI220*AI208+AJ220*AJ208+AK220*AK208+AL220*AL208+AM220*AM208+AN220*AN208+AO220*AO208+AP220*AP208+AQ220*AQ208+AR220*AR208+AS220*AS208+AT220*AT208+AU220*AU208+AV220*AV208+AW220*AW208+AX220*AX208+AY220*AY208+AZ220*AZ208+BA220*BA208+BB220*BB208+BC220*BC208+BD220*BD208+BE220*BE208+BF220*BF208+BG220*BG208+BH220*BH208+BI220*BI208+BJ220*BJ208+BK220*BK208+BL220*BL208+BM220*BM208+BN220*BN208+BO220*BO208+BP220*BP208+BQ220*BQ208+BR220*BR208+BS220*BS208+BT220*BT208+BU220*BU208+BV220*BV208+BW220*BW208+BX220*BX208+BY220*BY208+BZ220*BZ208+CA220*CA208+CB220*CB208+CC220*CC208</f>
        <v>0</v>
      </c>
      <c r="CG208" s="2385">
        <f>E221*E208+F221*F208+G221*G208+H221*H208+I221*I208+J221*J208+K221*K208+L221*L208+M221*M208+N221*N208+O221*O208+P221*P208+Q221*Q208+R221*R208+S221*S208+T221*T208+U221*U208+V221*V208+W221*W208+X221*X208+Y221*Y208+Z221*Z208+AA221*AA208+AB221*AB208+AC221*AC208+AD221*AD208+AE221*AE208+AF221*AF208+AG221*AG208+AH221*AH208+AI221*AI208+AJ221*AJ208+AK221*AK208+AL221*AL208+AM221*AM208+AN221*AN208+AO221*AO208+AP221*AP208+AQ221*AQ208+AR221*AR208+AS221*AS208+AT221*AT208+AU221*AU208+AV221*AV208+AW221*AW208+AX221*AX208+AY221*AY208+AZ221*AZ208+BA221*BA208+BB221*BB208+BC221*BC208+BD221*BD208+BE221*BE208+BF221*BF208+BG221*BG208+BH221*BH208+BI221*BI208+BJ221*BJ208+BK221*BK208+BL221*BL208+BM221*BM208+BN221*BN208+BO221*BO208+BP221*BP208+BQ221*BQ208+BR221*BR208+BS221*BS208+BT221*BT208+BU221*BU208+BV221*BV208+BW221*BW208+BX221*BX208+BY221*BY208+BZ221*BZ208+CA221*CA208+CB221*CB208+CC221*CC208</f>
        <v>0</v>
      </c>
      <c r="CH208" s="2386">
        <f>E222*E208+F222*F208+G222*G208+H222*H208+I222*I208+J222*J208+K222*K208+L222*L208+M222*M208+N222*N208+O222*O208+P222*P208+Q222*Q208+R222*R208+S222*S208+T222*T208+U222*U208+V222*V208+W222*W208+X222*X208+Y222*Y208+Z222*Z208+AA222*AA208+AB222*AB208+AC222*AC208+AD222*AD208+AE222*AE208+AF222*AF208+AG222*AG208+AH222*AH208+AI222*AI208+AJ222*AJ208+AK222*AK208+AL222*AL208+AM222*AM208+AN222*AN208+AO222*AO208+AP222*AP208+AQ222*AQ208+AR222*AR208+AS222*AS208+AT222*AT208+AU222*AU208+AV222*AV208+AW222*AW208+AX222*AX208+AY222*AY208+AZ222*AZ208+BA222*BA208+BB222*BB208+BC222*BC208+BD222*BD208+BE222*BE208+BF222*BF208+BG222*BG208+BH222*BH208+BI222*BI208+BJ222*BJ208+BK222*BK208+BL222*BL208+BM222*BM208+BN222*BN208+BO222*BO208+BP222*BP208+BQ222*BQ208+BR222*BR208+BS222*BS208+BT222*BT208+BU222*BU208+BV222*BV208+BW222*BW208+BX222*BX208+BY222*BY208+BZ222*BZ208+CA222*CA208+CB222*CB208+CC222*CC208</f>
        <v>0</v>
      </c>
      <c r="CI208" s="2387">
        <f>E223*E208+F223*F208+G223*G208+H223*H208+I223*I208+J223*J208+K223*K208+L223*L208+M223*M208+N223*N208+O223*O208+P223*P208+Q223*Q208+R223*R208+S223*S208+T223*T208+U223*U208+V223*V208+W223*W208+X223*X208+Y223*Y208+Z223*Z208+AA223*AA208+AB223*AB208+AC223*AC208+AD223*AD208+AE223*AE208+AF223*AF208+AG223*AG208+AH223*AH208+AI223*AI208+AJ223*AJ208+AK223*AK208+AL223*AL208+AM223*AM208+AN223*AN208+AO223*AO208+AP223*AP208+AQ223*AQ208+AR223*AR208+AS223*AS208+AT223*AT208+AU223*AU208+AV223*AV208+AW223*AW208+AX223*AX208+AY223*AY208+AZ223*AZ208+BA223*BA208+BB223*BB208+BC223*BC208+BD223*BD208+BE223*BE208+BF223*BF208+BG223*BG208+BH223*BH208+BI223*BI208+BJ223*BJ208+BK223*BK208+BL223*BL208+BM223*BM208+BN223*BN208+BO223*BO208+BP223*BP208+BQ223*BQ208+BR223*BR208+BS223*BS208+BT223*BT208+BU223*BU208+BV223*BV208+BW223*BW208+BX223*BX208+BY223*BY208+BZ223*BZ208+CA223*CA208+CB223*CB208+CC223*CC208</f>
        <v>0</v>
      </c>
      <c r="CJ208" s="2387">
        <f>E224*E208+F224*F208+G224*G208+H224*H208+I224*I208+J224*J208+K224*K208+L224*L208+M224*M208+N224*N208+O224*O208+P224*P208+Q224*Q208+R224*R208+S224*S208+T224*T208+U224*U208+V224*V208+W224*W208+X224*X208+Y224*Y208+Z224*Z208+AA224*AA208+AB224*AB208+AC224*AC208+AD224*AD208+AE224*AE208+AF224*AF208+AG224*AG208+AH224*AH208+AI224*AI208+AJ224*AJ208+AK224*AK208+AL224*AL208+AM224*AM208+AN224*AN208+AO224*AO208+AP224*AP208+AQ224*AQ208+AR224*AR208+AS224*AS208+AT224*AT208+AU224*AU208+AV224*AV208+AW224*AW208+AX224*AX208+AY224*AY208+AZ224*AZ208+BA224*BA208+BB224*BB208+BC224*BC208+BD224*BD208+BE224*BE208+BF224*BF208+BG224*BG208+BH224*BH208+BI224*BI208+BJ224*BJ208+BK224*BK208+BL224*BL208+BM224*BM208+BN224*BN208+BO224*BO208+BP224*BP208+BQ224*BQ208+BR224*BR208+BS224*BS208+BT224*BT208+BU224*BU208+BV224*BV208+BW224*BW208+BX224*BX208+BY224*BY208+BZ224*BZ208+CA224*CA208+CB224*CB208+CC224*CC208</f>
        <v>0</v>
      </c>
      <c r="CK208" s="2387">
        <f>E225*E208+F225*F208+G225*G208+H225*H208+I225*I208+J225*J208+K225*K208+L225*L208+M225*M208+N225*N208+O225*O208+P225*P208+Q225*Q208+R225*R208+S225*S208+T225*T208+U225*U208+V225*V208+W225*W208+X225*X208+Y225*Y208+Z225*Z208+AA225*AA208+AB225*AB208+AC225*AC208+AD225*AD208+AE225*AE208+AF225*AF208+AG225*AG208+AH225*AH208+AI225*AI208+AJ225*AJ208+AK225*AK208+AL225*AL208+AM225*AM208+AN225*AN208+AO225*AO208+AP225*AP208+AQ225*AQ208+AR225*AR208+AS225*AS208+AT225*AT208+AU225*AU208+AV225*AV208+AW225*AW208+AX225*AX208+AY225*AY208+AZ225*AZ208+BA225*BA208+BB225*BB208+BC225*BC208+BD225*BD208+BE225*BE208+BF225*BF208+BG225*BG208+BH225*BH208+BI225*BI208+BJ225*BJ208+BK225*BK208+BL225*BL208+BM225*BM208+BN225*BN208+BO225*BO208+BP225*BP208+BQ225*BQ208+BR225*BR208+BS225*BS208+BT225*BT208+BU225*BU208+BV225*BV208+BW225*BW208+BX225*BX208+BY225*BY208+BZ225*BZ208+CA225*CA208+CB225*CB208+CC225*CC208</f>
        <v>0</v>
      </c>
      <c r="CL208" s="2387">
        <f>E226*E208+F226*F208+G226*G208+H226*H208+I226*I208+J226*J208+K226*K208+L226*L208+M226*M208+N226*N208+O226*O208+P226*P208+Q226*Q208+R226*R208+S226*S208+T226*T208+U226*U208+V226*V208+W226*W208+X226*X208+Y226*Y208+Z226*Z208+AA226*AA208+AB226*AB208+AC226*AC208+AD226*AD208+AE226*AE208+AF226*AF208+AG226*AG208+AH226*AH208+AI226*AI208+AJ226*AJ208+AK226*AK208+AL226*AL208+AM226*AM208+AN226*AN208+AO226*AO208+AP226*AP208+AQ226*AQ208+AR226*AR208+AS226*AS208+AT226*AT208+AU226*AU208+AV226*AV208+AW226*AW208+AX226*AX208+AY226*AY208+AZ226*AZ208+BA226*BA208+BB226*BB208+BC226*BC208+BD226*BD208+BE226*BE208+BF226*BF208+BG226*BG208+BH226*BH208+BI226*BI208+BJ226*BJ208+BK226*BK208+BL226*BL208+BM226*BM208+BN226*BN208+BO226*BO208+BP226*BP208+BQ226*BQ208+BR226*BR208+BS226*BS208+BT226*BT208+BU226*BU208+BV226*BV208+BW226*BW208+BX226*BX208+BY226*BY208+BZ226*BZ208+CA226*CA208+CB226*CB208+CC226*CC208</f>
        <v>0</v>
      </c>
      <c r="CM208" s="2387">
        <f>E227*E208+F227*F208+G227*G208+H227*H208+I227*I208+J227*J208+K227*K208+L227*L208+M227*M208+N227*N208+O227*O208+P227*P208+Q227*Q208+R227*R208+S227*S208+T227*T208+U227*U208+V227*V208+W227*W208+X227*X208+Y227*Y208+Z227*Z208+AA227*AA208+AB227*AB208+AC227*AC208+AD227*AD208+AE227*AE208+AF227*AF208+AG227*AG208+AH227*AH208+AI227*AI208+AJ227*AJ208+AK227*AK208+AL227*AL208+AM227*AM208+AN227*AN208+AO227*AO208+AP227*AP208+AQ227*AQ208+AR227*AR208+AS227*AS208+AT227*AT208+AU227*AU208+AV227*AV208+AW227*AW208+AX227*AX208+AY227*AY208+AZ227*AZ208+BA227*BA208+BB227*BB208+BC227*BC208+BD227*BD208+BE227*BE208+BF227*BF208+BG227*BG208+BH227*BH208+BI227*BI208+BJ227*BJ208+BK227*BK208+BL227*BL208+BM227*BM208+BN227*BN208+BO227*BO208+BP227*BP208+BQ227*BQ208+BR227*BR208+BS227*BS208+BT227*BT208+BU227*BU208+BV227*BV208+BW227*BW208+BX227*BX208+BY227*BY208+BZ227*BZ208+CA227*CA208+CB227*CB208+CC227*CC208</f>
        <v>0</v>
      </c>
      <c r="CN208" s="2387">
        <f>E228*E208+F228*F208+G228*G208+H228*H208+I228*I208+J228*J208+K228*K208+L228*L208+M228*M208+N228*N208+O228*O208+P228*P208+Q228*Q208+R228*R208+S228*S208+T228*T208+U228*U208+V228*V208+W228*W208+X228*X208+Y228*Y208+Z228*Z208+AA228*AA208+AB228*AB208+AC228*AC208+AD228*AD208+AE228*AE208+AF228*AF208+AG228*AG208+AH228*AH208+AI228*AI208+AJ228*AJ208+AK228*AK208+AL228*AL208+AM228*AM208+AN228*AN208+AO228*AO208+AP228*AP208+AQ228*AQ208+AR228*AR208+AS228*AS208+AT228*AT208+AU228*AU208+AV228*AV208+AW228*AW208+AX228*AX208+AY228*AY208+AZ228*AZ208+BA228*BA208+BB228*BB208+BC228*BC208+BD228*BD208+BE228*BE208+BF228*BF208+BG228*BG208+BH228*BH208+BI228*BI208+BJ228*BJ208+BK228*BK208+BL228*BL208+BM228*BM208+BN228*BN208+BO228*BO208+BP228*BP208+BQ228*BQ208+BR228*BR208+BS228*BS208+BT228*BT208+BU228*BU208+BV228*BV208+BW228*BW208+BX228*BX208+BY228*BY208+BZ228*BZ208+CA228*CA208+CB228*CB208+CC228*CC208</f>
        <v>0</v>
      </c>
      <c r="CO208" s="2387">
        <f>E229*E208+F229*F208+G229*G208+H229*H208+I229*I208+J229*J208+K229*K208+L229*L208+M229*M208+N229*N208+O229*O208+P229*P208+Q229*Q208+R229*R208+S229*S208+T229*T208+U229*U208+V229*V208+W229*W208+X229*X208+Y229*Y208+Z229*Z208+AA229*AA208+AB229*AB208+AC229*AC208+AD229*AD208+AE229*AE208+AF229*AF208+AG229*AG208+AH229*AH208+AI229*AI208+AJ229*AJ208+AK229*AK208+AL229*AL208+AM229*AM208+AN229*AN208+AO229*AO208+AP229*AP208+AQ229*AQ208+AR229*AR208+AS229*AS208+AT229*AT208+AU229*AU208+AV229*AV208+AW229*AW208+AX229*AX208+AY229*AY208+AZ229*AZ208+BA229*BA208+BB229*BB208+BC229*BC208+BD229*BD208+BE229*BE208+BF229*BF208+BG229*BG208+BH229*BH208+BI229*BI208+BJ229*BJ208+BK229*BK208+BL229*BL208+BM229*BM208+BN229*BN208+BO229*BO208+BP229*BP208+BQ229*BQ208+BR229*BR208+BS229*BS208+BT229*BT208+BU229*BU208+BV229*BV208+BW229*BW208+BX229*BX208+BY229*BY208+BZ229*BZ208+CA229*CA208+CB229*CB208+CC229*CC208</f>
        <v>0</v>
      </c>
      <c r="CP208" s="2387">
        <f>E230*E208+F230*F208+G230*G208+H230*H208+I230*I208+J230*J208+K230*K208+L230*L208+M230*M208+N230*N208+O230*O208+P230*P208+Q230*Q208+R230*R208+S230*S208+T230*T208+U230*U208+V230*V208+W230*W208+X230*X208+Y230*Y208+Z230*Z208+AA230*AA208+AB230*AB208+AC230*AC208+AD230*AD208+AE230*AE208+AF230*AF208+AG230*AG208+AH230*AH208+AI230*AI208+AJ230*AJ208+AK230*AK208+AL230*AL208+AM230*AM208+AN230*AN208+AO230*AO208+AP230*AP208+AQ230*AQ208+AR230*AR208+AS230*AS208+AT230*AT208+AU230*AU208+AV230*AV208+AW230*AW208+AX230*AX208+AY230*AY208+AZ230*AZ208+BA230*BA208+BB230*BB208+BC230*BC208+BD230*BD208+BE230*BE208+BF230*BF208+BG230*BG208+BH230*BH208+BI230*BI208+BJ230*BJ208+BK230*BK208+BL230*BL208+BM230*BM208+BN230*BN208+BO230*BO208+BP230*BP208+BQ230*BQ208+BR230*BR208+BS230*BS208+BT230*BT208+BU230*BU208+BV230*BV208+BW230*BW208+BX230*BX208+BY230*BY208+BZ230*BZ208+CA230*CA208+CB230*CB208+CC230*CC208</f>
        <v>0</v>
      </c>
    </row>
    <row r="209" spans="2:94" x14ac:dyDescent="0.25">
      <c r="B209" s="1598">
        <v>90</v>
      </c>
      <c r="C209" s="676" t="s">
        <v>3227</v>
      </c>
      <c r="D209" s="677" t="s">
        <v>3221</v>
      </c>
      <c r="E209" s="989">
        <f>0</f>
        <v>0</v>
      </c>
      <c r="F209" s="989">
        <f>0</f>
        <v>0</v>
      </c>
      <c r="G209" s="989">
        <f>0</f>
        <v>0</v>
      </c>
      <c r="H209" s="989">
        <f>0</f>
        <v>0</v>
      </c>
      <c r="I209" s="989">
        <f>0</f>
        <v>0</v>
      </c>
      <c r="J209" s="989">
        <f>0</f>
        <v>0</v>
      </c>
      <c r="K209" s="989">
        <f>0</f>
        <v>0</v>
      </c>
      <c r="L209" s="989">
        <f>0</f>
        <v>0</v>
      </c>
      <c r="M209" s="989">
        <f>0</f>
        <v>0</v>
      </c>
      <c r="N209" s="989">
        <f>0</f>
        <v>0</v>
      </c>
      <c r="O209" s="989">
        <f>0</f>
        <v>0</v>
      </c>
      <c r="P209" s="989">
        <f>0</f>
        <v>0</v>
      </c>
      <c r="Q209" s="996">
        <f>0</f>
        <v>0</v>
      </c>
      <c r="R209" s="989">
        <f>0</f>
        <v>0</v>
      </c>
      <c r="S209" s="989">
        <f>0</f>
        <v>0</v>
      </c>
      <c r="T209" s="989">
        <f>0</f>
        <v>0</v>
      </c>
      <c r="U209" s="989">
        <f>0</f>
        <v>0</v>
      </c>
      <c r="V209" s="989">
        <f>0</f>
        <v>0</v>
      </c>
      <c r="W209" s="989">
        <f>0</f>
        <v>0</v>
      </c>
      <c r="X209" s="989">
        <f>0</f>
        <v>0</v>
      </c>
      <c r="Y209" s="989">
        <f>1</f>
        <v>1</v>
      </c>
      <c r="Z209" s="989">
        <f>0</f>
        <v>0</v>
      </c>
      <c r="AA209" s="989">
        <f>0</f>
        <v>0</v>
      </c>
      <c r="AB209" s="989">
        <f>0</f>
        <v>0</v>
      </c>
      <c r="AC209" s="989">
        <f>0</f>
        <v>0</v>
      </c>
      <c r="AD209" s="989">
        <f>0</f>
        <v>0</v>
      </c>
      <c r="AE209" s="989">
        <f>0</f>
        <v>0</v>
      </c>
      <c r="AF209" s="989">
        <f>0</f>
        <v>0</v>
      </c>
      <c r="AG209" s="989">
        <f>0</f>
        <v>0</v>
      </c>
      <c r="AH209" s="989">
        <f>0</f>
        <v>0</v>
      </c>
      <c r="AI209" s="989">
        <f>0</f>
        <v>0</v>
      </c>
      <c r="AJ209" s="989">
        <f>0</f>
        <v>0</v>
      </c>
      <c r="AK209" s="989">
        <f>0</f>
        <v>0</v>
      </c>
      <c r="AL209" s="989">
        <f>0</f>
        <v>0</v>
      </c>
      <c r="AM209" s="989">
        <f>0</f>
        <v>0</v>
      </c>
      <c r="AN209" s="989">
        <f>0</f>
        <v>0</v>
      </c>
      <c r="AO209" s="989">
        <f>0</f>
        <v>0</v>
      </c>
      <c r="AP209" s="989">
        <f>0</f>
        <v>0</v>
      </c>
      <c r="AQ209" s="989">
        <f>0</f>
        <v>0</v>
      </c>
      <c r="AR209" s="989">
        <f>0</f>
        <v>0</v>
      </c>
      <c r="AS209" s="989">
        <f>0</f>
        <v>0</v>
      </c>
      <c r="AT209" s="989">
        <f>0</f>
        <v>0</v>
      </c>
      <c r="AU209" s="996">
        <f>0</f>
        <v>0</v>
      </c>
      <c r="AV209" s="996">
        <f>0</f>
        <v>0</v>
      </c>
      <c r="AW209" s="996">
        <f>0</f>
        <v>0</v>
      </c>
      <c r="AX209" s="996">
        <f>0</f>
        <v>0</v>
      </c>
      <c r="AY209" s="996">
        <f>0</f>
        <v>0</v>
      </c>
      <c r="AZ209" s="996">
        <f>0</f>
        <v>0</v>
      </c>
      <c r="BA209" s="996">
        <f>0</f>
        <v>0</v>
      </c>
      <c r="BB209" s="996">
        <f>0</f>
        <v>0</v>
      </c>
      <c r="BC209" s="996">
        <f>0</f>
        <v>0</v>
      </c>
      <c r="BD209" s="996">
        <f>0</f>
        <v>0</v>
      </c>
      <c r="BE209" s="996">
        <f>0</f>
        <v>0</v>
      </c>
      <c r="BF209" s="996">
        <f>0</f>
        <v>0</v>
      </c>
      <c r="BG209" s="996">
        <f>0</f>
        <v>0</v>
      </c>
      <c r="BH209" s="996">
        <f>0</f>
        <v>0</v>
      </c>
      <c r="BI209" s="996">
        <f>0</f>
        <v>0</v>
      </c>
      <c r="BJ209" s="996">
        <f>0</f>
        <v>0</v>
      </c>
      <c r="BK209" s="996">
        <f>0</f>
        <v>0</v>
      </c>
      <c r="BL209" s="1642">
        <f>0</f>
        <v>0</v>
      </c>
      <c r="BM209" s="996">
        <f>0</f>
        <v>0</v>
      </c>
      <c r="BN209" s="996">
        <f>0</f>
        <v>0</v>
      </c>
      <c r="BO209" s="996">
        <f>0</f>
        <v>0</v>
      </c>
      <c r="BP209" s="1432">
        <f>0</f>
        <v>0</v>
      </c>
      <c r="BQ209" s="2383">
        <f>0</f>
        <v>0</v>
      </c>
      <c r="BR209" s="989">
        <f>0</f>
        <v>0</v>
      </c>
      <c r="BS209" s="989">
        <f>0</f>
        <v>0</v>
      </c>
      <c r="BT209" s="989">
        <f>0</f>
        <v>0</v>
      </c>
      <c r="BU209" s="989">
        <f>0</f>
        <v>0</v>
      </c>
      <c r="BV209" s="989">
        <f>-1</f>
        <v>-1</v>
      </c>
      <c r="BW209" s="989">
        <f>0</f>
        <v>0</v>
      </c>
      <c r="BX209" s="996">
        <f>0</f>
        <v>0</v>
      </c>
      <c r="BY209" s="996">
        <f>0</f>
        <v>0</v>
      </c>
      <c r="BZ209" s="996">
        <f>0</f>
        <v>0</v>
      </c>
      <c r="CA209" s="996">
        <f>0</f>
        <v>0</v>
      </c>
      <c r="CB209" s="996">
        <f>0</f>
        <v>0</v>
      </c>
      <c r="CC209" s="996">
        <f>0</f>
        <v>0</v>
      </c>
      <c r="CD209" s="1663">
        <f>k_transfer_GNH3_bub</f>
        <v>0</v>
      </c>
      <c r="CF209" s="2385">
        <f>E220*E209+F220*F209+G220*G209+H220*H209+I220*I209+J220*J209+K220*K209+L220*L209+M220*M209+N220*N209+O220*O209+P220*P209+Q220*Q209+R220*R209+S220*S209+T220*T209+U220*U209+V220*V209+W220*W209+X220*X209+Y220*Y209+Z220*Z209+AA220*AA209+AB220*AB209+AC220*AC209+AD220*AD209+AE220*AE209+AF220*AF209+AG220*AG209+AH220*AH209+AI220*AI209+AJ220*AJ209+AK220*AK209+AL220*AL209+AM220*AM209+AN220*AN209+AO220*AO209+AP220*AP209+AQ220*AQ209+AR220*AR209+AS220*AS209+AT220*AT209+AU220*AU209+AV220*AV209+AW220*AW209+AX220*AX209+AY220*AY209+AZ220*AZ209+BA220*BA209+BB220*BB209+BC220*BC209+BD220*BD209+BE220*BE209+BF220*BF209+BG220*BG209+BH220*BH209+BI220*BI209+BJ220*BJ209+BK220*BK209+BL220*BL209+BM220*BM209+BN220*BN209+BO220*BO209+BP220*BP209+BQ220*BQ209+BR220*BR209+BS220*BS209+BT220*BT209+BU220*BU209+BV220*BV209+BW220*BW209+BX220*BX209+BY220*BY209+BZ220*BZ209+CA220*CA209+CB220*CB209+CC220*CC209</f>
        <v>0</v>
      </c>
      <c r="CG209" s="2385">
        <f>E221*E209+F221*F209+G221*G209+H221*H209+I221*I209+J221*J209+K221*K209+L221*L209+M221*M209+N221*N209+O221*O209+P221*P209+Q221*Q209+R221*R209+S221*S209+T221*T209+U221*U209+V221*V209+W221*W209+X221*X209+Y221*Y209+Z221*Z209+AA221*AA209+AB221*AB209+AC221*AC209+AD221*AD209+AE221*AE209+AF221*AF209+AG221*AG209+AH221*AH209+AI221*AI209+AJ221*AJ209+AK221*AK209+AL221*AL209+AM221*AM209+AN221*AN209+AO221*AO209+AP221*AP209+AQ221*AQ209+AR221*AR209+AS221*AS209+AT221*AT209+AU221*AU209+AV221*AV209+AW221*AW209+AX221*AX209+AY221*AY209+AZ221*AZ209+BA221*BA209+BB221*BB209+BC221*BC209+BD221*BD209+BE221*BE209+BF221*BF209+BG221*BG209+BH221*BH209+BI221*BI209+BJ221*BJ209+BK221*BK209+BL221*BL209+BM221*BM209+BN221*BN209+BO221*BO209+BP221*BP209+BQ221*BQ209+BR221*BR209+BS221*BS209+BT221*BT209+BU221*BU209+BV221*BV209+BW221*BW209+BX221*BX209+BY221*BY209+BZ221*BZ209+CA221*CA209+CB221*CB209+CC221*CC209</f>
        <v>0</v>
      </c>
      <c r="CH209" s="2386">
        <f>E222*E209+F222*F209+G222*G209+H222*H209+I222*I209+J222*J209+K222*K209+L222*L209+M222*M209+N222*N209+O222*O209+P222*P209+Q222*Q209+R222*R209+S222*S209+T222*T209+U222*U209+V222*V209+W222*W209+X222*X209+Y222*Y209+Z222*Z209+AA222*AA209+AB222*AB209+AC222*AC209+AD222*AD209+AE222*AE209+AF222*AF209+AG222*AG209+AH222*AH209+AI222*AI209+AJ222*AJ209+AK222*AK209+AL222*AL209+AM222*AM209+AN222*AN209+AO222*AO209+AP222*AP209+AQ222*AQ209+AR222*AR209+AS222*AS209+AT222*AT209+AU222*AU209+AV222*AV209+AW222*AW209+AX222*AX209+AY222*AY209+AZ222*AZ209+BA222*BA209+BB222*BB209+BC222*BC209+BD222*BD209+BE222*BE209+BF222*BF209+BG222*BG209+BH222*BH209+BI222*BI209+BJ222*BJ209+BK222*BK209+BL222*BL209+BM222*BM209+BN222*BN209+BO222*BO209+BP222*BP209+BQ222*BQ209+BR222*BR209+BS222*BS209+BT222*BT209+BU222*BU209+BV222*BV209+BW222*BW209+BX222*BX209+BY222*BY209+BZ222*BZ209+CA222*CA209+CB222*CB209+CC222*CC209</f>
        <v>0</v>
      </c>
      <c r="CI209" s="2387">
        <f>E223*E209+F223*F209+G223*G209+H223*H209+I223*I209+J223*J209+K223*K209+L223*L209+M223*M209+N223*N209+O223*O209+P223*P209+Q223*Q209+R223*R209+S223*S209+T223*T209+U223*U209+V223*V209+W223*W209+X223*X209+Y223*Y209+Z223*Z209+AA223*AA209+AB223*AB209+AC223*AC209+AD223*AD209+AE223*AE209+AF223*AF209+AG223*AG209+AH223*AH209+AI223*AI209+AJ223*AJ209+AK223*AK209+AL223*AL209+AM223*AM209+AN223*AN209+AO223*AO209+AP223*AP209+AQ223*AQ209+AR223*AR209+AS223*AS209+AT223*AT209+AU223*AU209+AV223*AV209+AW223*AW209+AX223*AX209+AY223*AY209+AZ223*AZ209+BA223*BA209+BB223*BB209+BC223*BC209+BD223*BD209+BE223*BE209+BF223*BF209+BG223*BG209+BH223*BH209+BI223*BI209+BJ223*BJ209+BK223*BK209+BL223*BL209+BM223*BM209+BN223*BN209+BO223*BO209+BP223*BP209+BQ223*BQ209+BR223*BR209+BS223*BS209+BT223*BT209+BU223*BU209+BV223*BV209+BW223*BW209+BX223*BX209+BY223*BY209+BZ223*BZ209+CA223*CA209+CB223*CB209+CC223*CC209</f>
        <v>0</v>
      </c>
      <c r="CJ209" s="2387">
        <f>E224*E209+F224*F209+G224*G209+H224*H209+I224*I209+J224*J209+K224*K209+L224*L209+M224*M209+N224*N209+O224*O209+P224*P209+Q224*Q209+R224*R209+S224*S209+T224*T209+U224*U209+V224*V209+W224*W209+X224*X209+Y224*Y209+Z224*Z209+AA224*AA209+AB224*AB209+AC224*AC209+AD224*AD209+AE224*AE209+AF224*AF209+AG224*AG209+AH224*AH209+AI224*AI209+AJ224*AJ209+AK224*AK209+AL224*AL209+AM224*AM209+AN224*AN209+AO224*AO209+AP224*AP209+AQ224*AQ209+AR224*AR209+AS224*AS209+AT224*AT209+AU224*AU209+AV224*AV209+AW224*AW209+AX224*AX209+AY224*AY209+AZ224*AZ209+BA224*BA209+BB224*BB209+BC224*BC209+BD224*BD209+BE224*BE209+BF224*BF209+BG224*BG209+BH224*BH209+BI224*BI209+BJ224*BJ209+BK224*BK209+BL224*BL209+BM224*BM209+BN224*BN209+BO224*BO209+BP224*BP209+BQ224*BQ209+BR224*BR209+BS224*BS209+BT224*BT209+BU224*BU209+BV224*BV209+BW224*BW209+BX224*BX209+BY224*BY209+BZ224*BZ209+CA224*CA209+CB224*CB209+CC224*CC209</f>
        <v>0</v>
      </c>
      <c r="CK209" s="2387">
        <f>E225*E209+F225*F209+G225*G209+H225*H209+I225*I209+J225*J209+K225*K209+L225*L209+M225*M209+N225*N209+O225*O209+P225*P209+Q225*Q209+R225*R209+S225*S209+T225*T209+U225*U209+V225*V209+W225*W209+X225*X209+Y225*Y209+Z225*Z209+AA225*AA209+AB225*AB209+AC225*AC209+AD225*AD209+AE225*AE209+AF225*AF209+AG225*AG209+AH225*AH209+AI225*AI209+AJ225*AJ209+AK225*AK209+AL225*AL209+AM225*AM209+AN225*AN209+AO225*AO209+AP225*AP209+AQ225*AQ209+AR225*AR209+AS225*AS209+AT225*AT209+AU225*AU209+AV225*AV209+AW225*AW209+AX225*AX209+AY225*AY209+AZ225*AZ209+BA225*BA209+BB225*BB209+BC225*BC209+BD225*BD209+BE225*BE209+BF225*BF209+BG225*BG209+BH225*BH209+BI225*BI209+BJ225*BJ209+BK225*BK209+BL225*BL209+BM225*BM209+BN225*BN209+BO225*BO209+BP225*BP209+BQ225*BQ209+BR225*BR209+BS225*BS209+BT225*BT209+BU225*BU209+BV225*BV209+BW225*BW209+BX225*BX209+BY225*BY209+BZ225*BZ209+CA225*CA209+CB225*CB209+CC225*CC209</f>
        <v>0</v>
      </c>
      <c r="CL209" s="2387">
        <f>E226*E209+F226*F209+G226*G209+H226*H209+I226*I209+J226*J209+K226*K209+L226*L209+M226*M209+N226*N209+O226*O209+P226*P209+Q226*Q209+R226*R209+S226*S209+T226*T209+U226*U209+V226*V209+W226*W209+X226*X209+Y226*Y209+Z226*Z209+AA226*AA209+AB226*AB209+AC226*AC209+AD226*AD209+AE226*AE209+AF226*AF209+AG226*AG209+AH226*AH209+AI226*AI209+AJ226*AJ209+AK226*AK209+AL226*AL209+AM226*AM209+AN226*AN209+AO226*AO209+AP226*AP209+AQ226*AQ209+AR226*AR209+AS226*AS209+AT226*AT209+AU226*AU209+AV226*AV209+AW226*AW209+AX226*AX209+AY226*AY209+AZ226*AZ209+BA226*BA209+BB226*BB209+BC226*BC209+BD226*BD209+BE226*BE209+BF226*BF209+BG226*BG209+BH226*BH209+BI226*BI209+BJ226*BJ209+BK226*BK209+BL226*BL209+BM226*BM209+BN226*BN209+BO226*BO209+BP226*BP209+BQ226*BQ209+BR226*BR209+BS226*BS209+BT226*BT209+BU226*BU209+BV226*BV209+BW226*BW209+BX226*BX209+BY226*BY209+BZ226*BZ209+CA226*CA209+CB226*CB209+CC226*CC209</f>
        <v>0</v>
      </c>
      <c r="CM209" s="2387">
        <f>E227*E209+F227*F209+G227*G209+H227*H209+I227*I209+J227*J209+K227*K209+L227*L209+M227*M209+N227*N209+O227*O209+P227*P209+Q227*Q209+R227*R209+S227*S209+T227*T209+U227*U209+V227*V209+W227*W209+X227*X209+Y227*Y209+Z227*Z209+AA227*AA209+AB227*AB209+AC227*AC209+AD227*AD209+AE227*AE209+AF227*AF209+AG227*AG209+AH227*AH209+AI227*AI209+AJ227*AJ209+AK227*AK209+AL227*AL209+AM227*AM209+AN227*AN209+AO227*AO209+AP227*AP209+AQ227*AQ209+AR227*AR209+AS227*AS209+AT227*AT209+AU227*AU209+AV227*AV209+AW227*AW209+AX227*AX209+AY227*AY209+AZ227*AZ209+BA227*BA209+BB227*BB209+BC227*BC209+BD227*BD209+BE227*BE209+BF227*BF209+BG227*BG209+BH227*BH209+BI227*BI209+BJ227*BJ209+BK227*BK209+BL227*BL209+BM227*BM209+BN227*BN209+BO227*BO209+BP227*BP209+BQ227*BQ209+BR227*BR209+BS227*BS209+BT227*BT209+BU227*BU209+BV227*BV209+BW227*BW209+BX227*BX209+BY227*BY209+BZ227*BZ209+CA227*CA209+CB227*CB209+CC227*CC209</f>
        <v>0</v>
      </c>
      <c r="CN209" s="2387">
        <f>E228*E209+F228*F209+G228*G209+H228*H209+I228*I209+J228*J209+K228*K209+L228*L209+M228*M209+N228*N209+O228*O209+P228*P209+Q228*Q209+R228*R209+S228*S209+T228*T209+U228*U209+V228*V209+W228*W209+X228*X209+Y228*Y209+Z228*Z209+AA228*AA209+AB228*AB209+AC228*AC209+AD228*AD209+AE228*AE209+AF228*AF209+AG228*AG209+AH228*AH209+AI228*AI209+AJ228*AJ209+AK228*AK209+AL228*AL209+AM228*AM209+AN228*AN209+AO228*AO209+AP228*AP209+AQ228*AQ209+AR228*AR209+AS228*AS209+AT228*AT209+AU228*AU209+AV228*AV209+AW228*AW209+AX228*AX209+AY228*AY209+AZ228*AZ209+BA228*BA209+BB228*BB209+BC228*BC209+BD228*BD209+BE228*BE209+BF228*BF209+BG228*BG209+BH228*BH209+BI228*BI209+BJ228*BJ209+BK228*BK209+BL228*BL209+BM228*BM209+BN228*BN209+BO228*BO209+BP228*BP209+BQ228*BQ209+BR228*BR209+BS228*BS209+BT228*BT209+BU228*BU209+BV228*BV209+BW228*BW209+BX228*BX209+BY228*BY209+BZ228*BZ209+CA228*CA209+CB228*CB209+CC228*CC209</f>
        <v>0</v>
      </c>
      <c r="CO209" s="2387">
        <f>E229*E209+F229*F209+G229*G209+H229*H209+I229*I209+J229*J209+K229*K209+L229*L209+M229*M209+N229*N209+O229*O209+P229*P209+Q229*Q209+R229*R209+S229*S209+T229*T209+U229*U209+V229*V209+W229*W209+X229*X209+Y229*Y209+Z229*Z209+AA229*AA209+AB229*AB209+AC229*AC209+AD229*AD209+AE229*AE209+AF229*AF209+AG229*AG209+AH229*AH209+AI229*AI209+AJ229*AJ209+AK229*AK209+AL229*AL209+AM229*AM209+AN229*AN209+AO229*AO209+AP229*AP209+AQ229*AQ209+AR229*AR209+AS229*AS209+AT229*AT209+AU229*AU209+AV229*AV209+AW229*AW209+AX229*AX209+AY229*AY209+AZ229*AZ209+BA229*BA209+BB229*BB209+BC229*BC209+BD229*BD209+BE229*BE209+BF229*BF209+BG229*BG209+BH229*BH209+BI229*BI209+BJ229*BJ209+BK229*BK209+BL229*BL209+BM229*BM209+BN229*BN209+BO229*BO209+BP229*BP209+BQ229*BQ209+BR229*BR209+BS229*BS209+BT229*BT209+BU229*BU209+BV229*BV209+BW229*BW209+BX229*BX209+BY229*BY209+BZ229*BZ209+CA229*CA209+CB229*CB209+CC229*CC209</f>
        <v>0</v>
      </c>
      <c r="CP209" s="2387">
        <f>E230*E209+F230*F209+G230*G209+H230*H209+I230*I209+J230*J209+K230*K209+L230*L209+M230*M209+N230*N209+O230*O209+P230*P209+Q230*Q209+R230*R209+S230*S209+T230*T209+U230*U209+V230*V209+W230*W209+X230*X209+Y230*Y209+Z230*Z209+AA230*AA209+AB230*AB209+AC230*AC209+AD230*AD209+AE230*AE209+AF230*AF209+AG230*AG209+AH230*AH209+AI230*AI209+AJ230*AJ209+AK230*AK209+AL230*AL209+AM230*AM209+AN230*AN209+AO230*AO209+AP230*AP209+AQ230*AQ209+AR230*AR209+AS230*AS209+AT230*AT209+AU230*AU209+AV230*AV209+AW230*AW209+AX230*AX209+AY230*AY209+AZ230*AZ209+BA230*BA209+BB230*BB209+BC230*BC209+BD230*BD209+BE230*BE209+BF230*BF209+BG230*BG209+BH230*BH209+BI230*BI209+BJ230*BJ209+BK230*BK209+BL230*BL209+BM230*BM209+BN230*BN209+BO230*BO209+BP230*BP209+BQ230*BQ209+BR230*BR209+BS230*BS209+BT230*BT209+BU230*BU209+BV230*BV209+BW230*BW209+BX230*BX209+BY230*BY209+BZ230*BZ209+CA230*CA209+CB230*CB209+CC230*CC209</f>
        <v>0</v>
      </c>
    </row>
    <row r="210" spans="2:94" x14ac:dyDescent="0.25">
      <c r="B210" s="1598">
        <v>91</v>
      </c>
      <c r="C210" s="1600" t="s">
        <v>3228</v>
      </c>
      <c r="D210" s="1601" t="s">
        <v>3222</v>
      </c>
      <c r="E210" s="1625">
        <f>0</f>
        <v>0</v>
      </c>
      <c r="F210" s="1625">
        <f>0</f>
        <v>0</v>
      </c>
      <c r="G210" s="1625">
        <f>0</f>
        <v>0</v>
      </c>
      <c r="H210" s="1625">
        <f>0</f>
        <v>0</v>
      </c>
      <c r="I210" s="1625">
        <f>0</f>
        <v>0</v>
      </c>
      <c r="J210" s="1625">
        <f>0</f>
        <v>0</v>
      </c>
      <c r="K210" s="1625">
        <f>0</f>
        <v>0</v>
      </c>
      <c r="L210" s="1625">
        <f>0</f>
        <v>0</v>
      </c>
      <c r="M210" s="1625">
        <f>0</f>
        <v>0</v>
      </c>
      <c r="N210" s="1625">
        <f>0</f>
        <v>0</v>
      </c>
      <c r="O210" s="1625">
        <f>0</f>
        <v>0</v>
      </c>
      <c r="P210" s="1625">
        <f>0</f>
        <v>0</v>
      </c>
      <c r="Q210" s="1432">
        <f>0</f>
        <v>0</v>
      </c>
      <c r="R210" s="1625">
        <f>0</f>
        <v>0</v>
      </c>
      <c r="S210" s="1625">
        <f>0</f>
        <v>0</v>
      </c>
      <c r="T210" s="1625">
        <f>0</f>
        <v>0</v>
      </c>
      <c r="U210" s="1625">
        <f>0</f>
        <v>0</v>
      </c>
      <c r="V210" s="1625">
        <f>0</f>
        <v>0</v>
      </c>
      <c r="W210" s="1625">
        <f>0</f>
        <v>0</v>
      </c>
      <c r="X210" s="1625">
        <f>0</f>
        <v>0</v>
      </c>
      <c r="Y210" s="1625">
        <f>0</f>
        <v>0</v>
      </c>
      <c r="Z210" s="1625">
        <f>0</f>
        <v>0</v>
      </c>
      <c r="AA210" s="1625">
        <f>0</f>
        <v>0</v>
      </c>
      <c r="AB210" s="1625">
        <f>1</f>
        <v>1</v>
      </c>
      <c r="AC210" s="1625">
        <f>0</f>
        <v>0</v>
      </c>
      <c r="AD210" s="1625">
        <f>0</f>
        <v>0</v>
      </c>
      <c r="AE210" s="1625">
        <f>0</f>
        <v>0</v>
      </c>
      <c r="AF210" s="1625">
        <f>0</f>
        <v>0</v>
      </c>
      <c r="AG210" s="1625">
        <f>0</f>
        <v>0</v>
      </c>
      <c r="AH210" s="1625">
        <f>0</f>
        <v>0</v>
      </c>
      <c r="AI210" s="1625">
        <f>0</f>
        <v>0</v>
      </c>
      <c r="AJ210" s="1625">
        <f>0</f>
        <v>0</v>
      </c>
      <c r="AK210" s="1625">
        <f>0</f>
        <v>0</v>
      </c>
      <c r="AL210" s="1625">
        <f>0</f>
        <v>0</v>
      </c>
      <c r="AM210" s="1625">
        <f>0</f>
        <v>0</v>
      </c>
      <c r="AN210" s="1625">
        <f>0</f>
        <v>0</v>
      </c>
      <c r="AO210" s="1625">
        <f>0</f>
        <v>0</v>
      </c>
      <c r="AP210" s="1625">
        <f>0</f>
        <v>0</v>
      </c>
      <c r="AQ210" s="1625">
        <f>0</f>
        <v>0</v>
      </c>
      <c r="AR210" s="1625">
        <f>0</f>
        <v>0</v>
      </c>
      <c r="AS210" s="1625">
        <f>0</f>
        <v>0</v>
      </c>
      <c r="AT210" s="1625">
        <f>0</f>
        <v>0</v>
      </c>
      <c r="AU210" s="1432">
        <f>0</f>
        <v>0</v>
      </c>
      <c r="AV210" s="1432">
        <f>0</f>
        <v>0</v>
      </c>
      <c r="AW210" s="1432">
        <f>0</f>
        <v>0</v>
      </c>
      <c r="AX210" s="1432">
        <f>0</f>
        <v>0</v>
      </c>
      <c r="AY210" s="1432">
        <f>0</f>
        <v>0</v>
      </c>
      <c r="AZ210" s="1432">
        <f>0</f>
        <v>0</v>
      </c>
      <c r="BA210" s="1432">
        <f>0</f>
        <v>0</v>
      </c>
      <c r="BB210" s="1432">
        <f>0</f>
        <v>0</v>
      </c>
      <c r="BC210" s="1432">
        <f>0</f>
        <v>0</v>
      </c>
      <c r="BD210" s="1432">
        <f>0</f>
        <v>0</v>
      </c>
      <c r="BE210" s="1432">
        <f>0</f>
        <v>0</v>
      </c>
      <c r="BF210" s="1432">
        <f>0</f>
        <v>0</v>
      </c>
      <c r="BG210" s="1432">
        <f>0</f>
        <v>0</v>
      </c>
      <c r="BH210" s="1432">
        <f>0</f>
        <v>0</v>
      </c>
      <c r="BI210" s="1432">
        <f>0</f>
        <v>0</v>
      </c>
      <c r="BJ210" s="1432">
        <f>0</f>
        <v>0</v>
      </c>
      <c r="BK210" s="1432">
        <f>0</f>
        <v>0</v>
      </c>
      <c r="BL210" s="1625">
        <f>0</f>
        <v>0</v>
      </c>
      <c r="BM210" s="1432">
        <f>0</f>
        <v>0</v>
      </c>
      <c r="BN210" s="1432">
        <f>0</f>
        <v>0</v>
      </c>
      <c r="BO210" s="1432">
        <f>0</f>
        <v>0</v>
      </c>
      <c r="BP210" s="1432">
        <f>0</f>
        <v>0</v>
      </c>
      <c r="BQ210" s="2383">
        <f>0</f>
        <v>0</v>
      </c>
      <c r="BR210" s="1625">
        <f>0</f>
        <v>0</v>
      </c>
      <c r="BS210" s="1625">
        <f>0</f>
        <v>0</v>
      </c>
      <c r="BT210" s="1625">
        <f>0</f>
        <v>0</v>
      </c>
      <c r="BU210" s="1625">
        <f>0</f>
        <v>0</v>
      </c>
      <c r="BV210" s="1625">
        <f>0</f>
        <v>0</v>
      </c>
      <c r="BW210" s="1625">
        <f>-1</f>
        <v>-1</v>
      </c>
      <c r="BX210" s="1432">
        <f>0</f>
        <v>0</v>
      </c>
      <c r="BY210" s="1432">
        <f>0</f>
        <v>0</v>
      </c>
      <c r="BZ210" s="1432">
        <f>0</f>
        <v>0</v>
      </c>
      <c r="CA210" s="1432">
        <f>0</f>
        <v>0</v>
      </c>
      <c r="CB210" s="1432">
        <f>0</f>
        <v>0</v>
      </c>
      <c r="CC210" s="1432">
        <f>0</f>
        <v>0</v>
      </c>
      <c r="CD210" s="1664">
        <f>k_LaGN2_bub*(S_GN2_bub_sat-S_N2)</f>
        <v>-272.94299999999998</v>
      </c>
      <c r="CF210" s="2385">
        <f>E220*E210+F220*F210+G220*G210+H220*H210+I220*I210+J220*J210+K220*K210+L220*L210+M220*M210+N220*N210+O220*O210+P220*P210+Q220*Q210+R220*R210+S220*S210+T220*T210+U220*U210+V220*V210+W220*W210+X220*X210+Y220*Y210+Z220*Z210+AA220*AA210+AB220*AB210+AC220*AC210+AD220*AD210+AE220*AE210+AF220*AF210+AG220*AG210+AH220*AH210+AI220*AI210+AJ220*AJ210+AK220*AK210+AL220*AL210+AM220*AM210+AN220*AN210+AO220*AO210+AP220*AP210+AQ220*AQ210+AR220*AR210+AS220*AS210+AT220*AT210+AU220*AU210+AV220*AV210+AW220*AW210+AX220*AX210+AY220*AY210+AZ220*AZ210+BA220*BA210+BB220*BB210+BC220*BC210+BD220*BD210+BE220*BE210+BF220*BF210+BG220*BG210+BH220*BH210+BI220*BI210+BJ220*BJ210+BK220*BK210+BL220*BL210+BM220*BM210+BN220*BN210+BO220*BO210+BP220*BP210+BQ220*BQ210+BR220*BR210+BS220*BS210+BT220*BT210+BU220*BU210+BV220*BV210+BW220*BW210+BX220*BX210+BY220*BY210+BZ220*BZ210+CA220*CA210+CB220*CB210+CC220*CC210</f>
        <v>0</v>
      </c>
      <c r="CG210" s="2385">
        <f>E221*E210+F221*F210+G221*G210+H221*H210+I221*I210+J221*J210+K221*K210+L221*L210+M221*M210+N221*N210+O221*O210+P221*P210+Q221*Q210+R221*R210+S221*S210+T221*T210+U221*U210+V221*V210+W221*W210+X221*X210+Y221*Y210+Z221*Z210+AA221*AA210+AB221*AB210+AC221*AC210+AD221*AD210+AE221*AE210+AF221*AF210+AG221*AG210+AH221*AH210+AI221*AI210+AJ221*AJ210+AK221*AK210+AL221*AL210+AM221*AM210+AN221*AN210+AO221*AO210+AP221*AP210+AQ221*AQ210+AR221*AR210+AS221*AS210+AT221*AT210+AU221*AU210+AV221*AV210+AW221*AW210+AX221*AX210+AY221*AY210+AZ221*AZ210+BA221*BA210+BB221*BB210+BC221*BC210+BD221*BD210+BE221*BE210+BF221*BF210+BG221*BG210+BH221*BH210+BI221*BI210+BJ221*BJ210+BK221*BK210+BL221*BL210+BM221*BM210+BN221*BN210+BO221*BO210+BP221*BP210+BQ221*BQ210+BR221*BR210+BS221*BS210+BT221*BT210+BU221*BU210+BV221*BV210+BW221*BW210+BX221*BX210+BY221*BY210+BZ221*BZ210+CA221*CA210+CB221*CB210+CC221*CC210</f>
        <v>0</v>
      </c>
      <c r="CH210" s="2386">
        <f>E222*E210+F222*F210+G222*G210+H222*H210+I222*I210+J222*J210+K222*K210+L222*L210+M222*M210+N222*N210+O222*O210+P222*P210+Q222*Q210+R222*R210+S222*S210+T222*T210+U222*U210+V222*V210+W222*W210+X222*X210+Y222*Y210+Z222*Z210+AA222*AA210+AB222*AB210+AC222*AC210+AD222*AD210+AE222*AE210+AF222*AF210+AG222*AG210+AH222*AH210+AI222*AI210+AJ222*AJ210+AK222*AK210+AL222*AL210+AM222*AM210+AN222*AN210+AO222*AO210+AP222*AP210+AQ222*AQ210+AR222*AR210+AS222*AS210+AT222*AT210+AU222*AU210+AV222*AV210+AW222*AW210+AX222*AX210+AY222*AY210+AZ222*AZ210+BA222*BA210+BB222*BB210+BC222*BC210+BD222*BD210+BE222*BE210+BF222*BF210+BG222*BG210+BH222*BH210+BI222*BI210+BJ222*BJ210+BK222*BK210+BL222*BL210+BM222*BM210+BN222*BN210+BO222*BO210+BP222*BP210+BQ222*BQ210+BR222*BR210+BS222*BS210+BT222*BT210+BU222*BU210+BV222*BV210+BW222*BW210+BX222*BX210+BY222*BY210+BZ222*BZ210+CA222*CA210+CB222*CB210+CC222*CC210</f>
        <v>0</v>
      </c>
      <c r="CI210" s="2387">
        <f>E223*E210+F223*F210+G223*G210+H223*H210+I223*I210+J223*J210+K223*K210+L223*L210+M223*M210+N223*N210+O223*O210+P223*P210+Q223*Q210+R223*R210+S223*S210+T223*T210+U223*U210+V223*V210+W223*W210+X223*X210+Y223*Y210+Z223*Z210+AA223*AA210+AB223*AB210+AC223*AC210+AD223*AD210+AE223*AE210+AF223*AF210+AG223*AG210+AH223*AH210+AI223*AI210+AJ223*AJ210+AK223*AK210+AL223*AL210+AM223*AM210+AN223*AN210+AO223*AO210+AP223*AP210+AQ223*AQ210+AR223*AR210+AS223*AS210+AT223*AT210+AU223*AU210+AV223*AV210+AW223*AW210+AX223*AX210+AY223*AY210+AZ223*AZ210+BA223*BA210+BB223*BB210+BC223*BC210+BD223*BD210+BE223*BE210+BF223*BF210+BG223*BG210+BH223*BH210+BI223*BI210+BJ223*BJ210+BK223*BK210+BL223*BL210+BM223*BM210+BN223*BN210+BO223*BO210+BP223*BP210+BQ223*BQ210+BR223*BR210+BS223*BS210+BT223*BT210+BU223*BU210+BV223*BV210+BW223*BW210+BX223*BX210+BY223*BY210+BZ223*BZ210+CA223*CA210+CB223*CB210+CC223*CC210</f>
        <v>0</v>
      </c>
      <c r="CJ210" s="2387">
        <f>E224*E210+F224*F210+G224*G210+H224*H210+I224*I210+J224*J210+K224*K210+L224*L210+M224*M210+N224*N210+O224*O210+P224*P210+Q224*Q210+R224*R210+S224*S210+T224*T210+U224*U210+V224*V210+W224*W210+X224*X210+Y224*Y210+Z224*Z210+AA224*AA210+AB224*AB210+AC224*AC210+AD224*AD210+AE224*AE210+AF224*AF210+AG224*AG210+AH224*AH210+AI224*AI210+AJ224*AJ210+AK224*AK210+AL224*AL210+AM224*AM210+AN224*AN210+AO224*AO210+AP224*AP210+AQ224*AQ210+AR224*AR210+AS224*AS210+AT224*AT210+AU224*AU210+AV224*AV210+AW224*AW210+AX224*AX210+AY224*AY210+AZ224*AZ210+BA224*BA210+BB224*BB210+BC224*BC210+BD224*BD210+BE224*BE210+BF224*BF210+BG224*BG210+BH224*BH210+BI224*BI210+BJ224*BJ210+BK224*BK210+BL224*BL210+BM224*BM210+BN224*BN210+BO224*BO210+BP224*BP210+BQ224*BQ210+BR224*BR210+BS224*BS210+BT224*BT210+BU224*BU210+BV224*BV210+BW224*BW210+BX224*BX210+BY224*BY210+BZ224*BZ210+CA224*CA210+CB224*CB210+CC224*CC210</f>
        <v>0</v>
      </c>
      <c r="CK210" s="2387">
        <f>E225*E210+F225*F210+G225*G210+H225*H210+I225*I210+J225*J210+K225*K210+L225*L210+M225*M210+N225*N210+O225*O210+P225*P210+Q225*Q210+R225*R210+S225*S210+T225*T210+U225*U210+V225*V210+W225*W210+X225*X210+Y225*Y210+Z225*Z210+AA225*AA210+AB225*AB210+AC225*AC210+AD225*AD210+AE225*AE210+AF225*AF210+AG225*AG210+AH225*AH210+AI225*AI210+AJ225*AJ210+AK225*AK210+AL225*AL210+AM225*AM210+AN225*AN210+AO225*AO210+AP225*AP210+AQ225*AQ210+AR225*AR210+AS225*AS210+AT225*AT210+AU225*AU210+AV225*AV210+AW225*AW210+AX225*AX210+AY225*AY210+AZ225*AZ210+BA225*BA210+BB225*BB210+BC225*BC210+BD225*BD210+BE225*BE210+BF225*BF210+BG225*BG210+BH225*BH210+BI225*BI210+BJ225*BJ210+BK225*BK210+BL225*BL210+BM225*BM210+BN225*BN210+BO225*BO210+BP225*BP210+BQ225*BQ210+BR225*BR210+BS225*BS210+BT225*BT210+BU225*BU210+BV225*BV210+BW225*BW210+BX225*BX210+BY225*BY210+BZ225*BZ210+CA225*CA210+CB225*CB210+CC225*CC210</f>
        <v>0</v>
      </c>
      <c r="CL210" s="2387">
        <f>E226*E210+F226*F210+G226*G210+H226*H210+I226*I210+J226*J210+K226*K210+L226*L210+M226*M210+N226*N210+O226*O210+P226*P210+Q226*Q210+R226*R210+S226*S210+T226*T210+U226*U210+V226*V210+W226*W210+X226*X210+Y226*Y210+Z226*Z210+AA226*AA210+AB226*AB210+AC226*AC210+AD226*AD210+AE226*AE210+AF226*AF210+AG226*AG210+AH226*AH210+AI226*AI210+AJ226*AJ210+AK226*AK210+AL226*AL210+AM226*AM210+AN226*AN210+AO226*AO210+AP226*AP210+AQ226*AQ210+AR226*AR210+AS226*AS210+AT226*AT210+AU226*AU210+AV226*AV210+AW226*AW210+AX226*AX210+AY226*AY210+AZ226*AZ210+BA226*BA210+BB226*BB210+BC226*BC210+BD226*BD210+BE226*BE210+BF226*BF210+BG226*BG210+BH226*BH210+BI226*BI210+BJ226*BJ210+BK226*BK210+BL226*BL210+BM226*BM210+BN226*BN210+BO226*BO210+BP226*BP210+BQ226*BQ210+BR226*BR210+BS226*BS210+BT226*BT210+BU226*BU210+BV226*BV210+BW226*BW210+BX226*BX210+BY226*BY210+BZ226*BZ210+CA226*CA210+CB226*CB210+CC226*CC210</f>
        <v>0</v>
      </c>
      <c r="CM210" s="2387">
        <f>E227*E210+F227*F210+G227*G210+H227*H210+I227*I210+J227*J210+K227*K210+L227*L210+M227*M210+N227*N210+O227*O210+P227*P210+Q227*Q210+R227*R210+S227*S210+T227*T210+U227*U210+V227*V210+W227*W210+X227*X210+Y227*Y210+Z227*Z210+AA227*AA210+AB227*AB210+AC227*AC210+AD227*AD210+AE227*AE210+AF227*AF210+AG227*AG210+AH227*AH210+AI227*AI210+AJ227*AJ210+AK227*AK210+AL227*AL210+AM227*AM210+AN227*AN210+AO227*AO210+AP227*AP210+AQ227*AQ210+AR227*AR210+AS227*AS210+AT227*AT210+AU227*AU210+AV227*AV210+AW227*AW210+AX227*AX210+AY227*AY210+AZ227*AZ210+BA227*BA210+BB227*BB210+BC227*BC210+BD227*BD210+BE227*BE210+BF227*BF210+BG227*BG210+BH227*BH210+BI227*BI210+BJ227*BJ210+BK227*BK210+BL227*BL210+BM227*BM210+BN227*BN210+BO227*BO210+BP227*BP210+BQ227*BQ210+BR227*BR210+BS227*BS210+BT227*BT210+BU227*BU210+BV227*BV210+BW227*BW210+BX227*BX210+BY227*BY210+BZ227*BZ210+CA227*CA210+CB227*CB210+CC227*CC210</f>
        <v>0</v>
      </c>
      <c r="CN210" s="2387">
        <f>E228*E210+F228*F210+G228*G210+H228*H210+I228*I210+J228*J210+K228*K210+L228*L210+M228*M210+N228*N210+O228*O210+P228*P210+Q228*Q210+R228*R210+S228*S210+T228*T210+U228*U210+V228*V210+W228*W210+X228*X210+Y228*Y210+Z228*Z210+AA228*AA210+AB228*AB210+AC228*AC210+AD228*AD210+AE228*AE210+AF228*AF210+AG228*AG210+AH228*AH210+AI228*AI210+AJ228*AJ210+AK228*AK210+AL228*AL210+AM228*AM210+AN228*AN210+AO228*AO210+AP228*AP210+AQ228*AQ210+AR228*AR210+AS228*AS210+AT228*AT210+AU228*AU210+AV228*AV210+AW228*AW210+AX228*AX210+AY228*AY210+AZ228*AZ210+BA228*BA210+BB228*BB210+BC228*BC210+BD228*BD210+BE228*BE210+BF228*BF210+BG228*BG210+BH228*BH210+BI228*BI210+BJ228*BJ210+BK228*BK210+BL228*BL210+BM228*BM210+BN228*BN210+BO228*BO210+BP228*BP210+BQ228*BQ210+BR228*BR210+BS228*BS210+BT228*BT210+BU228*BU210+BV228*BV210+BW228*BW210+BX228*BX210+BY228*BY210+BZ228*BZ210+CA228*CA210+CB228*CB210+CC228*CC210</f>
        <v>0</v>
      </c>
      <c r="CO210" s="2387">
        <f>E229*E210+F229*F210+G229*G210+H229*H210+I229*I210+J229*J210+K229*K210+L229*L210+M229*M210+N229*N210+O229*O210+P229*P210+Q229*Q210+R229*R210+S229*S210+T229*T210+U229*U210+V229*V210+W229*W210+X229*X210+Y229*Y210+Z229*Z210+AA229*AA210+AB229*AB210+AC229*AC210+AD229*AD210+AE229*AE210+AF229*AF210+AG229*AG210+AH229*AH210+AI229*AI210+AJ229*AJ210+AK229*AK210+AL229*AL210+AM229*AM210+AN229*AN210+AO229*AO210+AP229*AP210+AQ229*AQ210+AR229*AR210+AS229*AS210+AT229*AT210+AU229*AU210+AV229*AV210+AW229*AW210+AX229*AX210+AY229*AY210+AZ229*AZ210+BA229*BA210+BB229*BB210+BC229*BC210+BD229*BD210+BE229*BE210+BF229*BF210+BG229*BG210+BH229*BH210+BI229*BI210+BJ229*BJ210+BK229*BK210+BL229*BL210+BM229*BM210+BN229*BN210+BO229*BO210+BP229*BP210+BQ229*BQ210+BR229*BR210+BS229*BS210+BT229*BT210+BU229*BU210+BV229*BV210+BW229*BW210+BX229*BX210+BY229*BY210+BZ229*BZ210+CA229*CA210+CB229*CB210+CC229*CC210</f>
        <v>0</v>
      </c>
      <c r="CP210" s="2387">
        <f>E230*E210+F230*F210+G230*G210+H230*H210+I230*I210+J230*J210+K230*K210+L230*L210+M230*M210+N230*N210+O230*O210+P230*P210+Q230*Q210+R230*R210+S230*S210+T230*T210+U230*U210+V230*V210+W230*W210+X230*X210+Y230*Y210+Z230*Z210+AA230*AA210+AB230*AB210+AC230*AC210+AD230*AD210+AE230*AE210+AF230*AF210+AG230*AG210+AH230*AH210+AI230*AI210+AJ230*AJ210+AK230*AK210+AL230*AL210+AM230*AM210+AN230*AN210+AO230*AO210+AP230*AP210+AQ230*AQ210+AR230*AR210+AS230*AS210+AT230*AT210+AU230*AU210+AV230*AV210+AW230*AW210+AX230*AX210+AY230*AY210+AZ230*AZ210+BA230*BA210+BB230*BB210+BC230*BC210+BD230*BD210+BE230*BE210+BF230*BF210+BG230*BG210+BH230*BH210+BI230*BI210+BJ230*BJ210+BK230*BK210+BL230*BL210+BM230*BM210+BN230*BN210+BO230*BO210+BP230*BP210+BQ230*BQ210+BR230*BR210+BS230*BS210+BT230*BT210+BU230*BU210+BV230*BV210+BW230*BW210+BX230*BX210+BY230*BY210+BZ230*BZ210+CA230*CA210+CB230*CB210+CC230*CC210</f>
        <v>0</v>
      </c>
    </row>
    <row r="211" spans="2:94" x14ac:dyDescent="0.25">
      <c r="B211" s="1590">
        <v>92</v>
      </c>
      <c r="C211" s="1604" t="s">
        <v>3433</v>
      </c>
      <c r="D211" s="1605" t="s">
        <v>3198</v>
      </c>
      <c r="E211" s="1426">
        <f>0</f>
        <v>0</v>
      </c>
      <c r="F211" s="1426">
        <f>0</f>
        <v>0</v>
      </c>
      <c r="G211" s="1426">
        <f>0</f>
        <v>0</v>
      </c>
      <c r="H211" s="1426">
        <f>0</f>
        <v>0</v>
      </c>
      <c r="I211" s="1426">
        <f>0</f>
        <v>0</v>
      </c>
      <c r="J211" s="1426">
        <f>0</f>
        <v>0</v>
      </c>
      <c r="K211" s="1426">
        <f>0</f>
        <v>0</v>
      </c>
      <c r="L211" s="1426">
        <f>0</f>
        <v>0</v>
      </c>
      <c r="M211" s="1426">
        <f>0</f>
        <v>0</v>
      </c>
      <c r="N211" s="1426">
        <f>0</f>
        <v>0</v>
      </c>
      <c r="O211" s="1426">
        <f>0</f>
        <v>0</v>
      </c>
      <c r="P211" s="1426">
        <f>0</f>
        <v>0</v>
      </c>
      <c r="Q211" s="1426">
        <f>0</f>
        <v>0</v>
      </c>
      <c r="R211" s="1426">
        <f>0</f>
        <v>0</v>
      </c>
      <c r="S211" s="1426">
        <f>0</f>
        <v>0</v>
      </c>
      <c r="T211" s="1426">
        <f>0</f>
        <v>0</v>
      </c>
      <c r="U211" s="1426">
        <f>0</f>
        <v>0</v>
      </c>
      <c r="V211" s="1426">
        <f>0</f>
        <v>0</v>
      </c>
      <c r="W211" s="1426">
        <f>0</f>
        <v>0</v>
      </c>
      <c r="X211" s="1426">
        <f>0</f>
        <v>0</v>
      </c>
      <c r="Y211" s="1426">
        <f>0</f>
        <v>0</v>
      </c>
      <c r="Z211" s="1426">
        <f>0</f>
        <v>0</v>
      </c>
      <c r="AA211" s="1426">
        <f>0</f>
        <v>0</v>
      </c>
      <c r="AB211" s="1426">
        <f>0</f>
        <v>0</v>
      </c>
      <c r="AC211" s="1426">
        <f>0</f>
        <v>0</v>
      </c>
      <c r="AD211" s="1426">
        <f>0</f>
        <v>0</v>
      </c>
      <c r="AE211" s="1426">
        <f>0</f>
        <v>0</v>
      </c>
      <c r="AF211" s="1426">
        <f>0</f>
        <v>0</v>
      </c>
      <c r="AG211" s="1426">
        <f>0</f>
        <v>0</v>
      </c>
      <c r="AH211" s="1426">
        <f>0</f>
        <v>0</v>
      </c>
      <c r="AI211" s="1426">
        <f>0</f>
        <v>0</v>
      </c>
      <c r="AJ211" s="1426">
        <f>0</f>
        <v>0</v>
      </c>
      <c r="AK211" s="1426">
        <f>0</f>
        <v>0</v>
      </c>
      <c r="AL211" s="1426">
        <f>0</f>
        <v>0</v>
      </c>
      <c r="AM211" s="1426">
        <f>0</f>
        <v>0</v>
      </c>
      <c r="AN211" s="1426">
        <f>1</f>
        <v>1</v>
      </c>
      <c r="AO211" s="1426">
        <f>0</f>
        <v>0</v>
      </c>
      <c r="AP211" s="1426">
        <f>0</f>
        <v>0</v>
      </c>
      <c r="AQ211" s="1426">
        <f>0</f>
        <v>0</v>
      </c>
      <c r="AR211" s="1426">
        <f>0</f>
        <v>0</v>
      </c>
      <c r="AS211" s="1426">
        <f>0</f>
        <v>0</v>
      </c>
      <c r="AT211" s="1426">
        <f>0</f>
        <v>0</v>
      </c>
      <c r="AU211" s="1426">
        <f>0</f>
        <v>0</v>
      </c>
      <c r="AV211" s="1426">
        <f>0</f>
        <v>0</v>
      </c>
      <c r="AW211" s="1426">
        <f>0</f>
        <v>0</v>
      </c>
      <c r="AX211" s="1426">
        <f>0</f>
        <v>0</v>
      </c>
      <c r="AY211" s="1426">
        <f>0</f>
        <v>0</v>
      </c>
      <c r="AZ211" s="1426">
        <f>0</f>
        <v>0</v>
      </c>
      <c r="BA211" s="1426">
        <f>0</f>
        <v>0</v>
      </c>
      <c r="BB211" s="1426">
        <f>0</f>
        <v>0</v>
      </c>
      <c r="BC211" s="1426">
        <f>0</f>
        <v>0</v>
      </c>
      <c r="BD211" s="1426">
        <f>0</f>
        <v>0</v>
      </c>
      <c r="BE211" s="1426">
        <f>0</f>
        <v>0</v>
      </c>
      <c r="BF211" s="1426">
        <f>0</f>
        <v>0</v>
      </c>
      <c r="BG211" s="1426">
        <f>0</f>
        <v>0</v>
      </c>
      <c r="BH211" s="1426">
        <f>0</f>
        <v>0</v>
      </c>
      <c r="BI211" s="1426">
        <f>0</f>
        <v>0</v>
      </c>
      <c r="BJ211" s="1426">
        <f>0</f>
        <v>0</v>
      </c>
      <c r="BK211" s="1426">
        <f>0</f>
        <v>0</v>
      </c>
      <c r="BL211" s="1426">
        <f>0</f>
        <v>0</v>
      </c>
      <c r="BM211" s="1426">
        <f>0</f>
        <v>0</v>
      </c>
      <c r="BN211" s="1426">
        <f>0</f>
        <v>0</v>
      </c>
      <c r="BO211" s="1426">
        <f>0</f>
        <v>0</v>
      </c>
      <c r="BP211" s="1426">
        <f>0</f>
        <v>0</v>
      </c>
      <c r="BQ211" s="2375">
        <f>0</f>
        <v>0</v>
      </c>
      <c r="BR211" s="1426">
        <f>0</f>
        <v>0</v>
      </c>
      <c r="BS211" s="1426">
        <f>0</f>
        <v>0</v>
      </c>
      <c r="BT211" s="1426">
        <f>0</f>
        <v>0</v>
      </c>
      <c r="BU211" s="1426">
        <f>0</f>
        <v>0</v>
      </c>
      <c r="BV211" s="1426">
        <f>0</f>
        <v>0</v>
      </c>
      <c r="BW211" s="1426">
        <f>0</f>
        <v>0</v>
      </c>
      <c r="BX211" s="1425">
        <f>-Δ_atm</f>
        <v>-1</v>
      </c>
      <c r="BY211" s="1426">
        <f>0</f>
        <v>0</v>
      </c>
      <c r="BZ211" s="1426">
        <f>0</f>
        <v>0</v>
      </c>
      <c r="CA211" s="1426">
        <f>0</f>
        <v>0</v>
      </c>
      <c r="CB211" s="1426">
        <f>0</f>
        <v>0</v>
      </c>
      <c r="CC211" s="1426">
        <f>0</f>
        <v>0</v>
      </c>
      <c r="CD211" s="1665">
        <f>k_transfer_GCO2_sur</f>
        <v>85.864791591722664</v>
      </c>
      <c r="CF211" s="2385">
        <f>E220*E211+F220*F211+G220*G211+H220*H211+I220*I211+J220*J211+K220*K211+L220*L211+M220*M211+N220*N211+O220*O211+P220*P211+Q220*Q211+R220*R211+S220*S211+T220*T211+U220*U211+V220*V211+W220*W211+X220*X211+Y220*Y211+Z220*Z211+AA220*AA211+AB220*AB211+AC220*AC211+AD220*AD211+AE220*AE211+AF220*AF211+AG220*AG211+AH220*AH211+AI220*AI211+AJ220*AJ211+AK220*AK211+AL220*AL211+AM220*AM211+AN220*AN211+AO220*AO211+AP220*AP211+AQ220*AQ211+AR220*AR211+AS220*AS211+AT220*AT211+AU220*AU211+AV220*AV211+AW220*AW211+AX220*AX211+AY220*AY211+AZ220*AZ211+BA220*BA211+BB220*BB211+BC220*BC211+BD220*BD211+BE220*BE211+BF220*BF211+BG220*BG211+BH220*BH211+BI220*BI211+BJ220*BJ211+BK220*BK211+BL220*BL211+BM220*BM211+BN220*BN211+BO220*BO211+BP220*BP211+BQ220*BQ211+BR220*BR211+BS220*BS211+BT220*BT211+BU220*BU211+BV220*BV211+BW220*BW211+BX220*BX211+BY220*BY211+BZ220*BZ211+CA220*CA211+CB220*CB211+CC220*CC211</f>
        <v>0</v>
      </c>
      <c r="CG211" s="2385">
        <f>E221*E211+F221*F211+G221*G211+H221*H211+I221*I211+J221*J211+K221*K211+L221*L211+M221*M211+N221*N211+O221*O211+P221*P211+Q221*Q211+R221*R211+S221*S211+T221*T211+U221*U211+V221*V211+W221*W211+X221*X211+Y221*Y211+Z221*Z211+AA221*AA211+AB221*AB211+AC221*AC211+AD221*AD211+AE221*AE211+AF221*AF211+AG221*AG211+AH221*AH211+AI221*AI211+AJ221*AJ211+AK221*AK211+AL221*AL211+AM221*AM211+AN221*AN211+AO221*AO211+AP221*AP211+AQ221*AQ211+AR221*AR211+AS221*AS211+AT221*AT211+AU221*AU211+AV221*AV211+AW221*AW211+AX221*AX211+AY221*AY211+AZ221*AZ211+BA221*BA211+BB221*BB211+BC221*BC211+BD221*BD211+BE221*BE211+BF221*BF211+BG221*BG211+BH221*BH211+BI221*BI211+BJ221*BJ211+BK221*BK211+BL221*BL211+BM221*BM211+BN221*BN211+BO221*BO211+BP221*BP211+BQ221*BQ211+BR221*BR211+BS221*BS211+BT221*BT211+BU221*BU211+BV221*BV211+BW221*BW211+BX221*BX211+BY221*BY211+BZ221*BZ211+CA221*CA211+CB221*CB211+CC221*CC211</f>
        <v>0</v>
      </c>
      <c r="CH211" s="2386">
        <f>E222*E211+F222*F211+G222*G211+H222*H211+I222*I211+J222*J211+K222*K211+L222*L211+M222*M211+N222*N211+O222*O211+P222*P211+Q222*Q211+R222*R211+S222*S211+T222*T211+U222*U211+V222*V211+W222*W211+X222*X211+Y222*Y211+Z222*Z211+AA222*AA211+AB222*AB211+AC222*AC211+AD222*AD211+AE222*AE211+AF222*AF211+AG222*AG211+AH222*AH211+AI222*AI211+AJ222*AJ211+AK222*AK211+AL222*AL211+AM222*AM211+AN222*AN211+AO222*AO211+AP222*AP211+AQ222*AQ211+AR222*AR211+AS222*AS211+AT222*AT211+AU222*AU211+AV222*AV211+AW222*AW211+AX222*AX211+AY222*AY211+AZ222*AZ211+BA222*BA211+BB222*BB211+BC222*BC211+BD222*BD211+BE222*BE211+BF222*BF211+BG222*BG211+BH222*BH211+BI222*BI211+BJ222*BJ211+BK222*BK211+BL222*BL211+BM222*BM211+BN222*BN211+BO222*BO211+BP222*BP211+BQ222*BQ211+BR222*BR211+BS222*BS211+BT222*BT211+BU222*BU211+BV222*BV211+BW222*BW211+BX222*BX211+BY222*BY211+BZ222*BZ211+CA222*CA211+CB222*CB211+CC222*CC211</f>
        <v>0</v>
      </c>
      <c r="CI211" s="2387">
        <f>E223*E211+F223*F211+G223*G211+H223*H211+I223*I211+J223*J211+K223*K211+L223*L211+M223*M211+N223*N211+O223*O211+P223*P211+Q223*Q211+R223*R211+S223*S211+T223*T211+U223*U211+V223*V211+W223*W211+X223*X211+Y223*Y211+Z223*Z211+AA223*AA211+AB223*AB211+AC223*AC211+AD223*AD211+AE223*AE211+AF223*AF211+AG223*AG211+AH223*AH211+AI223*AI211+AJ223*AJ211+AK223*AK211+AL223*AL211+AM223*AM211+AN223*AN211+AO223*AO211+AP223*AP211+AQ223*AQ211+AR223*AR211+AS223*AS211+AT223*AT211+AU223*AU211+AV223*AV211+AW223*AW211+AX223*AX211+AY223*AY211+AZ223*AZ211+BA223*BA211+BB223*BB211+BC223*BC211+BD223*BD211+BE223*BE211+BF223*BF211+BG223*BG211+BH223*BH211+BI223*BI211+BJ223*BJ211+BK223*BK211+BL223*BL211+BM223*BM211+BN223*BN211+BO223*BO211+BP223*BP211+BQ223*BQ211+BR223*BR211+BS223*BS211+BT223*BT211+BU223*BU211+BV223*BV211+BW223*BW211+BX223*BX211+BY223*BY211+BZ223*BZ211+CA223*CA211+CB223*CB211+CC223*CC211</f>
        <v>0</v>
      </c>
      <c r="CJ211" s="2387">
        <f>E224*E211+F224*F211+G224*G211+H224*H211+I224*I211+J224*J211+K224*K211+L224*L211+M224*M211+N224*N211+O224*O211+P224*P211+Q224*Q211+R224*R211+S224*S211+T224*T211+U224*U211+V224*V211+W224*W211+X224*X211+Y224*Y211+Z224*Z211+AA224*AA211+AB224*AB211+AC224*AC211+AD224*AD211+AE224*AE211+AF224*AF211+AG224*AG211+AH224*AH211+AI224*AI211+AJ224*AJ211+AK224*AK211+AL224*AL211+AM224*AM211+AN224*AN211+AO224*AO211+AP224*AP211+AQ224*AQ211+AR224*AR211+AS224*AS211+AT224*AT211+AU224*AU211+AV224*AV211+AW224*AW211+AX224*AX211+AY224*AY211+AZ224*AZ211+BA224*BA211+BB224*BB211+BC224*BC211+BD224*BD211+BE224*BE211+BF224*BF211+BG224*BG211+BH224*BH211+BI224*BI211+BJ224*BJ211+BK224*BK211+BL224*BL211+BM224*BM211+BN224*BN211+BO224*BO211+BP224*BP211+BQ224*BQ211+BR224*BR211+BS224*BS211+BT224*BT211+BU224*BU211+BV224*BV211+BW224*BW211+BX224*BX211+BY224*BY211+BZ224*BZ211+CA224*CA211+CB224*CB211+CC224*CC211</f>
        <v>0</v>
      </c>
      <c r="CK211" s="2387">
        <f>E225*E211+F225*F211+G225*G211+H225*H211+I225*I211+J225*J211+K225*K211+L225*L211+M225*M211+N225*N211+O225*O211+P225*P211+Q225*Q211+R225*R211+S225*S211+T225*T211+U225*U211+V225*V211+W225*W211+X225*X211+Y225*Y211+Z225*Z211+AA225*AA211+AB225*AB211+AC225*AC211+AD225*AD211+AE225*AE211+AF225*AF211+AG225*AG211+AH225*AH211+AI225*AI211+AJ225*AJ211+AK225*AK211+AL225*AL211+AM225*AM211+AN225*AN211+AO225*AO211+AP225*AP211+AQ225*AQ211+AR225*AR211+AS225*AS211+AT225*AT211+AU225*AU211+AV225*AV211+AW225*AW211+AX225*AX211+AY225*AY211+AZ225*AZ211+BA225*BA211+BB225*BB211+BC225*BC211+BD225*BD211+BE225*BE211+BF225*BF211+BG225*BG211+BH225*BH211+BI225*BI211+BJ225*BJ211+BK225*BK211+BL225*BL211+BM225*BM211+BN225*BN211+BO225*BO211+BP225*BP211+BQ225*BQ211+BR225*BR211+BS225*BS211+BT225*BT211+BU225*BU211+BV225*BV211+BW225*BW211+BX225*BX211+BY225*BY211+BZ225*BZ211+CA225*CA211+CB225*CB211+CC225*CC211</f>
        <v>0</v>
      </c>
      <c r="CL211" s="2387">
        <f>E226*E211+F226*F211+G226*G211+H226*H211+I226*I211+J226*J211+K226*K211+L226*L211+M226*M211+N226*N211+O226*O211+P226*P211+Q226*Q211+R226*R211+S226*S211+T226*T211+U226*U211+V226*V211+W226*W211+X226*X211+Y226*Y211+Z226*Z211+AA226*AA211+AB226*AB211+AC226*AC211+AD226*AD211+AE226*AE211+AF226*AF211+AG226*AG211+AH226*AH211+AI226*AI211+AJ226*AJ211+AK226*AK211+AL226*AL211+AM226*AM211+AN226*AN211+AO226*AO211+AP226*AP211+AQ226*AQ211+AR226*AR211+AS226*AS211+AT226*AT211+AU226*AU211+AV226*AV211+AW226*AW211+AX226*AX211+AY226*AY211+AZ226*AZ211+BA226*BA211+BB226*BB211+BC226*BC211+BD226*BD211+BE226*BE211+BF226*BF211+BG226*BG211+BH226*BH211+BI226*BI211+BJ226*BJ211+BK226*BK211+BL226*BL211+BM226*BM211+BN226*BN211+BO226*BO211+BP226*BP211+BQ226*BQ211+BR226*BR211+BS226*BS211+BT226*BT211+BU226*BU211+BV226*BV211+BW226*BW211+BX226*BX211+BY226*BY211+BZ226*BZ211+CA226*CA211+CB226*CB211+CC226*CC211</f>
        <v>0</v>
      </c>
      <c r="CM211" s="2387">
        <f>E227*E211+F227*F211+G227*G211+H227*H211+I227*I211+J227*J211+K227*K211+L227*L211+M227*M211+N227*N211+O227*O211+P227*P211+Q227*Q211+R227*R211+S227*S211+T227*T211+U227*U211+V227*V211+W227*W211+X227*X211+Y227*Y211+Z227*Z211+AA227*AA211+AB227*AB211+AC227*AC211+AD227*AD211+AE227*AE211+AF227*AF211+AG227*AG211+AH227*AH211+AI227*AI211+AJ227*AJ211+AK227*AK211+AL227*AL211+AM227*AM211+AN227*AN211+AO227*AO211+AP227*AP211+AQ227*AQ211+AR227*AR211+AS227*AS211+AT227*AT211+AU227*AU211+AV227*AV211+AW227*AW211+AX227*AX211+AY227*AY211+AZ227*AZ211+BA227*BA211+BB227*BB211+BC227*BC211+BD227*BD211+BE227*BE211+BF227*BF211+BG227*BG211+BH227*BH211+BI227*BI211+BJ227*BJ211+BK227*BK211+BL227*BL211+BM227*BM211+BN227*BN211+BO227*BO211+BP227*BP211+BQ227*BQ211+BR227*BR211+BS227*BS211+BT227*BT211+BU227*BU211+BV227*BV211+BW227*BW211+BX227*BX211+BY227*BY211+BZ227*BZ211+CA227*CA211+CB227*CB211+CC227*CC211</f>
        <v>0</v>
      </c>
      <c r="CN211" s="2387">
        <f>E228*E211+F228*F211+G228*G211+H228*H211+I228*I211+J228*J211+K228*K211+L228*L211+M228*M211+N228*N211+O228*O211+P228*P211+Q228*Q211+R228*R211+S228*S211+T228*T211+U228*U211+V228*V211+W228*W211+X228*X211+Y228*Y211+Z228*Z211+AA228*AA211+AB228*AB211+AC228*AC211+AD228*AD211+AE228*AE211+AF228*AF211+AG228*AG211+AH228*AH211+AI228*AI211+AJ228*AJ211+AK228*AK211+AL228*AL211+AM228*AM211+AN228*AN211+AO228*AO211+AP228*AP211+AQ228*AQ211+AR228*AR211+AS228*AS211+AT228*AT211+AU228*AU211+AV228*AV211+AW228*AW211+AX228*AX211+AY228*AY211+AZ228*AZ211+BA228*BA211+BB228*BB211+BC228*BC211+BD228*BD211+BE228*BE211+BF228*BF211+BG228*BG211+BH228*BH211+BI228*BI211+BJ228*BJ211+BK228*BK211+BL228*BL211+BM228*BM211+BN228*BN211+BO228*BO211+BP228*BP211+BQ228*BQ211+BR228*BR211+BS228*BS211+BT228*BT211+BU228*BU211+BV228*BV211+BW228*BW211+BX228*BX211+BY228*BY211+BZ228*BZ211+CA228*CA211+CB228*CB211+CC228*CC211</f>
        <v>0</v>
      </c>
      <c r="CO211" s="2387">
        <f>E229*E211+F229*F211+G229*G211+H229*H211+I229*I211+J229*J211+K229*K211+L229*L211+M229*M211+N229*N211+O229*O211+P229*P211+Q229*Q211+R229*R211+S229*S211+T229*T211+U229*U211+V229*V211+W229*W211+X229*X211+Y229*Y211+Z229*Z211+AA229*AA211+AB229*AB211+AC229*AC211+AD229*AD211+AE229*AE211+AF229*AF211+AG229*AG211+AH229*AH211+AI229*AI211+AJ229*AJ211+AK229*AK211+AL229*AL211+AM229*AM211+AN229*AN211+AO229*AO211+AP229*AP211+AQ229*AQ211+AR229*AR211+AS229*AS211+AT229*AT211+AU229*AU211+AV229*AV211+AW229*AW211+AX229*AX211+AY229*AY211+AZ229*AZ211+BA229*BA211+BB229*BB211+BC229*BC211+BD229*BD211+BE229*BE211+BF229*BF211+BG229*BG211+BH229*BH211+BI229*BI211+BJ229*BJ211+BK229*BK211+BL229*BL211+BM229*BM211+BN229*BN211+BO229*BO211+BP229*BP211+BQ229*BQ211+BR229*BR211+BS229*BS211+BT229*BT211+BU229*BU211+BV229*BV211+BW229*BW211+BX229*BX211+BY229*BY211+BZ229*BZ211+CA229*CA211+CB229*CB211+CC229*CC211</f>
        <v>0</v>
      </c>
      <c r="CP211" s="2387">
        <f>E230*E211+F230*F211+G230*G211+H230*H211+I230*I211+J230*J211+K230*K211+L230*L211+M230*M211+N230*N211+O230*O211+P230*P211+Q230*Q211+R230*R211+S230*S211+T230*T211+U230*U211+V230*V211+W230*W211+X230*X211+Y230*Y211+Z230*Z211+AA230*AA211+AB230*AB211+AC230*AC211+AD230*AD211+AE230*AE211+AF230*AF211+AG230*AG211+AH230*AH211+AI230*AI211+AJ230*AJ211+AK230*AK211+AL230*AL211+AM230*AM211+AN230*AN211+AO230*AO211+AP230*AP211+AQ230*AQ211+AR230*AR211+AS230*AS211+AT230*AT211+AU230*AU211+AV230*AV211+AW230*AW211+AX230*AX211+AY230*AY211+AZ230*AZ211+BA230*BA211+BB230*BB211+BC230*BC211+BD230*BD211+BE230*BE211+BF230*BF211+BG230*BG211+BH230*BH211+BI230*BI211+BJ230*BJ211+BK230*BK211+BL230*BL211+BM230*BM211+BN230*BN211+BO230*BO211+BP230*BP211+BQ230*BQ211+BR230*BR211+BS230*BS211+BT230*BT211+BU230*BU211+BV230*BV211+BW230*BW211+BX230*BX211+BY230*BY211+BZ230*BZ211+CA230*CA211+CB230*CB211+CC230*CC211</f>
        <v>0</v>
      </c>
    </row>
    <row r="212" spans="2:94" x14ac:dyDescent="0.25">
      <c r="B212" s="1590">
        <v>93</v>
      </c>
      <c r="C212" s="773" t="s">
        <v>3434</v>
      </c>
      <c r="D212" s="774" t="s">
        <v>3201</v>
      </c>
      <c r="E212" s="990">
        <f>0</f>
        <v>0</v>
      </c>
      <c r="F212" s="990">
        <f>0</f>
        <v>0</v>
      </c>
      <c r="G212" s="990">
        <f>0</f>
        <v>0</v>
      </c>
      <c r="H212" s="990">
        <f>0</f>
        <v>0</v>
      </c>
      <c r="I212" s="990">
        <f>0</f>
        <v>0</v>
      </c>
      <c r="J212" s="990">
        <f>0</f>
        <v>0</v>
      </c>
      <c r="K212" s="990">
        <f>0</f>
        <v>0</v>
      </c>
      <c r="L212" s="990">
        <f>0</f>
        <v>0</v>
      </c>
      <c r="M212" s="990">
        <f>0</f>
        <v>0</v>
      </c>
      <c r="N212" s="990">
        <f>0</f>
        <v>0</v>
      </c>
      <c r="O212" s="990">
        <f>0</f>
        <v>0</v>
      </c>
      <c r="P212" s="990">
        <f>0</f>
        <v>0</v>
      </c>
      <c r="Q212" s="990">
        <f>0</f>
        <v>0</v>
      </c>
      <c r="R212" s="990">
        <f>0</f>
        <v>0</v>
      </c>
      <c r="S212" s="990">
        <f>0</f>
        <v>0</v>
      </c>
      <c r="T212" s="990">
        <f>0</f>
        <v>0</v>
      </c>
      <c r="U212" s="990">
        <f>0</f>
        <v>0</v>
      </c>
      <c r="V212" s="990">
        <f>0</f>
        <v>0</v>
      </c>
      <c r="W212" s="990">
        <f>0</f>
        <v>0</v>
      </c>
      <c r="X212" s="990">
        <f>0</f>
        <v>0</v>
      </c>
      <c r="Y212" s="990">
        <f>0</f>
        <v>0</v>
      </c>
      <c r="Z212" s="990">
        <f>0</f>
        <v>0</v>
      </c>
      <c r="AA212" s="990">
        <f>0</f>
        <v>0</v>
      </c>
      <c r="AB212" s="990">
        <f>0</f>
        <v>0</v>
      </c>
      <c r="AC212" s="990">
        <f>0</f>
        <v>0</v>
      </c>
      <c r="AD212" s="990">
        <f>0</f>
        <v>0</v>
      </c>
      <c r="AE212" s="990">
        <f>0</f>
        <v>0</v>
      </c>
      <c r="AF212" s="990">
        <f>0</f>
        <v>0</v>
      </c>
      <c r="AG212" s="990">
        <f>0</f>
        <v>0</v>
      </c>
      <c r="AH212" s="990">
        <f>0</f>
        <v>0</v>
      </c>
      <c r="AI212" s="990">
        <f>0</f>
        <v>0</v>
      </c>
      <c r="AJ212" s="990">
        <f>0</f>
        <v>0</v>
      </c>
      <c r="AK212" s="990">
        <f>0</f>
        <v>0</v>
      </c>
      <c r="AL212" s="990">
        <f>1</f>
        <v>1</v>
      </c>
      <c r="AM212" s="990">
        <f>0</f>
        <v>0</v>
      </c>
      <c r="AN212" s="990">
        <f>0</f>
        <v>0</v>
      </c>
      <c r="AO212" s="990">
        <f>0</f>
        <v>0</v>
      </c>
      <c r="AP212" s="990">
        <f>0</f>
        <v>0</v>
      </c>
      <c r="AQ212" s="990">
        <f>0</f>
        <v>0</v>
      </c>
      <c r="AR212" s="990">
        <f>0</f>
        <v>0</v>
      </c>
      <c r="AS212" s="990">
        <f>0</f>
        <v>0</v>
      </c>
      <c r="AT212" s="990">
        <f>0</f>
        <v>0</v>
      </c>
      <c r="AU212" s="990">
        <f>0</f>
        <v>0</v>
      </c>
      <c r="AV212" s="990">
        <f>0</f>
        <v>0</v>
      </c>
      <c r="AW212" s="990">
        <f>0</f>
        <v>0</v>
      </c>
      <c r="AX212" s="990">
        <f>0</f>
        <v>0</v>
      </c>
      <c r="AY212" s="990">
        <f>0</f>
        <v>0</v>
      </c>
      <c r="AZ212" s="990">
        <f>0</f>
        <v>0</v>
      </c>
      <c r="BA212" s="990">
        <f>0</f>
        <v>0</v>
      </c>
      <c r="BB212" s="990">
        <f>0</f>
        <v>0</v>
      </c>
      <c r="BC212" s="990">
        <f>0</f>
        <v>0</v>
      </c>
      <c r="BD212" s="990">
        <f>0</f>
        <v>0</v>
      </c>
      <c r="BE212" s="990">
        <f>0</f>
        <v>0</v>
      </c>
      <c r="BF212" s="990">
        <f>0</f>
        <v>0</v>
      </c>
      <c r="BG212" s="990">
        <f>0</f>
        <v>0</v>
      </c>
      <c r="BH212" s="990">
        <f>0</f>
        <v>0</v>
      </c>
      <c r="BI212" s="990">
        <f>0</f>
        <v>0</v>
      </c>
      <c r="BJ212" s="990">
        <f>0</f>
        <v>0</v>
      </c>
      <c r="BK212" s="990">
        <f>0</f>
        <v>0</v>
      </c>
      <c r="BL212" s="1640">
        <f>0</f>
        <v>0</v>
      </c>
      <c r="BM212" s="990">
        <f>0</f>
        <v>0</v>
      </c>
      <c r="BN212" s="990">
        <f>0</f>
        <v>0</v>
      </c>
      <c r="BO212" s="990">
        <f>0</f>
        <v>0</v>
      </c>
      <c r="BP212" s="1426">
        <f>0</f>
        <v>0</v>
      </c>
      <c r="BQ212" s="2375">
        <f>0</f>
        <v>0</v>
      </c>
      <c r="BR212" s="990">
        <f>0</f>
        <v>0</v>
      </c>
      <c r="BS212" s="990">
        <f>0</f>
        <v>0</v>
      </c>
      <c r="BT212" s="990">
        <f>0</f>
        <v>0</v>
      </c>
      <c r="BU212" s="990">
        <f>0</f>
        <v>0</v>
      </c>
      <c r="BV212" s="990">
        <f>0</f>
        <v>0</v>
      </c>
      <c r="BW212" s="990">
        <f>0</f>
        <v>0</v>
      </c>
      <c r="BX212" s="990">
        <f>0</f>
        <v>0</v>
      </c>
      <c r="BY212" s="1005">
        <f>-Δ_atm</f>
        <v>-1</v>
      </c>
      <c r="BZ212" s="990">
        <f>0</f>
        <v>0</v>
      </c>
      <c r="CA212" s="990">
        <f>0</f>
        <v>0</v>
      </c>
      <c r="CB212" s="990">
        <f>0</f>
        <v>0</v>
      </c>
      <c r="CC212" s="990">
        <f>0</f>
        <v>0</v>
      </c>
      <c r="CD212" s="1666">
        <f>k_LaGCH4_sur*(S_GCH4_sur_sat-S_CH4)</f>
        <v>-2.5329999999999998E-2</v>
      </c>
      <c r="CF212" s="2385">
        <f>E220*E212+F220*F212+G220*G212+H220*H212+I220*I212+J220*J212+K220*K212+L220*L212+M220*M212+N220*N212+O220*O212+P220*P212+Q220*Q212+R220*R212+S220*S212+T220*T212+U220*U212+V220*V212+W220*W212+X220*X212+Y220*Y212+Z220*Z212+AA220*AA212+AB220*AB212+AC220*AC212+AD220*AD212+AE220*AE212+AF220*AF212+AG220*AG212+AH220*AH212+AI220*AI212+AJ220*AJ212+AK220*AK212+AL220*AL212+AM220*AM212+AN220*AN212+AO220*AO212+AP220*AP212+AQ220*AQ212+AR220*AR212+AS220*AS212+AT220*AT212+AU220*AU212+AV220*AV212+AW220*AW212+AX220*AX212+AY220*AY212+AZ220*AZ212+BA220*BA212+BB220*BB212+BC220*BC212+BD220*BD212+BE220*BE212+BF220*BF212+BG220*BG212+BH220*BH212+BI220*BI212+BJ220*BJ212+BK220*BK212+BL220*BL212+BM220*BM212+BN220*BN212+BO220*BO212+BP220*BP212+BQ220*BQ212+BR220*BR212+BS220*BS212+BT220*BT212+BU220*BU212+BV220*BV212+BW220*BW212+BX220*BX212+BY220*BY212+BZ220*BZ212+CA220*CA212+CB220*CB212+CC220*CC212</f>
        <v>0</v>
      </c>
      <c r="CG212" s="2385">
        <f>E221*E212+F221*F212+G221*G212+H221*H212+I221*I212+J221*J212+K221*K212+L221*L212+M221*M212+N221*N212+O221*O212+P221*P212+Q221*Q212+R221*R212+S221*S212+T221*T212+U221*U212+V221*V212+W221*W212+X221*X212+Y221*Y212+Z221*Z212+AA221*AA212+AB221*AB212+AC221*AC212+AD221*AD212+AE221*AE212+AF221*AF212+AG221*AG212+AH221*AH212+AI221*AI212+AJ221*AJ212+AK221*AK212+AL221*AL212+AM221*AM212+AN221*AN212+AO221*AO212+AP221*AP212+AQ221*AQ212+AR221*AR212+AS221*AS212+AT221*AT212+AU221*AU212+AV221*AV212+AW221*AW212+AX221*AX212+AY221*AY212+AZ221*AZ212+BA221*BA212+BB221*BB212+BC221*BC212+BD221*BD212+BE221*BE212+BF221*BF212+BG221*BG212+BH221*BH212+BI221*BI212+BJ221*BJ212+BK221*BK212+BL221*BL212+BM221*BM212+BN221*BN212+BO221*BO212+BP221*BP212+BQ221*BQ212+BR221*BR212+BS221*BS212+BT221*BT212+BU221*BU212+BV221*BV212+BW221*BW212+BX221*BX212+BY221*BY212+BZ221*BZ212+CA221*CA212+CB221*CB212+CC221*CC212</f>
        <v>0</v>
      </c>
      <c r="CH212" s="2386">
        <f>E222*E212+F222*F212+G222*G212+H222*H212+I222*I212+J222*J212+K222*K212+L222*L212+M222*M212+N222*N212+O222*O212+P222*P212+Q222*Q212+R222*R212+S222*S212+T222*T212+U222*U212+V222*V212+W222*W212+X222*X212+Y222*Y212+Z222*Z212+AA222*AA212+AB222*AB212+AC222*AC212+AD222*AD212+AE222*AE212+AF222*AF212+AG222*AG212+AH222*AH212+AI222*AI212+AJ222*AJ212+AK222*AK212+AL222*AL212+AM222*AM212+AN222*AN212+AO222*AO212+AP222*AP212+AQ222*AQ212+AR222*AR212+AS222*AS212+AT222*AT212+AU222*AU212+AV222*AV212+AW222*AW212+AX222*AX212+AY222*AY212+AZ222*AZ212+BA222*BA212+BB222*BB212+BC222*BC212+BD222*BD212+BE222*BE212+BF222*BF212+BG222*BG212+BH222*BH212+BI222*BI212+BJ222*BJ212+BK222*BK212+BL222*BL212+BM222*BM212+BN222*BN212+BO222*BO212+BP222*BP212+BQ222*BQ212+BR222*BR212+BS222*BS212+BT222*BT212+BU222*BU212+BV222*BV212+BW222*BW212+BX222*BX212+BY222*BY212+BZ222*BZ212+CA222*CA212+CB222*CB212+CC222*CC212</f>
        <v>0</v>
      </c>
      <c r="CI212" s="2387">
        <f>E223*E212+F223*F212+G223*G212+H223*H212+I223*I212+J223*J212+K223*K212+L223*L212+M223*M212+N223*N212+O223*O212+P223*P212+Q223*Q212+R223*R212+S223*S212+T223*T212+U223*U212+V223*V212+W223*W212+X223*X212+Y223*Y212+Z223*Z212+AA223*AA212+AB223*AB212+AC223*AC212+AD223*AD212+AE223*AE212+AF223*AF212+AG223*AG212+AH223*AH212+AI223*AI212+AJ223*AJ212+AK223*AK212+AL223*AL212+AM223*AM212+AN223*AN212+AO223*AO212+AP223*AP212+AQ223*AQ212+AR223*AR212+AS223*AS212+AT223*AT212+AU223*AU212+AV223*AV212+AW223*AW212+AX223*AX212+AY223*AY212+AZ223*AZ212+BA223*BA212+BB223*BB212+BC223*BC212+BD223*BD212+BE223*BE212+BF223*BF212+BG223*BG212+BH223*BH212+BI223*BI212+BJ223*BJ212+BK223*BK212+BL223*BL212+BM223*BM212+BN223*BN212+BO223*BO212+BP223*BP212+BQ223*BQ212+BR223*BR212+BS223*BS212+BT223*BT212+BU223*BU212+BV223*BV212+BW223*BW212+BX223*BX212+BY223*BY212+BZ223*BZ212+CA223*CA212+CB223*CB212+CC223*CC212</f>
        <v>0</v>
      </c>
      <c r="CJ212" s="2387">
        <f>E224*E212+F224*F212+G224*G212+H224*H212+I224*I212+J224*J212+K224*K212+L224*L212+M224*M212+N224*N212+O224*O212+P224*P212+Q224*Q212+R224*R212+S224*S212+T224*T212+U224*U212+V224*V212+W224*W212+X224*X212+Y224*Y212+Z224*Z212+AA224*AA212+AB224*AB212+AC224*AC212+AD224*AD212+AE224*AE212+AF224*AF212+AG224*AG212+AH224*AH212+AI224*AI212+AJ224*AJ212+AK224*AK212+AL224*AL212+AM224*AM212+AN224*AN212+AO224*AO212+AP224*AP212+AQ224*AQ212+AR224*AR212+AS224*AS212+AT224*AT212+AU224*AU212+AV224*AV212+AW224*AW212+AX224*AX212+AY224*AY212+AZ224*AZ212+BA224*BA212+BB224*BB212+BC224*BC212+BD224*BD212+BE224*BE212+BF224*BF212+BG224*BG212+BH224*BH212+BI224*BI212+BJ224*BJ212+BK224*BK212+BL224*BL212+BM224*BM212+BN224*BN212+BO224*BO212+BP224*BP212+BQ224*BQ212+BR224*BR212+BS224*BS212+BT224*BT212+BU224*BU212+BV224*BV212+BW224*BW212+BX224*BX212+BY224*BY212+BZ224*BZ212+CA224*CA212+CB224*CB212+CC224*CC212</f>
        <v>0</v>
      </c>
      <c r="CK212" s="2387">
        <f>E225*E212+F225*F212+G225*G212+H225*H212+I225*I212+J225*J212+K225*K212+L225*L212+M225*M212+N225*N212+O225*O212+P225*P212+Q225*Q212+R225*R212+S225*S212+T225*T212+U225*U212+V225*V212+W225*W212+X225*X212+Y225*Y212+Z225*Z212+AA225*AA212+AB225*AB212+AC225*AC212+AD225*AD212+AE225*AE212+AF225*AF212+AG225*AG212+AH225*AH212+AI225*AI212+AJ225*AJ212+AK225*AK212+AL225*AL212+AM225*AM212+AN225*AN212+AO225*AO212+AP225*AP212+AQ225*AQ212+AR225*AR212+AS225*AS212+AT225*AT212+AU225*AU212+AV225*AV212+AW225*AW212+AX225*AX212+AY225*AY212+AZ225*AZ212+BA225*BA212+BB225*BB212+BC225*BC212+BD225*BD212+BE225*BE212+BF225*BF212+BG225*BG212+BH225*BH212+BI225*BI212+BJ225*BJ212+BK225*BK212+BL225*BL212+BM225*BM212+BN225*BN212+BO225*BO212+BP225*BP212+BQ225*BQ212+BR225*BR212+BS225*BS212+BT225*BT212+BU225*BU212+BV225*BV212+BW225*BW212+BX225*BX212+BY225*BY212+BZ225*BZ212+CA225*CA212+CB225*CB212+CC225*CC212</f>
        <v>0</v>
      </c>
      <c r="CL212" s="2387">
        <f>E226*E212+F226*F212+G226*G212+H226*H212+I226*I212+J226*J212+K226*K212+L226*L212+M226*M212+N226*N212+O226*O212+P226*P212+Q226*Q212+R226*R212+S226*S212+T226*T212+U226*U212+V226*V212+W226*W212+X226*X212+Y226*Y212+Z226*Z212+AA226*AA212+AB226*AB212+AC226*AC212+AD226*AD212+AE226*AE212+AF226*AF212+AG226*AG212+AH226*AH212+AI226*AI212+AJ226*AJ212+AK226*AK212+AL226*AL212+AM226*AM212+AN226*AN212+AO226*AO212+AP226*AP212+AQ226*AQ212+AR226*AR212+AS226*AS212+AT226*AT212+AU226*AU212+AV226*AV212+AW226*AW212+AX226*AX212+AY226*AY212+AZ226*AZ212+BA226*BA212+BB226*BB212+BC226*BC212+BD226*BD212+BE226*BE212+BF226*BF212+BG226*BG212+BH226*BH212+BI226*BI212+BJ226*BJ212+BK226*BK212+BL226*BL212+BM226*BM212+BN226*BN212+BO226*BO212+BP226*BP212+BQ226*BQ212+BR226*BR212+BS226*BS212+BT226*BT212+BU226*BU212+BV226*BV212+BW226*BW212+BX226*BX212+BY226*BY212+BZ226*BZ212+CA226*CA212+CB226*CB212+CC226*CC212</f>
        <v>0</v>
      </c>
      <c r="CM212" s="2387">
        <f>E227*E212+F227*F212+G227*G212+H227*H212+I227*I212+J227*J212+K227*K212+L227*L212+M227*M212+N227*N212+O227*O212+P227*P212+Q227*Q212+R227*R212+S227*S212+T227*T212+U227*U212+V227*V212+W227*W212+X227*X212+Y227*Y212+Z227*Z212+AA227*AA212+AB227*AB212+AC227*AC212+AD227*AD212+AE227*AE212+AF227*AF212+AG227*AG212+AH227*AH212+AI227*AI212+AJ227*AJ212+AK227*AK212+AL227*AL212+AM227*AM212+AN227*AN212+AO227*AO212+AP227*AP212+AQ227*AQ212+AR227*AR212+AS227*AS212+AT227*AT212+AU227*AU212+AV227*AV212+AW227*AW212+AX227*AX212+AY227*AY212+AZ227*AZ212+BA227*BA212+BB227*BB212+BC227*BC212+BD227*BD212+BE227*BE212+BF227*BF212+BG227*BG212+BH227*BH212+BI227*BI212+BJ227*BJ212+BK227*BK212+BL227*BL212+BM227*BM212+BN227*BN212+BO227*BO212+BP227*BP212+BQ227*BQ212+BR227*BR212+BS227*BS212+BT227*BT212+BU227*BU212+BV227*BV212+BW227*BW212+BX227*BX212+BY227*BY212+BZ227*BZ212+CA227*CA212+CB227*CB212+CC227*CC212</f>
        <v>0</v>
      </c>
      <c r="CN212" s="2387">
        <f>E228*E212+F228*F212+G228*G212+H228*H212+I228*I212+J228*J212+K228*K212+L228*L212+M228*M212+N228*N212+O228*O212+P228*P212+Q228*Q212+R228*R212+S228*S212+T228*T212+U228*U212+V228*V212+W228*W212+X228*X212+Y228*Y212+Z228*Z212+AA228*AA212+AB228*AB212+AC228*AC212+AD228*AD212+AE228*AE212+AF228*AF212+AG228*AG212+AH228*AH212+AI228*AI212+AJ228*AJ212+AK228*AK212+AL228*AL212+AM228*AM212+AN228*AN212+AO228*AO212+AP228*AP212+AQ228*AQ212+AR228*AR212+AS228*AS212+AT228*AT212+AU228*AU212+AV228*AV212+AW228*AW212+AX228*AX212+AY228*AY212+AZ228*AZ212+BA228*BA212+BB228*BB212+BC228*BC212+BD228*BD212+BE228*BE212+BF228*BF212+BG228*BG212+BH228*BH212+BI228*BI212+BJ228*BJ212+BK228*BK212+BL228*BL212+BM228*BM212+BN228*BN212+BO228*BO212+BP228*BP212+BQ228*BQ212+BR228*BR212+BS228*BS212+BT228*BT212+BU228*BU212+BV228*BV212+BW228*BW212+BX228*BX212+BY228*BY212+BZ228*BZ212+CA228*CA212+CB228*CB212+CC228*CC212</f>
        <v>0</v>
      </c>
      <c r="CO212" s="2387">
        <f>E229*E212+F229*F212+G229*G212+H229*H212+I229*I212+J229*J212+K229*K212+L229*L212+M229*M212+N229*N212+O229*O212+P229*P212+Q229*Q212+R229*R212+S229*S212+T229*T212+U229*U212+V229*V212+W229*W212+X229*X212+Y229*Y212+Z229*Z212+AA229*AA212+AB229*AB212+AC229*AC212+AD229*AD212+AE229*AE212+AF229*AF212+AG229*AG212+AH229*AH212+AI229*AI212+AJ229*AJ212+AK229*AK212+AL229*AL212+AM229*AM212+AN229*AN212+AO229*AO212+AP229*AP212+AQ229*AQ212+AR229*AR212+AS229*AS212+AT229*AT212+AU229*AU212+AV229*AV212+AW229*AW212+AX229*AX212+AY229*AY212+AZ229*AZ212+BA229*BA212+BB229*BB212+BC229*BC212+BD229*BD212+BE229*BE212+BF229*BF212+BG229*BG212+BH229*BH212+BI229*BI212+BJ229*BJ212+BK229*BK212+BL229*BL212+BM229*BM212+BN229*BN212+BO229*BO212+BP229*BP212+BQ229*BQ212+BR229*BR212+BS229*BS212+BT229*BT212+BU229*BU212+BV229*BV212+BW229*BW212+BX229*BX212+BY229*BY212+BZ229*BZ212+CA229*CA212+CB229*CB212+CC229*CC212</f>
        <v>0</v>
      </c>
      <c r="CP212" s="2387">
        <f>E230*E212+F230*F212+G230*G212+H230*H212+I230*I212+J230*J212+K230*K212+L230*L212+M230*M212+N230*N212+O230*O212+P230*P212+Q230*Q212+R230*R212+S230*S212+T230*T212+U230*U212+V230*V212+W230*W212+X230*X212+Y230*Y212+Z230*Z212+AA230*AA212+AB230*AB212+AC230*AC212+AD230*AD212+AE230*AE212+AF230*AF212+AG230*AG212+AH230*AH212+AI230*AI212+AJ230*AJ212+AK230*AK212+AL230*AL212+AM230*AM212+AN230*AN212+AO230*AO212+AP230*AP212+AQ230*AQ212+AR230*AR212+AS230*AS212+AT230*AT212+AU230*AU212+AV230*AV212+AW230*AW212+AX230*AX212+AY230*AY212+AZ230*AZ212+BA230*BA212+BB230*BB212+BC230*BC212+BD230*BD212+BE230*BE212+BF230*BF212+BG230*BG212+BH230*BH212+BI230*BI212+BJ230*BJ212+BK230*BK212+BL230*BL212+BM230*BM212+BN230*BN212+BO230*BO212+BP230*BP212+BQ230*BQ212+BR230*BR212+BS230*BS212+BT230*BT212+BU230*BU212+BV230*BV212+BW230*BW212+BX230*BX212+BY230*BY212+BZ230*BZ212+CA230*CA212+CB230*CB212+CC230*CC212</f>
        <v>0</v>
      </c>
    </row>
    <row r="213" spans="2:94" x14ac:dyDescent="0.25">
      <c r="B213" s="1590">
        <v>94</v>
      </c>
      <c r="C213" s="773" t="s">
        <v>3455</v>
      </c>
      <c r="D213" s="774" t="s">
        <v>3203</v>
      </c>
      <c r="E213" s="990">
        <f>0</f>
        <v>0</v>
      </c>
      <c r="F213" s="990">
        <f>0</f>
        <v>0</v>
      </c>
      <c r="G213" s="990">
        <f>0</f>
        <v>0</v>
      </c>
      <c r="H213" s="990">
        <f>0</f>
        <v>0</v>
      </c>
      <c r="I213" s="990">
        <f>0</f>
        <v>0</v>
      </c>
      <c r="J213" s="990">
        <f>0</f>
        <v>0</v>
      </c>
      <c r="K213" s="990">
        <f>0</f>
        <v>0</v>
      </c>
      <c r="L213" s="990">
        <f>0</f>
        <v>0</v>
      </c>
      <c r="M213" s="990">
        <f>0</f>
        <v>0</v>
      </c>
      <c r="N213" s="990">
        <f>0</f>
        <v>0</v>
      </c>
      <c r="O213" s="990">
        <f>0</f>
        <v>0</v>
      </c>
      <c r="P213" s="990">
        <f>0</f>
        <v>0</v>
      </c>
      <c r="Q213" s="990">
        <f>0</f>
        <v>0</v>
      </c>
      <c r="R213" s="990">
        <f>0</f>
        <v>0</v>
      </c>
      <c r="S213" s="990">
        <f>0</f>
        <v>0</v>
      </c>
      <c r="T213" s="990">
        <f>0</f>
        <v>0</v>
      </c>
      <c r="U213" s="990">
        <f>0</f>
        <v>0</v>
      </c>
      <c r="V213" s="990">
        <f>0</f>
        <v>0</v>
      </c>
      <c r="W213" s="990">
        <f>0</f>
        <v>0</v>
      </c>
      <c r="X213" s="990">
        <f>0</f>
        <v>0</v>
      </c>
      <c r="Y213" s="990">
        <f>0</f>
        <v>0</v>
      </c>
      <c r="Z213" s="990">
        <f>0</f>
        <v>0</v>
      </c>
      <c r="AA213" s="990">
        <f>0</f>
        <v>0</v>
      </c>
      <c r="AB213" s="990">
        <f>0</f>
        <v>0</v>
      </c>
      <c r="AC213" s="990">
        <f>0</f>
        <v>0</v>
      </c>
      <c r="AD213" s="990">
        <f>0</f>
        <v>0</v>
      </c>
      <c r="AE213" s="990">
        <f>0</f>
        <v>0</v>
      </c>
      <c r="AF213" s="990">
        <f>0</f>
        <v>0</v>
      </c>
      <c r="AG213" s="990">
        <f>0</f>
        <v>0</v>
      </c>
      <c r="AH213" s="990">
        <f>0</f>
        <v>0</v>
      </c>
      <c r="AI213" s="990">
        <f>0</f>
        <v>0</v>
      </c>
      <c r="AJ213" s="990">
        <f>0</f>
        <v>0</v>
      </c>
      <c r="AK213" s="990">
        <f>0</f>
        <v>0</v>
      </c>
      <c r="AL213" s="990">
        <f>0</f>
        <v>0</v>
      </c>
      <c r="AM213" s="990">
        <f>1</f>
        <v>1</v>
      </c>
      <c r="AN213" s="990">
        <f>0</f>
        <v>0</v>
      </c>
      <c r="AO213" s="990">
        <f>0</f>
        <v>0</v>
      </c>
      <c r="AP213" s="990">
        <f>0</f>
        <v>0</v>
      </c>
      <c r="AQ213" s="990">
        <f>0</f>
        <v>0</v>
      </c>
      <c r="AR213" s="990">
        <f>0</f>
        <v>0</v>
      </c>
      <c r="AS213" s="990">
        <f>0</f>
        <v>0</v>
      </c>
      <c r="AT213" s="990">
        <f>0</f>
        <v>0</v>
      </c>
      <c r="AU213" s="990">
        <f>0</f>
        <v>0</v>
      </c>
      <c r="AV213" s="990">
        <f>0</f>
        <v>0</v>
      </c>
      <c r="AW213" s="990">
        <f>0</f>
        <v>0</v>
      </c>
      <c r="AX213" s="990">
        <f>0</f>
        <v>0</v>
      </c>
      <c r="AY213" s="990">
        <f>0</f>
        <v>0</v>
      </c>
      <c r="AZ213" s="990">
        <f>0</f>
        <v>0</v>
      </c>
      <c r="BA213" s="990">
        <f>0</f>
        <v>0</v>
      </c>
      <c r="BB213" s="990">
        <f>0</f>
        <v>0</v>
      </c>
      <c r="BC213" s="990">
        <f>0</f>
        <v>0</v>
      </c>
      <c r="BD213" s="990">
        <f>0</f>
        <v>0</v>
      </c>
      <c r="BE213" s="990">
        <f>0</f>
        <v>0</v>
      </c>
      <c r="BF213" s="990">
        <f>0</f>
        <v>0</v>
      </c>
      <c r="BG213" s="990">
        <f>0</f>
        <v>0</v>
      </c>
      <c r="BH213" s="990">
        <f>0</f>
        <v>0</v>
      </c>
      <c r="BI213" s="990">
        <f>0</f>
        <v>0</v>
      </c>
      <c r="BJ213" s="990">
        <f>0</f>
        <v>0</v>
      </c>
      <c r="BK213" s="990">
        <f>0</f>
        <v>0</v>
      </c>
      <c r="BL213" s="1640">
        <f>0</f>
        <v>0</v>
      </c>
      <c r="BM213" s="990">
        <f>0</f>
        <v>0</v>
      </c>
      <c r="BN213" s="990">
        <f>0</f>
        <v>0</v>
      </c>
      <c r="BO213" s="990">
        <f>0</f>
        <v>0</v>
      </c>
      <c r="BP213" s="1426">
        <f>0</f>
        <v>0</v>
      </c>
      <c r="BQ213" s="2375">
        <f>0</f>
        <v>0</v>
      </c>
      <c r="BR213" s="990">
        <f>0</f>
        <v>0</v>
      </c>
      <c r="BS213" s="990">
        <f>0</f>
        <v>0</v>
      </c>
      <c r="BT213" s="990">
        <f>0</f>
        <v>0</v>
      </c>
      <c r="BU213" s="990">
        <f>0</f>
        <v>0</v>
      </c>
      <c r="BV213" s="990">
        <f>0</f>
        <v>0</v>
      </c>
      <c r="BW213" s="990">
        <f>0</f>
        <v>0</v>
      </c>
      <c r="BX213" s="990">
        <f>0</f>
        <v>0</v>
      </c>
      <c r="BY213" s="990">
        <f>0</f>
        <v>0</v>
      </c>
      <c r="BZ213" s="1005">
        <f>-Δ_atm</f>
        <v>-1</v>
      </c>
      <c r="CA213" s="990">
        <f>0</f>
        <v>0</v>
      </c>
      <c r="CB213" s="990">
        <f>0</f>
        <v>0</v>
      </c>
      <c r="CC213" s="990">
        <f>0</f>
        <v>0</v>
      </c>
      <c r="CD213" s="1666">
        <f>k_LaGH2_sur*(S_GH2_sur_sat-S_H2)</f>
        <v>-4.4020000000000004E-2</v>
      </c>
      <c r="CF213" s="2385">
        <f>E220*E213+F220*F213+G220*G213+H220*H213+I220*I213+J220*J213+K220*K213+L220*L213+M220*M213+N220*N213+O220*O213+P220*P213+Q220*Q213+R220*R213+S220*S213+T220*T213+U220*U213+V220*V213+W220*W213+X220*X213+Y220*Y213+Z220*Z213+AA220*AA213+AB220*AB213+AC220*AC213+AD220*AD213+AE220*AE213+AF220*AF213+AG220*AG213+AH220*AH213+AI220*AI213+AJ220*AJ213+AK220*AK213+AL220*AL213+AM220*AM213+AN220*AN213+AO220*AO213+AP220*AP213+AQ220*AQ213+AR220*AR213+AS220*AS213+AT220*AT213+AU220*AU213+AV220*AV213+AW220*AW213+AX220*AX213+AY220*AY213+AZ220*AZ213+BA220*BA213+BB220*BB213+BC220*BC213+BD220*BD213+BE220*BE213+BF220*BF213+BG220*BG213+BH220*BH213+BI220*BI213+BJ220*BJ213+BK220*BK213+BL220*BL213+BM220*BM213+BN220*BN213+BO220*BO213+BP220*BP213+BQ220*BQ213+BR220*BR213+BS220*BS213+BT220*BT213+BU220*BU213+BV220*BV213+BW220*BW213+BX220*BX213+BY220*BY213+BZ220*BZ213+CA220*CA213+CB220*CB213+CC220*CC213</f>
        <v>0</v>
      </c>
      <c r="CG213" s="2385">
        <f>E221*E213+F221*F213+G221*G213+H221*H213+I221*I213+J221*J213+K221*K213+L221*L213+M221*M213+N221*N213+O221*O213+P221*P213+Q221*Q213+R221*R213+S221*S213+T221*T213+U221*U213+V221*V213+W221*W213+X221*X213+Y221*Y213+Z221*Z213+AA221*AA213+AB221*AB213+AC221*AC213+AD221*AD213+AE221*AE213+AF221*AF213+AG221*AG213+AH221*AH213+AI221*AI213+AJ221*AJ213+AK221*AK213+AL221*AL213+AM221*AM213+AN221*AN213+AO221*AO213+AP221*AP213+AQ221*AQ213+AR221*AR213+AS221*AS213+AT221*AT213+AU221*AU213+AV221*AV213+AW221*AW213+AX221*AX213+AY221*AY213+AZ221*AZ213+BA221*BA213+BB221*BB213+BC221*BC213+BD221*BD213+BE221*BE213+BF221*BF213+BG221*BG213+BH221*BH213+BI221*BI213+BJ221*BJ213+BK221*BK213+BL221*BL213+BM221*BM213+BN221*BN213+BO221*BO213+BP221*BP213+BQ221*BQ213+BR221*BR213+BS221*BS213+BT221*BT213+BU221*BU213+BV221*BV213+BW221*BW213+BX221*BX213+BY221*BY213+BZ221*BZ213+CA221*CA213+CB221*CB213+CC221*CC213</f>
        <v>0</v>
      </c>
      <c r="CH213" s="2386">
        <f>E222*E213+F222*F213+G222*G213+H222*H213+I222*I213+J222*J213+K222*K213+L222*L213+M222*M213+N222*N213+O222*O213+P222*P213+Q222*Q213+R222*R213+S222*S213+T222*T213+U222*U213+V222*V213+W222*W213+X222*X213+Y222*Y213+Z222*Z213+AA222*AA213+AB222*AB213+AC222*AC213+AD222*AD213+AE222*AE213+AF222*AF213+AG222*AG213+AH222*AH213+AI222*AI213+AJ222*AJ213+AK222*AK213+AL222*AL213+AM222*AM213+AN222*AN213+AO222*AO213+AP222*AP213+AQ222*AQ213+AR222*AR213+AS222*AS213+AT222*AT213+AU222*AU213+AV222*AV213+AW222*AW213+AX222*AX213+AY222*AY213+AZ222*AZ213+BA222*BA213+BB222*BB213+BC222*BC213+BD222*BD213+BE222*BE213+BF222*BF213+BG222*BG213+BH222*BH213+BI222*BI213+BJ222*BJ213+BK222*BK213+BL222*BL213+BM222*BM213+BN222*BN213+BO222*BO213+BP222*BP213+BQ222*BQ213+BR222*BR213+BS222*BS213+BT222*BT213+BU222*BU213+BV222*BV213+BW222*BW213+BX222*BX213+BY222*BY213+BZ222*BZ213+CA222*CA213+CB222*CB213+CC222*CC213</f>
        <v>0</v>
      </c>
      <c r="CI213" s="2387">
        <f>E223*E213+F223*F213+G223*G213+H223*H213+I223*I213+J223*J213+K223*K213+L223*L213+M223*M213+N223*N213+O223*O213+P223*P213+Q223*Q213+R223*R213+S223*S213+T223*T213+U223*U213+V223*V213+W223*W213+X223*X213+Y223*Y213+Z223*Z213+AA223*AA213+AB223*AB213+AC223*AC213+AD223*AD213+AE223*AE213+AF223*AF213+AG223*AG213+AH223*AH213+AI223*AI213+AJ223*AJ213+AK223*AK213+AL223*AL213+AM223*AM213+AN223*AN213+AO223*AO213+AP223*AP213+AQ223*AQ213+AR223*AR213+AS223*AS213+AT223*AT213+AU223*AU213+AV223*AV213+AW223*AW213+AX223*AX213+AY223*AY213+AZ223*AZ213+BA223*BA213+BB223*BB213+BC223*BC213+BD223*BD213+BE223*BE213+BF223*BF213+BG223*BG213+BH223*BH213+BI223*BI213+BJ223*BJ213+BK223*BK213+BL223*BL213+BM223*BM213+BN223*BN213+BO223*BO213+BP223*BP213+BQ223*BQ213+BR223*BR213+BS223*BS213+BT223*BT213+BU223*BU213+BV223*BV213+BW223*BW213+BX223*BX213+BY223*BY213+BZ223*BZ213+CA223*CA213+CB223*CB213+CC223*CC213</f>
        <v>0</v>
      </c>
      <c r="CJ213" s="2387">
        <f>E224*E213+F224*F213+G224*G213+H224*H213+I224*I213+J224*J213+K224*K213+L224*L213+M224*M213+N224*N213+O224*O213+P224*P213+Q224*Q213+R224*R213+S224*S213+T224*T213+U224*U213+V224*V213+W224*W213+X224*X213+Y224*Y213+Z224*Z213+AA224*AA213+AB224*AB213+AC224*AC213+AD224*AD213+AE224*AE213+AF224*AF213+AG224*AG213+AH224*AH213+AI224*AI213+AJ224*AJ213+AK224*AK213+AL224*AL213+AM224*AM213+AN224*AN213+AO224*AO213+AP224*AP213+AQ224*AQ213+AR224*AR213+AS224*AS213+AT224*AT213+AU224*AU213+AV224*AV213+AW224*AW213+AX224*AX213+AY224*AY213+AZ224*AZ213+BA224*BA213+BB224*BB213+BC224*BC213+BD224*BD213+BE224*BE213+BF224*BF213+BG224*BG213+BH224*BH213+BI224*BI213+BJ224*BJ213+BK224*BK213+BL224*BL213+BM224*BM213+BN224*BN213+BO224*BO213+BP224*BP213+BQ224*BQ213+BR224*BR213+BS224*BS213+BT224*BT213+BU224*BU213+BV224*BV213+BW224*BW213+BX224*BX213+BY224*BY213+BZ224*BZ213+CA224*CA213+CB224*CB213+CC224*CC213</f>
        <v>0</v>
      </c>
      <c r="CK213" s="2387">
        <f>E225*E213+F225*F213+G225*G213+H225*H213+I225*I213+J225*J213+K225*K213+L225*L213+M225*M213+N225*N213+O225*O213+P225*P213+Q225*Q213+R225*R213+S225*S213+T225*T213+U225*U213+V225*V213+W225*W213+X225*X213+Y225*Y213+Z225*Z213+AA225*AA213+AB225*AB213+AC225*AC213+AD225*AD213+AE225*AE213+AF225*AF213+AG225*AG213+AH225*AH213+AI225*AI213+AJ225*AJ213+AK225*AK213+AL225*AL213+AM225*AM213+AN225*AN213+AO225*AO213+AP225*AP213+AQ225*AQ213+AR225*AR213+AS225*AS213+AT225*AT213+AU225*AU213+AV225*AV213+AW225*AW213+AX225*AX213+AY225*AY213+AZ225*AZ213+BA225*BA213+BB225*BB213+BC225*BC213+BD225*BD213+BE225*BE213+BF225*BF213+BG225*BG213+BH225*BH213+BI225*BI213+BJ225*BJ213+BK225*BK213+BL225*BL213+BM225*BM213+BN225*BN213+BO225*BO213+BP225*BP213+BQ225*BQ213+BR225*BR213+BS225*BS213+BT225*BT213+BU225*BU213+BV225*BV213+BW225*BW213+BX225*BX213+BY225*BY213+BZ225*BZ213+CA225*CA213+CB225*CB213+CC225*CC213</f>
        <v>0</v>
      </c>
      <c r="CL213" s="2387">
        <f>E226*E213+F226*F213+G226*G213+H226*H213+I226*I213+J226*J213+K226*K213+L226*L213+M226*M213+N226*N213+O226*O213+P226*P213+Q226*Q213+R226*R213+S226*S213+T226*T213+U226*U213+V226*V213+W226*W213+X226*X213+Y226*Y213+Z226*Z213+AA226*AA213+AB226*AB213+AC226*AC213+AD226*AD213+AE226*AE213+AF226*AF213+AG226*AG213+AH226*AH213+AI226*AI213+AJ226*AJ213+AK226*AK213+AL226*AL213+AM226*AM213+AN226*AN213+AO226*AO213+AP226*AP213+AQ226*AQ213+AR226*AR213+AS226*AS213+AT226*AT213+AU226*AU213+AV226*AV213+AW226*AW213+AX226*AX213+AY226*AY213+AZ226*AZ213+BA226*BA213+BB226*BB213+BC226*BC213+BD226*BD213+BE226*BE213+BF226*BF213+BG226*BG213+BH226*BH213+BI226*BI213+BJ226*BJ213+BK226*BK213+BL226*BL213+BM226*BM213+BN226*BN213+BO226*BO213+BP226*BP213+BQ226*BQ213+BR226*BR213+BS226*BS213+BT226*BT213+BU226*BU213+BV226*BV213+BW226*BW213+BX226*BX213+BY226*BY213+BZ226*BZ213+CA226*CA213+CB226*CB213+CC226*CC213</f>
        <v>0</v>
      </c>
      <c r="CM213" s="2387">
        <f>E227*E213+F227*F213+G227*G213+H227*H213+I227*I213+J227*J213+K227*K213+L227*L213+M227*M213+N227*N213+O227*O213+P227*P213+Q227*Q213+R227*R213+S227*S213+T227*T213+U227*U213+V227*V213+W227*W213+X227*X213+Y227*Y213+Z227*Z213+AA227*AA213+AB227*AB213+AC227*AC213+AD227*AD213+AE227*AE213+AF227*AF213+AG227*AG213+AH227*AH213+AI227*AI213+AJ227*AJ213+AK227*AK213+AL227*AL213+AM227*AM213+AN227*AN213+AO227*AO213+AP227*AP213+AQ227*AQ213+AR227*AR213+AS227*AS213+AT227*AT213+AU227*AU213+AV227*AV213+AW227*AW213+AX227*AX213+AY227*AY213+AZ227*AZ213+BA227*BA213+BB227*BB213+BC227*BC213+BD227*BD213+BE227*BE213+BF227*BF213+BG227*BG213+BH227*BH213+BI227*BI213+BJ227*BJ213+BK227*BK213+BL227*BL213+BM227*BM213+BN227*BN213+BO227*BO213+BP227*BP213+BQ227*BQ213+BR227*BR213+BS227*BS213+BT227*BT213+BU227*BU213+BV227*BV213+BW227*BW213+BX227*BX213+BY227*BY213+BZ227*BZ213+CA227*CA213+CB227*CB213+CC227*CC213</f>
        <v>0</v>
      </c>
      <c r="CN213" s="2387">
        <f>E228*E213+F228*F213+G228*G213+H228*H213+I228*I213+J228*J213+K228*K213+L228*L213+M228*M213+N228*N213+O228*O213+P228*P213+Q228*Q213+R228*R213+S228*S213+T228*T213+U228*U213+V228*V213+W228*W213+X228*X213+Y228*Y213+Z228*Z213+AA228*AA213+AB228*AB213+AC228*AC213+AD228*AD213+AE228*AE213+AF228*AF213+AG228*AG213+AH228*AH213+AI228*AI213+AJ228*AJ213+AK228*AK213+AL228*AL213+AM228*AM213+AN228*AN213+AO228*AO213+AP228*AP213+AQ228*AQ213+AR228*AR213+AS228*AS213+AT228*AT213+AU228*AU213+AV228*AV213+AW228*AW213+AX228*AX213+AY228*AY213+AZ228*AZ213+BA228*BA213+BB228*BB213+BC228*BC213+BD228*BD213+BE228*BE213+BF228*BF213+BG228*BG213+BH228*BH213+BI228*BI213+BJ228*BJ213+BK228*BK213+BL228*BL213+BM228*BM213+BN228*BN213+BO228*BO213+BP228*BP213+BQ228*BQ213+BR228*BR213+BS228*BS213+BT228*BT213+BU228*BU213+BV228*BV213+BW228*BW213+BX228*BX213+BY228*BY213+BZ228*BZ213+CA228*CA213+CB228*CB213+CC228*CC213</f>
        <v>0</v>
      </c>
      <c r="CO213" s="2387">
        <f>E229*E213+F229*F213+G229*G213+H229*H213+I229*I213+J229*J213+K229*K213+L229*L213+M229*M213+N229*N213+O229*O213+P229*P213+Q229*Q213+R229*R213+S229*S213+T229*T213+U229*U213+V229*V213+W229*W213+X229*X213+Y229*Y213+Z229*Z213+AA229*AA213+AB229*AB213+AC229*AC213+AD229*AD213+AE229*AE213+AF229*AF213+AG229*AG213+AH229*AH213+AI229*AI213+AJ229*AJ213+AK229*AK213+AL229*AL213+AM229*AM213+AN229*AN213+AO229*AO213+AP229*AP213+AQ229*AQ213+AR229*AR213+AS229*AS213+AT229*AT213+AU229*AU213+AV229*AV213+AW229*AW213+AX229*AX213+AY229*AY213+AZ229*AZ213+BA229*BA213+BB229*BB213+BC229*BC213+BD229*BD213+BE229*BE213+BF229*BF213+BG229*BG213+BH229*BH213+BI229*BI213+BJ229*BJ213+BK229*BK213+BL229*BL213+BM229*BM213+BN229*BN213+BO229*BO213+BP229*BP213+BQ229*BQ213+BR229*BR213+BS229*BS213+BT229*BT213+BU229*BU213+BV229*BV213+BW229*BW213+BX229*BX213+BY229*BY213+BZ229*BZ213+CA229*CA213+CB229*CB213+CC229*CC213</f>
        <v>0</v>
      </c>
      <c r="CP213" s="2387">
        <f>E230*E213+F230*F213+G230*G213+H230*H213+I230*I213+J230*J213+K230*K213+L230*L213+M230*M213+N230*N213+O230*O213+P230*P213+Q230*Q213+R230*R213+S230*S213+T230*T213+U230*U213+V230*V213+W230*W213+X230*X213+Y230*Y213+Z230*Z213+AA230*AA213+AB230*AB213+AC230*AC213+AD230*AD213+AE230*AE213+AF230*AF213+AG230*AG213+AH230*AH213+AI230*AI213+AJ230*AJ213+AK230*AK213+AL230*AL213+AM230*AM213+AN230*AN213+AO230*AO213+AP230*AP213+AQ230*AQ213+AR230*AR213+AS230*AS213+AT230*AT213+AU230*AU213+AV230*AV213+AW230*AW213+AX230*AX213+AY230*AY213+AZ230*AZ213+BA230*BA213+BB230*BB213+BC230*BC213+BD230*BD213+BE230*BE213+BF230*BF213+BG230*BG213+BH230*BH213+BI230*BI213+BJ230*BJ213+BK230*BK213+BL230*BL213+BM230*BM213+BN230*BN213+BO230*BO213+BP230*BP213+BQ230*BQ213+BR230*BR213+BS230*BS213+BT230*BT213+BU230*BU213+BV230*BV213+BW230*BW213+BX230*BX213+BY230*BY213+BZ230*BZ213+CA230*CA213+CB230*CB213+CC230*CC213</f>
        <v>0</v>
      </c>
    </row>
    <row r="214" spans="2:94" x14ac:dyDescent="0.25">
      <c r="B214" s="1590">
        <v>95</v>
      </c>
      <c r="C214" s="773" t="s">
        <v>4017</v>
      </c>
      <c r="D214" s="774" t="s">
        <v>3205</v>
      </c>
      <c r="E214" s="990">
        <f>0</f>
        <v>0</v>
      </c>
      <c r="F214" s="990">
        <f>0</f>
        <v>0</v>
      </c>
      <c r="G214" s="990">
        <f>0</f>
        <v>0</v>
      </c>
      <c r="H214" s="990">
        <f>0</f>
        <v>0</v>
      </c>
      <c r="I214" s="990">
        <f>0</f>
        <v>0</v>
      </c>
      <c r="J214" s="990">
        <f>0</f>
        <v>0</v>
      </c>
      <c r="K214" s="990">
        <f>0</f>
        <v>0</v>
      </c>
      <c r="L214" s="990">
        <f>0</f>
        <v>0</v>
      </c>
      <c r="M214" s="990">
        <f>0</f>
        <v>0</v>
      </c>
      <c r="N214" s="990">
        <f>0</f>
        <v>0</v>
      </c>
      <c r="O214" s="990">
        <f>0</f>
        <v>0</v>
      </c>
      <c r="P214" s="990">
        <f>0</f>
        <v>0</v>
      </c>
      <c r="Q214" s="990">
        <f>0</f>
        <v>0</v>
      </c>
      <c r="R214" s="990">
        <f>0</f>
        <v>0</v>
      </c>
      <c r="S214" s="990">
        <f>0</f>
        <v>0</v>
      </c>
      <c r="T214" s="990">
        <f>0</f>
        <v>0</v>
      </c>
      <c r="U214" s="990">
        <f>0</f>
        <v>0</v>
      </c>
      <c r="V214" s="990">
        <f>0</f>
        <v>0</v>
      </c>
      <c r="W214" s="990">
        <f>0</f>
        <v>0</v>
      </c>
      <c r="X214" s="990">
        <f>0</f>
        <v>0</v>
      </c>
      <c r="Y214" s="990">
        <f>0</f>
        <v>0</v>
      </c>
      <c r="Z214" s="990">
        <f>0</f>
        <v>0</v>
      </c>
      <c r="AA214" s="990">
        <f>0</f>
        <v>0</v>
      </c>
      <c r="AB214" s="990">
        <f>0</f>
        <v>0</v>
      </c>
      <c r="AC214" s="990">
        <f>0</f>
        <v>0</v>
      </c>
      <c r="AD214" s="990">
        <f>0</f>
        <v>0</v>
      </c>
      <c r="AE214" s="990">
        <f>0</f>
        <v>0</v>
      </c>
      <c r="AF214" s="990">
        <f>0</f>
        <v>0</v>
      </c>
      <c r="AG214" s="990">
        <f>0</f>
        <v>0</v>
      </c>
      <c r="AH214" s="990">
        <f>0</f>
        <v>0</v>
      </c>
      <c r="AI214" s="990">
        <f>0</f>
        <v>0</v>
      </c>
      <c r="AJ214" s="990">
        <f>0</f>
        <v>0</v>
      </c>
      <c r="AK214" s="990">
        <f>1</f>
        <v>1</v>
      </c>
      <c r="AL214" s="990">
        <f>0</f>
        <v>0</v>
      </c>
      <c r="AM214" s="990">
        <f>0</f>
        <v>0</v>
      </c>
      <c r="AN214" s="990">
        <f>0</f>
        <v>0</v>
      </c>
      <c r="AO214" s="990">
        <f>0</f>
        <v>0</v>
      </c>
      <c r="AP214" s="990">
        <f>0</f>
        <v>0</v>
      </c>
      <c r="AQ214" s="990">
        <f>0</f>
        <v>0</v>
      </c>
      <c r="AR214" s="990">
        <f>0</f>
        <v>0</v>
      </c>
      <c r="AS214" s="990">
        <f>0</f>
        <v>0</v>
      </c>
      <c r="AT214" s="990">
        <f>0</f>
        <v>0</v>
      </c>
      <c r="AU214" s="990">
        <f>0</f>
        <v>0</v>
      </c>
      <c r="AV214" s="990">
        <f>0</f>
        <v>0</v>
      </c>
      <c r="AW214" s="990">
        <f>0</f>
        <v>0</v>
      </c>
      <c r="AX214" s="990">
        <f>0</f>
        <v>0</v>
      </c>
      <c r="AY214" s="990">
        <f>0</f>
        <v>0</v>
      </c>
      <c r="AZ214" s="990">
        <f>0</f>
        <v>0</v>
      </c>
      <c r="BA214" s="990">
        <f>0</f>
        <v>0</v>
      </c>
      <c r="BB214" s="990">
        <f>0</f>
        <v>0</v>
      </c>
      <c r="BC214" s="990">
        <f>0</f>
        <v>0</v>
      </c>
      <c r="BD214" s="990">
        <f>0</f>
        <v>0</v>
      </c>
      <c r="BE214" s="990">
        <f>0</f>
        <v>0</v>
      </c>
      <c r="BF214" s="990">
        <f>0</f>
        <v>0</v>
      </c>
      <c r="BG214" s="990">
        <f>0</f>
        <v>0</v>
      </c>
      <c r="BH214" s="990">
        <f>0</f>
        <v>0</v>
      </c>
      <c r="BI214" s="990">
        <f>0</f>
        <v>0</v>
      </c>
      <c r="BJ214" s="990">
        <f>0</f>
        <v>0</v>
      </c>
      <c r="BK214" s="990">
        <f>0</f>
        <v>0</v>
      </c>
      <c r="BL214" s="1640">
        <f>0</f>
        <v>0</v>
      </c>
      <c r="BM214" s="990">
        <f>0</f>
        <v>0</v>
      </c>
      <c r="BN214" s="990">
        <f>0</f>
        <v>0</v>
      </c>
      <c r="BO214" s="990">
        <f>0</f>
        <v>0</v>
      </c>
      <c r="BP214" s="1426">
        <f>0</f>
        <v>0</v>
      </c>
      <c r="BQ214" s="2375">
        <f>0</f>
        <v>0</v>
      </c>
      <c r="BR214" s="990">
        <f>0</f>
        <v>0</v>
      </c>
      <c r="BS214" s="990">
        <f>0</f>
        <v>0</v>
      </c>
      <c r="BT214" s="990">
        <f>0</f>
        <v>0</v>
      </c>
      <c r="BU214" s="990">
        <f>0</f>
        <v>0</v>
      </c>
      <c r="BV214" s="990">
        <f>0</f>
        <v>0</v>
      </c>
      <c r="BW214" s="990">
        <f>0</f>
        <v>0</v>
      </c>
      <c r="BX214" s="990">
        <f>0</f>
        <v>0</v>
      </c>
      <c r="BY214" s="990">
        <f>0</f>
        <v>0</v>
      </c>
      <c r="BZ214" s="990">
        <f>0</f>
        <v>0</v>
      </c>
      <c r="CA214" s="1005">
        <f>-Δ_atm</f>
        <v>-1</v>
      </c>
      <c r="CB214" s="990">
        <f>0</f>
        <v>0</v>
      </c>
      <c r="CC214" s="990">
        <f>0</f>
        <v>0</v>
      </c>
      <c r="CD214" s="1666">
        <f>k_LaGO2_sur*(S_GO2_sur_sat-S_O2)</f>
        <v>24</v>
      </c>
      <c r="CF214" s="2385">
        <f>E220*E214+F220*F214+G220*G214+H220*H214+I220*I214+J220*J214+K220*K214+L220*L214+M220*M214+N220*N214+O220*O214+P220*P214+Q220*Q214+R220*R214+S220*S214+T220*T214+U220*U214+V220*V214+W220*W214+X220*X214+Y220*Y214+Z220*Z214+AA220*AA214+AB220*AB214+AC220*AC214+AD220*AD214+AE220*AE214+AF220*AF214+AG220*AG214+AH220*AH214+AI220*AI214+AJ220*AJ214+AK220*AK214+AL220*AL214+AM220*AM214+AN220*AN214+AO220*AO214+AP220*AP214+AQ220*AQ214+AR220*AR214+AS220*AS214+AT220*AT214+AU220*AU214+AV220*AV214+AW220*AW214+AX220*AX214+AY220*AY214+AZ220*AZ214+BA220*BA214+BB220*BB214+BC220*BC214+BD220*BD214+BE220*BE214+BF220*BF214+BG220*BG214+BH220*BH214+BI220*BI214+BJ220*BJ214+BK220*BK214+BL220*BL214+BM220*BM214+BN220*BN214+BO220*BO214+BP220*BP214+BQ220*BQ214+BR220*BR214+BS220*BS214+BT220*BT214+BU220*BU214+BV220*BV214+BW220*BW214+BX220*BX214+BY220*BY214+BZ220*BZ214+CA220*CA214+CB220*CB214+CC220*CC214</f>
        <v>0</v>
      </c>
      <c r="CG214" s="2385">
        <f>E221*E214+F221*F214+G221*G214+H221*H214+I221*I214+J221*J214+K221*K214+L221*L214+M221*M214+N221*N214+O221*O214+P221*P214+Q221*Q214+R221*R214+S221*S214+T221*T214+U221*U214+V221*V214+W221*W214+X221*X214+Y221*Y214+Z221*Z214+AA221*AA214+AB221*AB214+AC221*AC214+AD221*AD214+AE221*AE214+AF221*AF214+AG221*AG214+AH221*AH214+AI221*AI214+AJ221*AJ214+AK221*AK214+AL221*AL214+AM221*AM214+AN221*AN214+AO221*AO214+AP221*AP214+AQ221*AQ214+AR221*AR214+AS221*AS214+AT221*AT214+AU221*AU214+AV221*AV214+AW221*AW214+AX221*AX214+AY221*AY214+AZ221*AZ214+BA221*BA214+BB221*BB214+BC221*BC214+BD221*BD214+BE221*BE214+BF221*BF214+BG221*BG214+BH221*BH214+BI221*BI214+BJ221*BJ214+BK221*BK214+BL221*BL214+BM221*BM214+BN221*BN214+BO221*BO214+BP221*BP214+BQ221*BQ214+BR221*BR214+BS221*BS214+BT221*BT214+BU221*BU214+BV221*BV214+BW221*BW214+BX221*BX214+BY221*BY214+BZ221*BZ214+CA221*CA214+CB221*CB214+CC221*CC214</f>
        <v>0</v>
      </c>
      <c r="CH214" s="2386">
        <f>E222*E214+F222*F214+G222*G214+H222*H214+I222*I214+J222*J214+K222*K214+L222*L214+M222*M214+N222*N214+O222*O214+P222*P214+Q222*Q214+R222*R214+S222*S214+T222*T214+U222*U214+V222*V214+W222*W214+X222*X214+Y222*Y214+Z222*Z214+AA222*AA214+AB222*AB214+AC222*AC214+AD222*AD214+AE222*AE214+AF222*AF214+AG222*AG214+AH222*AH214+AI222*AI214+AJ222*AJ214+AK222*AK214+AL222*AL214+AM222*AM214+AN222*AN214+AO222*AO214+AP222*AP214+AQ222*AQ214+AR222*AR214+AS222*AS214+AT222*AT214+AU222*AU214+AV222*AV214+AW222*AW214+AX222*AX214+AY222*AY214+AZ222*AZ214+BA222*BA214+BB222*BB214+BC222*BC214+BD222*BD214+BE222*BE214+BF222*BF214+BG222*BG214+BH222*BH214+BI222*BI214+BJ222*BJ214+BK222*BK214+BL222*BL214+BM222*BM214+BN222*BN214+BO222*BO214+BP222*BP214+BQ222*BQ214+BR222*BR214+BS222*BS214+BT222*BT214+BU222*BU214+BV222*BV214+BW222*BW214+BX222*BX214+BY222*BY214+BZ222*BZ214+CA222*CA214+CB222*CB214+CC222*CC214</f>
        <v>0</v>
      </c>
      <c r="CI214" s="2387">
        <f>E223*E214+F223*F214+G223*G214+H223*H214+I223*I214+J223*J214+K223*K214+L223*L214+M223*M214+N223*N214+O223*O214+P223*P214+Q223*Q214+R223*R214+S223*S214+T223*T214+U223*U214+V223*V214+W223*W214+X223*X214+Y223*Y214+Z223*Z214+AA223*AA214+AB223*AB214+AC223*AC214+AD223*AD214+AE223*AE214+AF223*AF214+AG223*AG214+AH223*AH214+AI223*AI214+AJ223*AJ214+AK223*AK214+AL223*AL214+AM223*AM214+AN223*AN214+AO223*AO214+AP223*AP214+AQ223*AQ214+AR223*AR214+AS223*AS214+AT223*AT214+AU223*AU214+AV223*AV214+AW223*AW214+AX223*AX214+AY223*AY214+AZ223*AZ214+BA223*BA214+BB223*BB214+BC223*BC214+BD223*BD214+BE223*BE214+BF223*BF214+BG223*BG214+BH223*BH214+BI223*BI214+BJ223*BJ214+BK223*BK214+BL223*BL214+BM223*BM214+BN223*BN214+BO223*BO214+BP223*BP214+BQ223*BQ214+BR223*BR214+BS223*BS214+BT223*BT214+BU223*BU214+BV223*BV214+BW223*BW214+BX223*BX214+BY223*BY214+BZ223*BZ214+CA223*CA214+CB223*CB214+CC223*CC214</f>
        <v>0</v>
      </c>
      <c r="CJ214" s="2387">
        <f>E224*E214+F224*F214+G224*G214+H224*H214+I224*I214+J224*J214+K224*K214+L224*L214+M224*M214+N224*N214+O224*O214+P224*P214+Q224*Q214+R224*R214+S224*S214+T224*T214+U224*U214+V224*V214+W224*W214+X224*X214+Y224*Y214+Z224*Z214+AA224*AA214+AB224*AB214+AC224*AC214+AD224*AD214+AE224*AE214+AF224*AF214+AG224*AG214+AH224*AH214+AI224*AI214+AJ224*AJ214+AK224*AK214+AL224*AL214+AM224*AM214+AN224*AN214+AO224*AO214+AP224*AP214+AQ224*AQ214+AR224*AR214+AS224*AS214+AT224*AT214+AU224*AU214+AV224*AV214+AW224*AW214+AX224*AX214+AY224*AY214+AZ224*AZ214+BA224*BA214+BB224*BB214+BC224*BC214+BD224*BD214+BE224*BE214+BF224*BF214+BG224*BG214+BH224*BH214+BI224*BI214+BJ224*BJ214+BK224*BK214+BL224*BL214+BM224*BM214+BN224*BN214+BO224*BO214+BP224*BP214+BQ224*BQ214+BR224*BR214+BS224*BS214+BT224*BT214+BU224*BU214+BV224*BV214+BW224*BW214+BX224*BX214+BY224*BY214+BZ224*BZ214+CA224*CA214+CB224*CB214+CC224*CC214</f>
        <v>0</v>
      </c>
      <c r="CK214" s="2387">
        <f>E225*E214+F225*F214+G225*G214+H225*H214+I225*I214+J225*J214+K225*K214+L225*L214+M225*M214+N225*N214+O225*O214+P225*P214+Q225*Q214+R225*R214+S225*S214+T225*T214+U225*U214+V225*V214+W225*W214+X225*X214+Y225*Y214+Z225*Z214+AA225*AA214+AB225*AB214+AC225*AC214+AD225*AD214+AE225*AE214+AF225*AF214+AG225*AG214+AH225*AH214+AI225*AI214+AJ225*AJ214+AK225*AK214+AL225*AL214+AM225*AM214+AN225*AN214+AO225*AO214+AP225*AP214+AQ225*AQ214+AR225*AR214+AS225*AS214+AT225*AT214+AU225*AU214+AV225*AV214+AW225*AW214+AX225*AX214+AY225*AY214+AZ225*AZ214+BA225*BA214+BB225*BB214+BC225*BC214+BD225*BD214+BE225*BE214+BF225*BF214+BG225*BG214+BH225*BH214+BI225*BI214+BJ225*BJ214+BK225*BK214+BL225*BL214+BM225*BM214+BN225*BN214+BO225*BO214+BP225*BP214+BQ225*BQ214+BR225*BR214+BS225*BS214+BT225*BT214+BU225*BU214+BV225*BV214+BW225*BW214+BX225*BX214+BY225*BY214+BZ225*BZ214+CA225*CA214+CB225*CB214+CC225*CC214</f>
        <v>0</v>
      </c>
      <c r="CL214" s="2387">
        <f>E226*E214+F226*F214+G226*G214+H226*H214+I226*I214+J226*J214+K226*K214+L226*L214+M226*M214+N226*N214+O226*O214+P226*P214+Q226*Q214+R226*R214+S226*S214+T226*T214+U226*U214+V226*V214+W226*W214+X226*X214+Y226*Y214+Z226*Z214+AA226*AA214+AB226*AB214+AC226*AC214+AD226*AD214+AE226*AE214+AF226*AF214+AG226*AG214+AH226*AH214+AI226*AI214+AJ226*AJ214+AK226*AK214+AL226*AL214+AM226*AM214+AN226*AN214+AO226*AO214+AP226*AP214+AQ226*AQ214+AR226*AR214+AS226*AS214+AT226*AT214+AU226*AU214+AV226*AV214+AW226*AW214+AX226*AX214+AY226*AY214+AZ226*AZ214+BA226*BA214+BB226*BB214+BC226*BC214+BD226*BD214+BE226*BE214+BF226*BF214+BG226*BG214+BH226*BH214+BI226*BI214+BJ226*BJ214+BK226*BK214+BL226*BL214+BM226*BM214+BN226*BN214+BO226*BO214+BP226*BP214+BQ226*BQ214+BR226*BR214+BS226*BS214+BT226*BT214+BU226*BU214+BV226*BV214+BW226*BW214+BX226*BX214+BY226*BY214+BZ226*BZ214+CA226*CA214+CB226*CB214+CC226*CC214</f>
        <v>0</v>
      </c>
      <c r="CM214" s="2387">
        <f>E227*E214+F227*F214+G227*G214+H227*H214+I227*I214+J227*J214+K227*K214+L227*L214+M227*M214+N227*N214+O227*O214+P227*P214+Q227*Q214+R227*R214+S227*S214+T227*T214+U227*U214+V227*V214+W227*W214+X227*X214+Y227*Y214+Z227*Z214+AA227*AA214+AB227*AB214+AC227*AC214+AD227*AD214+AE227*AE214+AF227*AF214+AG227*AG214+AH227*AH214+AI227*AI214+AJ227*AJ214+AK227*AK214+AL227*AL214+AM227*AM214+AN227*AN214+AO227*AO214+AP227*AP214+AQ227*AQ214+AR227*AR214+AS227*AS214+AT227*AT214+AU227*AU214+AV227*AV214+AW227*AW214+AX227*AX214+AY227*AY214+AZ227*AZ214+BA227*BA214+BB227*BB214+BC227*BC214+BD227*BD214+BE227*BE214+BF227*BF214+BG227*BG214+BH227*BH214+BI227*BI214+BJ227*BJ214+BK227*BK214+BL227*BL214+BM227*BM214+BN227*BN214+BO227*BO214+BP227*BP214+BQ227*BQ214+BR227*BR214+BS227*BS214+BT227*BT214+BU227*BU214+BV227*BV214+BW227*BW214+BX227*BX214+BY227*BY214+BZ227*BZ214+CA227*CA214+CB227*CB214+CC227*CC214</f>
        <v>0</v>
      </c>
      <c r="CN214" s="2387">
        <f>E228*E214+F228*F214+G228*G214+H228*H214+I228*I214+J228*J214+K228*K214+L228*L214+M228*M214+N228*N214+O228*O214+P228*P214+Q228*Q214+R228*R214+S228*S214+T228*T214+U228*U214+V228*V214+W228*W214+X228*X214+Y228*Y214+Z228*Z214+AA228*AA214+AB228*AB214+AC228*AC214+AD228*AD214+AE228*AE214+AF228*AF214+AG228*AG214+AH228*AH214+AI228*AI214+AJ228*AJ214+AK228*AK214+AL228*AL214+AM228*AM214+AN228*AN214+AO228*AO214+AP228*AP214+AQ228*AQ214+AR228*AR214+AS228*AS214+AT228*AT214+AU228*AU214+AV228*AV214+AW228*AW214+AX228*AX214+AY228*AY214+AZ228*AZ214+BA228*BA214+BB228*BB214+BC228*BC214+BD228*BD214+BE228*BE214+BF228*BF214+BG228*BG214+BH228*BH214+BI228*BI214+BJ228*BJ214+BK228*BK214+BL228*BL214+BM228*BM214+BN228*BN214+BO228*BO214+BP228*BP214+BQ228*BQ214+BR228*BR214+BS228*BS214+BT228*BT214+BU228*BU214+BV228*BV214+BW228*BW214+BX228*BX214+BY228*BY214+BZ228*BZ214+CA228*CA214+CB228*CB214+CC228*CC214</f>
        <v>0</v>
      </c>
      <c r="CO214" s="2387">
        <f>E229*E214+F229*F214+G229*G214+H229*H214+I229*I214+J229*J214+K229*K214+L229*L214+M229*M214+N229*N214+O229*O214+P229*P214+Q229*Q214+R229*R214+S229*S214+T229*T214+U229*U214+V229*V214+W229*W214+X229*X214+Y229*Y214+Z229*Z214+AA229*AA214+AB229*AB214+AC229*AC214+AD229*AD214+AE229*AE214+AF229*AF214+AG229*AG214+AH229*AH214+AI229*AI214+AJ229*AJ214+AK229*AK214+AL229*AL214+AM229*AM214+AN229*AN214+AO229*AO214+AP229*AP214+AQ229*AQ214+AR229*AR214+AS229*AS214+AT229*AT214+AU229*AU214+AV229*AV214+AW229*AW214+AX229*AX214+AY229*AY214+AZ229*AZ214+BA229*BA214+BB229*BB214+BC229*BC214+BD229*BD214+BE229*BE214+BF229*BF214+BG229*BG214+BH229*BH214+BI229*BI214+BJ229*BJ214+BK229*BK214+BL229*BL214+BM229*BM214+BN229*BN214+BO229*BO214+BP229*BP214+BQ229*BQ214+BR229*BR214+BS229*BS214+BT229*BT214+BU229*BU214+BV229*BV214+BW229*BW214+BX229*BX214+BY229*BY214+BZ229*BZ214+CA229*CA214+CB229*CB214+CC229*CC214</f>
        <v>0</v>
      </c>
      <c r="CP214" s="2387">
        <f>E230*E214+F230*F214+G230*G214+H230*H214+I230*I214+J230*J214+K230*K214+L230*L214+M230*M214+N230*N214+O230*O214+P230*P214+Q230*Q214+R230*R214+S230*S214+T230*T214+U230*U214+V230*V214+W230*W214+X230*X214+Y230*Y214+Z230*Z214+AA230*AA214+AB230*AB214+AC230*AC214+AD230*AD214+AE230*AE214+AF230*AF214+AG230*AG214+AH230*AH214+AI230*AI214+AJ230*AJ214+AK230*AK214+AL230*AL214+AM230*AM214+AN230*AN214+AO230*AO214+AP230*AP214+AQ230*AQ214+AR230*AR214+AS230*AS214+AT230*AT214+AU230*AU214+AV230*AV214+AW230*AW214+AX230*AX214+AY230*AY214+AZ230*AZ214+BA230*BA214+BB230*BB214+BC230*BC214+BD230*BD214+BE230*BE214+BF230*BF214+BG230*BG214+BH230*BH214+BI230*BI214+BJ230*BJ214+BK230*BK214+BL230*BL214+BM230*BM214+BN230*BN214+BO230*BO214+BP230*BP214+BQ230*BQ214+BR230*BR214+BS230*BS214+BT230*BT214+BU230*BU214+BV230*BV214+BW230*BW214+BX230*BX214+BY230*BY214+BZ230*BZ214+CA230*CA214+CB230*CB214+CC230*CC214</f>
        <v>0</v>
      </c>
    </row>
    <row r="215" spans="2:94" x14ac:dyDescent="0.25">
      <c r="B215" s="1590">
        <v>96</v>
      </c>
      <c r="C215" s="773" t="s">
        <v>4018</v>
      </c>
      <c r="D215" s="774" t="s">
        <v>3207</v>
      </c>
      <c r="E215" s="990">
        <f>0</f>
        <v>0</v>
      </c>
      <c r="F215" s="990">
        <f>0</f>
        <v>0</v>
      </c>
      <c r="G215" s="990">
        <f>0</f>
        <v>0</v>
      </c>
      <c r="H215" s="990">
        <f>0</f>
        <v>0</v>
      </c>
      <c r="I215" s="990">
        <f>0</f>
        <v>0</v>
      </c>
      <c r="J215" s="990">
        <f>0</f>
        <v>0</v>
      </c>
      <c r="K215" s="990">
        <f>0</f>
        <v>0</v>
      </c>
      <c r="L215" s="990">
        <f>0</f>
        <v>0</v>
      </c>
      <c r="M215" s="990">
        <f>0</f>
        <v>0</v>
      </c>
      <c r="N215" s="990">
        <f>0</f>
        <v>0</v>
      </c>
      <c r="O215" s="990">
        <f>0</f>
        <v>0</v>
      </c>
      <c r="P215" s="990">
        <f>0</f>
        <v>0</v>
      </c>
      <c r="Q215" s="990">
        <f>0</f>
        <v>0</v>
      </c>
      <c r="R215" s="990">
        <f>0</f>
        <v>0</v>
      </c>
      <c r="S215" s="990">
        <f>0</f>
        <v>0</v>
      </c>
      <c r="T215" s="990">
        <f>0</f>
        <v>0</v>
      </c>
      <c r="U215" s="990">
        <f>0</f>
        <v>0</v>
      </c>
      <c r="V215" s="990">
        <f>0</f>
        <v>0</v>
      </c>
      <c r="W215" s="990">
        <f>0</f>
        <v>0</v>
      </c>
      <c r="X215" s="990">
        <f>0</f>
        <v>0</v>
      </c>
      <c r="Y215" s="990">
        <f>1</f>
        <v>1</v>
      </c>
      <c r="Z215" s="990">
        <f>0</f>
        <v>0</v>
      </c>
      <c r="AA215" s="990">
        <f>0</f>
        <v>0</v>
      </c>
      <c r="AB215" s="990">
        <f>0</f>
        <v>0</v>
      </c>
      <c r="AC215" s="990">
        <f>0</f>
        <v>0</v>
      </c>
      <c r="AD215" s="990">
        <f>0</f>
        <v>0</v>
      </c>
      <c r="AE215" s="990">
        <f>0</f>
        <v>0</v>
      </c>
      <c r="AF215" s="990">
        <f>0</f>
        <v>0</v>
      </c>
      <c r="AG215" s="990">
        <f>0</f>
        <v>0</v>
      </c>
      <c r="AH215" s="990">
        <f>0</f>
        <v>0</v>
      </c>
      <c r="AI215" s="990">
        <f>0</f>
        <v>0</v>
      </c>
      <c r="AJ215" s="990">
        <f>0</f>
        <v>0</v>
      </c>
      <c r="AK215" s="990">
        <f>0</f>
        <v>0</v>
      </c>
      <c r="AL215" s="990">
        <f>0</f>
        <v>0</v>
      </c>
      <c r="AM215" s="990">
        <f>0</f>
        <v>0</v>
      </c>
      <c r="AN215" s="990">
        <f>0</f>
        <v>0</v>
      </c>
      <c r="AO215" s="990">
        <f>0</f>
        <v>0</v>
      </c>
      <c r="AP215" s="990">
        <f>0</f>
        <v>0</v>
      </c>
      <c r="AQ215" s="990">
        <f>0</f>
        <v>0</v>
      </c>
      <c r="AR215" s="990">
        <f>0</f>
        <v>0</v>
      </c>
      <c r="AS215" s="990">
        <f>0</f>
        <v>0</v>
      </c>
      <c r="AT215" s="990">
        <f>0</f>
        <v>0</v>
      </c>
      <c r="AU215" s="990">
        <f>0</f>
        <v>0</v>
      </c>
      <c r="AV215" s="990">
        <f>0</f>
        <v>0</v>
      </c>
      <c r="AW215" s="990">
        <f>0</f>
        <v>0</v>
      </c>
      <c r="AX215" s="990">
        <f>0</f>
        <v>0</v>
      </c>
      <c r="AY215" s="990">
        <f>0</f>
        <v>0</v>
      </c>
      <c r="AZ215" s="990">
        <f>0</f>
        <v>0</v>
      </c>
      <c r="BA215" s="990">
        <f>0</f>
        <v>0</v>
      </c>
      <c r="BB215" s="990">
        <f>0</f>
        <v>0</v>
      </c>
      <c r="BC215" s="990">
        <f>0</f>
        <v>0</v>
      </c>
      <c r="BD215" s="990">
        <f>0</f>
        <v>0</v>
      </c>
      <c r="BE215" s="990">
        <f>0</f>
        <v>0</v>
      </c>
      <c r="BF215" s="990">
        <f>0</f>
        <v>0</v>
      </c>
      <c r="BG215" s="990">
        <f>0</f>
        <v>0</v>
      </c>
      <c r="BH215" s="990">
        <f>0</f>
        <v>0</v>
      </c>
      <c r="BI215" s="990">
        <f>0</f>
        <v>0</v>
      </c>
      <c r="BJ215" s="990">
        <f>0</f>
        <v>0</v>
      </c>
      <c r="BK215" s="990">
        <f>0</f>
        <v>0</v>
      </c>
      <c r="BL215" s="1640">
        <f>0</f>
        <v>0</v>
      </c>
      <c r="BM215" s="990">
        <f>0</f>
        <v>0</v>
      </c>
      <c r="BN215" s="990">
        <f>0</f>
        <v>0</v>
      </c>
      <c r="BO215" s="990">
        <f>0</f>
        <v>0</v>
      </c>
      <c r="BP215" s="1426">
        <f>0</f>
        <v>0</v>
      </c>
      <c r="BQ215" s="2375">
        <f>0</f>
        <v>0</v>
      </c>
      <c r="BR215" s="990">
        <f>0</f>
        <v>0</v>
      </c>
      <c r="BS215" s="990">
        <f>0</f>
        <v>0</v>
      </c>
      <c r="BT215" s="990">
        <f>0</f>
        <v>0</v>
      </c>
      <c r="BU215" s="990">
        <f>0</f>
        <v>0</v>
      </c>
      <c r="BV215" s="990">
        <f>0</f>
        <v>0</v>
      </c>
      <c r="BW215" s="990">
        <f>0</f>
        <v>0</v>
      </c>
      <c r="BX215" s="990">
        <f>0</f>
        <v>0</v>
      </c>
      <c r="BY215" s="990">
        <f>0</f>
        <v>0</v>
      </c>
      <c r="BZ215" s="990">
        <f>0</f>
        <v>0</v>
      </c>
      <c r="CA215" s="990">
        <f>0</f>
        <v>0</v>
      </c>
      <c r="CB215" s="1005">
        <f>-Δ_atm</f>
        <v>-1</v>
      </c>
      <c r="CC215" s="990">
        <f>0</f>
        <v>0</v>
      </c>
      <c r="CD215" s="1666">
        <f>k_transfer_GNH3_sur</f>
        <v>0</v>
      </c>
      <c r="CF215" s="2385">
        <f>E220*E215+F220*F215+G220*G215+H220*H215+I220*I215+J220*J215+K220*K215+L220*L215+M220*M215+N220*N215+O220*O215+P220*P215+Q220*Q215+R220*R215+S220*S215+T220*T215+U220*U215+V220*V215+W220*W215+X220*X215+Y220*Y215+Z220*Z215+AA220*AA215+AB220*AB215+AC220*AC215+AD220*AD215+AE220*AE215+AF220*AF215+AG220*AG215+AH220*AH215+AI220*AI215+AJ220*AJ215+AK220*AK215+AL220*AL215+AM220*AM215+AN220*AN215+AO220*AO215+AP220*AP215+AQ220*AQ215+AR220*AR215+AS220*AS215+AT220*AT215+AU220*AU215+AV220*AV215+AW220*AW215+AX220*AX215+AY220*AY215+AZ220*AZ215+BA220*BA215+BB220*BB215+BC220*BC215+BD220*BD215+BE220*BE215+BF220*BF215+BG220*BG215+BH220*BH215+BI220*BI215+BJ220*BJ215+BK220*BK215+BL220*BL215+BM220*BM215+BN220*BN215+BO220*BO215+BP220*BP215+BQ220*BQ215+BR220*BR215+BS220*BS215+BT220*BT215+BU220*BU215+BV220*BV215+BW220*BW215+BX220*BX215+BY220*BY215+BZ220*BZ215+CA220*CA215+CB220*CB215+CC220*CC215</f>
        <v>0</v>
      </c>
      <c r="CG215" s="2385">
        <f>E221*E215+F221*F215+G221*G215+H221*H215+I221*I215+J221*J215+K221*K215+L221*L215+M221*M215+N221*N215+O221*O215+P221*P215+Q221*Q215+R221*R215+S221*S215+T221*T215+U221*U215+V221*V215+W221*W215+X221*X215+Y221*Y215+Z221*Z215+AA221*AA215+AB221*AB215+AC221*AC215+AD221*AD215+AE221*AE215+AF221*AF215+AG221*AG215+AH221*AH215+AI221*AI215+AJ221*AJ215+AK221*AK215+AL221*AL215+AM221*AM215+AN221*AN215+AO221*AO215+AP221*AP215+AQ221*AQ215+AR221*AR215+AS221*AS215+AT221*AT215+AU221*AU215+AV221*AV215+AW221*AW215+AX221*AX215+AY221*AY215+AZ221*AZ215+BA221*BA215+BB221*BB215+BC221*BC215+BD221*BD215+BE221*BE215+BF221*BF215+BG221*BG215+BH221*BH215+BI221*BI215+BJ221*BJ215+BK221*BK215+BL221*BL215+BM221*BM215+BN221*BN215+BO221*BO215+BP221*BP215+BQ221*BQ215+BR221*BR215+BS221*BS215+BT221*BT215+BU221*BU215+BV221*BV215+BW221*BW215+BX221*BX215+BY221*BY215+BZ221*BZ215+CA221*CA215+CB221*CB215+CC221*CC215</f>
        <v>0</v>
      </c>
      <c r="CH215" s="2386">
        <f>E222*E215+F222*F215+G222*G215+H222*H215+I222*I215+J222*J215+K222*K215+L222*L215+M222*M215+N222*N215+O222*O215+P222*P215+Q222*Q215+R222*R215+S222*S215+T222*T215+U222*U215+V222*V215+W222*W215+X222*X215+Y222*Y215+Z222*Z215+AA222*AA215+AB222*AB215+AC222*AC215+AD222*AD215+AE222*AE215+AF222*AF215+AG222*AG215+AH222*AH215+AI222*AI215+AJ222*AJ215+AK222*AK215+AL222*AL215+AM222*AM215+AN222*AN215+AO222*AO215+AP222*AP215+AQ222*AQ215+AR222*AR215+AS222*AS215+AT222*AT215+AU222*AU215+AV222*AV215+AW222*AW215+AX222*AX215+AY222*AY215+AZ222*AZ215+BA222*BA215+BB222*BB215+BC222*BC215+BD222*BD215+BE222*BE215+BF222*BF215+BG222*BG215+BH222*BH215+BI222*BI215+BJ222*BJ215+BK222*BK215+BL222*BL215+BM222*BM215+BN222*BN215+BO222*BO215+BP222*BP215+BQ222*BQ215+BR222*BR215+BS222*BS215+BT222*BT215+BU222*BU215+BV222*BV215+BW222*BW215+BX222*BX215+BY222*BY215+BZ222*BZ215+CA222*CA215+CB222*CB215+CC222*CC215</f>
        <v>0</v>
      </c>
      <c r="CI215" s="2387">
        <f>E223*E215+F223*F215+G223*G215+H223*H215+I223*I215+J223*J215+K223*K215+L223*L215+M223*M215+N223*N215+O223*O215+P223*P215+Q223*Q215+R223*R215+S223*S215+T223*T215+U223*U215+V223*V215+W223*W215+X223*X215+Y223*Y215+Z223*Z215+AA223*AA215+AB223*AB215+AC223*AC215+AD223*AD215+AE223*AE215+AF223*AF215+AG223*AG215+AH223*AH215+AI223*AI215+AJ223*AJ215+AK223*AK215+AL223*AL215+AM223*AM215+AN223*AN215+AO223*AO215+AP223*AP215+AQ223*AQ215+AR223*AR215+AS223*AS215+AT223*AT215+AU223*AU215+AV223*AV215+AW223*AW215+AX223*AX215+AY223*AY215+AZ223*AZ215+BA223*BA215+BB223*BB215+BC223*BC215+BD223*BD215+BE223*BE215+BF223*BF215+BG223*BG215+BH223*BH215+BI223*BI215+BJ223*BJ215+BK223*BK215+BL223*BL215+BM223*BM215+BN223*BN215+BO223*BO215+BP223*BP215+BQ223*BQ215+BR223*BR215+BS223*BS215+BT223*BT215+BU223*BU215+BV223*BV215+BW223*BW215+BX223*BX215+BY223*BY215+BZ223*BZ215+CA223*CA215+CB223*CB215+CC223*CC215</f>
        <v>0</v>
      </c>
      <c r="CJ215" s="2387">
        <f>E224*E215+F224*F215+G224*G215+H224*H215+I224*I215+J224*J215+K224*K215+L224*L215+M224*M215+N224*N215+O224*O215+P224*P215+Q224*Q215+R224*R215+S224*S215+T224*T215+U224*U215+V224*V215+W224*W215+X224*X215+Y224*Y215+Z224*Z215+AA224*AA215+AB224*AB215+AC224*AC215+AD224*AD215+AE224*AE215+AF224*AF215+AG224*AG215+AH224*AH215+AI224*AI215+AJ224*AJ215+AK224*AK215+AL224*AL215+AM224*AM215+AN224*AN215+AO224*AO215+AP224*AP215+AQ224*AQ215+AR224*AR215+AS224*AS215+AT224*AT215+AU224*AU215+AV224*AV215+AW224*AW215+AX224*AX215+AY224*AY215+AZ224*AZ215+BA224*BA215+BB224*BB215+BC224*BC215+BD224*BD215+BE224*BE215+BF224*BF215+BG224*BG215+BH224*BH215+BI224*BI215+BJ224*BJ215+BK224*BK215+BL224*BL215+BM224*BM215+BN224*BN215+BO224*BO215+BP224*BP215+BQ224*BQ215+BR224*BR215+BS224*BS215+BT224*BT215+BU224*BU215+BV224*BV215+BW224*BW215+BX224*BX215+BY224*BY215+BZ224*BZ215+CA224*CA215+CB224*CB215+CC224*CC215</f>
        <v>0</v>
      </c>
      <c r="CK215" s="2387">
        <f>E225*E215+F225*F215+G225*G215+H225*H215+I225*I215+J225*J215+K225*K215+L225*L215+M225*M215+N225*N215+O225*O215+P225*P215+Q225*Q215+R225*R215+S225*S215+T225*T215+U225*U215+V225*V215+W225*W215+X225*X215+Y225*Y215+Z225*Z215+AA225*AA215+AB225*AB215+AC225*AC215+AD225*AD215+AE225*AE215+AF225*AF215+AG225*AG215+AH225*AH215+AI225*AI215+AJ225*AJ215+AK225*AK215+AL225*AL215+AM225*AM215+AN225*AN215+AO225*AO215+AP225*AP215+AQ225*AQ215+AR225*AR215+AS225*AS215+AT225*AT215+AU225*AU215+AV225*AV215+AW225*AW215+AX225*AX215+AY225*AY215+AZ225*AZ215+BA225*BA215+BB225*BB215+BC225*BC215+BD225*BD215+BE225*BE215+BF225*BF215+BG225*BG215+BH225*BH215+BI225*BI215+BJ225*BJ215+BK225*BK215+BL225*BL215+BM225*BM215+BN225*BN215+BO225*BO215+BP225*BP215+BQ225*BQ215+BR225*BR215+BS225*BS215+BT225*BT215+BU225*BU215+BV225*BV215+BW225*BW215+BX225*BX215+BY225*BY215+BZ225*BZ215+CA225*CA215+CB225*CB215+CC225*CC215</f>
        <v>0</v>
      </c>
      <c r="CL215" s="2387">
        <f>E226*E215+F226*F215+G226*G215+H226*H215+I226*I215+J226*J215+K226*K215+L226*L215+M226*M215+N226*N215+O226*O215+P226*P215+Q226*Q215+R226*R215+S226*S215+T226*T215+U226*U215+V226*V215+W226*W215+X226*X215+Y226*Y215+Z226*Z215+AA226*AA215+AB226*AB215+AC226*AC215+AD226*AD215+AE226*AE215+AF226*AF215+AG226*AG215+AH226*AH215+AI226*AI215+AJ226*AJ215+AK226*AK215+AL226*AL215+AM226*AM215+AN226*AN215+AO226*AO215+AP226*AP215+AQ226*AQ215+AR226*AR215+AS226*AS215+AT226*AT215+AU226*AU215+AV226*AV215+AW226*AW215+AX226*AX215+AY226*AY215+AZ226*AZ215+BA226*BA215+BB226*BB215+BC226*BC215+BD226*BD215+BE226*BE215+BF226*BF215+BG226*BG215+BH226*BH215+BI226*BI215+BJ226*BJ215+BK226*BK215+BL226*BL215+BM226*BM215+BN226*BN215+BO226*BO215+BP226*BP215+BQ226*BQ215+BR226*BR215+BS226*BS215+BT226*BT215+BU226*BU215+BV226*BV215+BW226*BW215+BX226*BX215+BY226*BY215+BZ226*BZ215+CA226*CA215+CB226*CB215+CC226*CC215</f>
        <v>0</v>
      </c>
      <c r="CM215" s="2387">
        <f>E227*E215+F227*F215+G227*G215+H227*H215+I227*I215+J227*J215+K227*K215+L227*L215+M227*M215+N227*N215+O227*O215+P227*P215+Q227*Q215+R227*R215+S227*S215+T227*T215+U227*U215+V227*V215+W227*W215+X227*X215+Y227*Y215+Z227*Z215+AA227*AA215+AB227*AB215+AC227*AC215+AD227*AD215+AE227*AE215+AF227*AF215+AG227*AG215+AH227*AH215+AI227*AI215+AJ227*AJ215+AK227*AK215+AL227*AL215+AM227*AM215+AN227*AN215+AO227*AO215+AP227*AP215+AQ227*AQ215+AR227*AR215+AS227*AS215+AT227*AT215+AU227*AU215+AV227*AV215+AW227*AW215+AX227*AX215+AY227*AY215+AZ227*AZ215+BA227*BA215+BB227*BB215+BC227*BC215+BD227*BD215+BE227*BE215+BF227*BF215+BG227*BG215+BH227*BH215+BI227*BI215+BJ227*BJ215+BK227*BK215+BL227*BL215+BM227*BM215+BN227*BN215+BO227*BO215+BP227*BP215+BQ227*BQ215+BR227*BR215+BS227*BS215+BT227*BT215+BU227*BU215+BV227*BV215+BW227*BW215+BX227*BX215+BY227*BY215+BZ227*BZ215+CA227*CA215+CB227*CB215+CC227*CC215</f>
        <v>0</v>
      </c>
      <c r="CN215" s="2387">
        <f>E228*E215+F228*F215+G228*G215+H228*H215+I228*I215+J228*J215+K228*K215+L228*L215+M228*M215+N228*N215+O228*O215+P228*P215+Q228*Q215+R228*R215+S228*S215+T228*T215+U228*U215+V228*V215+W228*W215+X228*X215+Y228*Y215+Z228*Z215+AA228*AA215+AB228*AB215+AC228*AC215+AD228*AD215+AE228*AE215+AF228*AF215+AG228*AG215+AH228*AH215+AI228*AI215+AJ228*AJ215+AK228*AK215+AL228*AL215+AM228*AM215+AN228*AN215+AO228*AO215+AP228*AP215+AQ228*AQ215+AR228*AR215+AS228*AS215+AT228*AT215+AU228*AU215+AV228*AV215+AW228*AW215+AX228*AX215+AY228*AY215+AZ228*AZ215+BA228*BA215+BB228*BB215+BC228*BC215+BD228*BD215+BE228*BE215+BF228*BF215+BG228*BG215+BH228*BH215+BI228*BI215+BJ228*BJ215+BK228*BK215+BL228*BL215+BM228*BM215+BN228*BN215+BO228*BO215+BP228*BP215+BQ228*BQ215+BR228*BR215+BS228*BS215+BT228*BT215+BU228*BU215+BV228*BV215+BW228*BW215+BX228*BX215+BY228*BY215+BZ228*BZ215+CA228*CA215+CB228*CB215+CC228*CC215</f>
        <v>0</v>
      </c>
      <c r="CO215" s="2387">
        <f>E229*E215+F229*F215+G229*G215+H229*H215+I229*I215+J229*J215+K229*K215+L229*L215+M229*M215+N229*N215+O229*O215+P229*P215+Q229*Q215+R229*R215+S229*S215+T229*T215+U229*U215+V229*V215+W229*W215+X229*X215+Y229*Y215+Z229*Z215+AA229*AA215+AB229*AB215+AC229*AC215+AD229*AD215+AE229*AE215+AF229*AF215+AG229*AG215+AH229*AH215+AI229*AI215+AJ229*AJ215+AK229*AK215+AL229*AL215+AM229*AM215+AN229*AN215+AO229*AO215+AP229*AP215+AQ229*AQ215+AR229*AR215+AS229*AS215+AT229*AT215+AU229*AU215+AV229*AV215+AW229*AW215+AX229*AX215+AY229*AY215+AZ229*AZ215+BA229*BA215+BB229*BB215+BC229*BC215+BD229*BD215+BE229*BE215+BF229*BF215+BG229*BG215+BH229*BH215+BI229*BI215+BJ229*BJ215+BK229*BK215+BL229*BL215+BM229*BM215+BN229*BN215+BO229*BO215+BP229*BP215+BQ229*BQ215+BR229*BR215+BS229*BS215+BT229*BT215+BU229*BU215+BV229*BV215+BW229*BW215+BX229*BX215+BY229*BY215+BZ229*BZ215+CA229*CA215+CB229*CB215+CC229*CC215</f>
        <v>0</v>
      </c>
      <c r="CP215" s="2387">
        <f>E230*E215+F230*F215+G230*G215+H230*H215+I230*I215+J230*J215+K230*K215+L230*L215+M230*M215+N230*N215+O230*O215+P230*P215+Q230*Q215+R230*R215+S230*S215+T230*T215+U230*U215+V230*V215+W230*W215+X230*X215+Y230*Y215+Z230*Z215+AA230*AA215+AB230*AB215+AC230*AC215+AD230*AD215+AE230*AE215+AF230*AF215+AG230*AG215+AH230*AH215+AI230*AI215+AJ230*AJ215+AK230*AK215+AL230*AL215+AM230*AM215+AN230*AN215+AO230*AO215+AP230*AP215+AQ230*AQ215+AR230*AR215+AS230*AS215+AT230*AT215+AU230*AU215+AV230*AV215+AW230*AW215+AX230*AX215+AY230*AY215+AZ230*AZ215+BA230*BA215+BB230*BB215+BC230*BC215+BD230*BD215+BE230*BE215+BF230*BF215+BG230*BG215+BH230*BH215+BI230*BI215+BJ230*BJ215+BK230*BK215+BL230*BL215+BM230*BM215+BN230*BN215+BO230*BO215+BP230*BP215+BQ230*BQ215+BR230*BR215+BS230*BS215+BT230*BT215+BU230*BU215+BV230*BV215+BW230*BW215+BX230*BX215+BY230*BY215+BZ230*BZ215+CA230*CA215+CB230*CB215+CC230*CC215</f>
        <v>0</v>
      </c>
    </row>
    <row r="216" spans="2:94" ht="15.75" thickBot="1" x14ac:dyDescent="0.3">
      <c r="B216" s="2390">
        <v>97</v>
      </c>
      <c r="C216" s="2391" t="s">
        <v>4804</v>
      </c>
      <c r="D216" s="2392" t="s">
        <v>3209</v>
      </c>
      <c r="E216" s="2407">
        <f>0</f>
        <v>0</v>
      </c>
      <c r="F216" s="2407">
        <f>0</f>
        <v>0</v>
      </c>
      <c r="G216" s="2407">
        <f>0</f>
        <v>0</v>
      </c>
      <c r="H216" s="2407">
        <f>0</f>
        <v>0</v>
      </c>
      <c r="I216" s="2407">
        <f>0</f>
        <v>0</v>
      </c>
      <c r="J216" s="2407">
        <f>0</f>
        <v>0</v>
      </c>
      <c r="K216" s="2407">
        <f>0</f>
        <v>0</v>
      </c>
      <c r="L216" s="2407">
        <f>0</f>
        <v>0</v>
      </c>
      <c r="M216" s="2407">
        <f>0</f>
        <v>0</v>
      </c>
      <c r="N216" s="2407">
        <f>0</f>
        <v>0</v>
      </c>
      <c r="O216" s="2407">
        <f>0</f>
        <v>0</v>
      </c>
      <c r="P216" s="2407">
        <f>0</f>
        <v>0</v>
      </c>
      <c r="Q216" s="2407">
        <f>0</f>
        <v>0</v>
      </c>
      <c r="R216" s="2407">
        <f>0</f>
        <v>0</v>
      </c>
      <c r="S216" s="2407">
        <f>0</f>
        <v>0</v>
      </c>
      <c r="T216" s="2407">
        <f>0</f>
        <v>0</v>
      </c>
      <c r="U216" s="2407">
        <f>0</f>
        <v>0</v>
      </c>
      <c r="V216" s="2407">
        <f>0</f>
        <v>0</v>
      </c>
      <c r="W216" s="2407">
        <f>0</f>
        <v>0</v>
      </c>
      <c r="X216" s="2407">
        <f>0</f>
        <v>0</v>
      </c>
      <c r="Y216" s="2407">
        <f>0</f>
        <v>0</v>
      </c>
      <c r="Z216" s="2407">
        <f>0</f>
        <v>0</v>
      </c>
      <c r="AA216" s="2407">
        <f>0</f>
        <v>0</v>
      </c>
      <c r="AB216" s="2407">
        <f>1</f>
        <v>1</v>
      </c>
      <c r="AC216" s="2407">
        <f>0</f>
        <v>0</v>
      </c>
      <c r="AD216" s="2407">
        <f>0</f>
        <v>0</v>
      </c>
      <c r="AE216" s="2407">
        <f>0</f>
        <v>0</v>
      </c>
      <c r="AF216" s="2407">
        <f>0</f>
        <v>0</v>
      </c>
      <c r="AG216" s="2407">
        <f>0</f>
        <v>0</v>
      </c>
      <c r="AH216" s="2407">
        <f>0</f>
        <v>0</v>
      </c>
      <c r="AI216" s="2407">
        <f>0</f>
        <v>0</v>
      </c>
      <c r="AJ216" s="2407">
        <f>0</f>
        <v>0</v>
      </c>
      <c r="AK216" s="2407">
        <f>0</f>
        <v>0</v>
      </c>
      <c r="AL216" s="2407">
        <f>0</f>
        <v>0</v>
      </c>
      <c r="AM216" s="2407">
        <f>0</f>
        <v>0</v>
      </c>
      <c r="AN216" s="2407">
        <f>0</f>
        <v>0</v>
      </c>
      <c r="AO216" s="2407">
        <f>0</f>
        <v>0</v>
      </c>
      <c r="AP216" s="2407">
        <f>0</f>
        <v>0</v>
      </c>
      <c r="AQ216" s="2407">
        <f>0</f>
        <v>0</v>
      </c>
      <c r="AR216" s="2407">
        <f>0</f>
        <v>0</v>
      </c>
      <c r="AS216" s="2407">
        <f>0</f>
        <v>0</v>
      </c>
      <c r="AT216" s="2407">
        <f>0</f>
        <v>0</v>
      </c>
      <c r="AU216" s="2407">
        <f>0</f>
        <v>0</v>
      </c>
      <c r="AV216" s="2407">
        <f>0</f>
        <v>0</v>
      </c>
      <c r="AW216" s="2407">
        <f>0</f>
        <v>0</v>
      </c>
      <c r="AX216" s="2407">
        <f>0</f>
        <v>0</v>
      </c>
      <c r="AY216" s="2407">
        <f>0</f>
        <v>0</v>
      </c>
      <c r="AZ216" s="2407">
        <f>0</f>
        <v>0</v>
      </c>
      <c r="BA216" s="2407">
        <f>0</f>
        <v>0</v>
      </c>
      <c r="BB216" s="2407">
        <f>0</f>
        <v>0</v>
      </c>
      <c r="BC216" s="2407">
        <f>0</f>
        <v>0</v>
      </c>
      <c r="BD216" s="2407">
        <f>0</f>
        <v>0</v>
      </c>
      <c r="BE216" s="2407">
        <f>0</f>
        <v>0</v>
      </c>
      <c r="BF216" s="2407">
        <f>0</f>
        <v>0</v>
      </c>
      <c r="BG216" s="2407">
        <f>0</f>
        <v>0</v>
      </c>
      <c r="BH216" s="2407">
        <f>0</f>
        <v>0</v>
      </c>
      <c r="BI216" s="2407">
        <f>0</f>
        <v>0</v>
      </c>
      <c r="BJ216" s="2407">
        <f>0</f>
        <v>0</v>
      </c>
      <c r="BK216" s="2407">
        <f>0</f>
        <v>0</v>
      </c>
      <c r="BL216" s="2407">
        <f>0</f>
        <v>0</v>
      </c>
      <c r="BM216" s="2407">
        <f>0</f>
        <v>0</v>
      </c>
      <c r="BN216" s="2407">
        <f>0</f>
        <v>0</v>
      </c>
      <c r="BO216" s="2407">
        <f>0</f>
        <v>0</v>
      </c>
      <c r="BP216" s="2407">
        <f>0</f>
        <v>0</v>
      </c>
      <c r="BQ216" s="2407">
        <f>0</f>
        <v>0</v>
      </c>
      <c r="BR216" s="2407">
        <f>0</f>
        <v>0</v>
      </c>
      <c r="BS216" s="2407">
        <f>0</f>
        <v>0</v>
      </c>
      <c r="BT216" s="2407">
        <f>0</f>
        <v>0</v>
      </c>
      <c r="BU216" s="2407">
        <f>0</f>
        <v>0</v>
      </c>
      <c r="BV216" s="2407">
        <f>0</f>
        <v>0</v>
      </c>
      <c r="BW216" s="2407">
        <f>0</f>
        <v>0</v>
      </c>
      <c r="BX216" s="2407">
        <f>0</f>
        <v>0</v>
      </c>
      <c r="BY216" s="2407">
        <f>0</f>
        <v>0</v>
      </c>
      <c r="BZ216" s="2407">
        <f>0</f>
        <v>0</v>
      </c>
      <c r="CA216" s="2407">
        <f>0</f>
        <v>0</v>
      </c>
      <c r="CB216" s="2407">
        <f>0</f>
        <v>0</v>
      </c>
      <c r="CC216" s="2409">
        <f>-Δ_atm</f>
        <v>-1</v>
      </c>
      <c r="CD216" s="2412">
        <f>k_LaGN2_sur*(S_GN2_sur_sat-S_N2)</f>
        <v>-8.19</v>
      </c>
      <c r="CF216" s="2385">
        <f>E220*E216+F220*F216+G220*G216+H220*H216+I220*I216+J220*J216+K220*K216+L220*L216+M220*M216+N220*N216+O220*O216+P220*P216+Q220*Q216+R220*R216+S220*S216+T220*T216+U220*U216+V220*V216+W220*W216+X220*X216+Y220*Y216+Z220*Z216+AA220*AA216+AB220*AB216+AC220*AC216+AD220*AD216+AE220*AE216+AF220*AF216+AG220*AG216+AH220*AH216+AI220*AI216+AJ220*AJ216+AK220*AK216+AL220*AL216+AM220*AM216+AN220*AN216+AO220*AO216+AP220*AP216+AQ220*AQ216+AR220*AR216+AS220*AS216+AT220*AT216+AU220*AU216+AV220*AV216+AW220*AW216+AX220*AX216+AY220*AY216+AZ220*AZ216+BA220*BA216+BB220*BB216+BC220*BC216+BD220*BD216+BE220*BE216+BF220*BF216+BG220*BG216+BH220*BH216+BI220*BI216+BJ220*BJ216+BK220*BK216+BL220*BL216+BM220*BM216+BN220*BN216+BO220*BO216+BP220*BP216+BQ220*BQ216+BR220*BR216+BS220*BS216+BT220*BT216+BU220*BU216+BV220*BV216+BW220*BW216+BX220*BX216+BY220*BY216+BZ220*BZ216+CA220*CA216+CB220*CB216+CC220*CC216</f>
        <v>0</v>
      </c>
      <c r="CG216" s="2385">
        <f>E221*E216+F221*F216+G221*G216+H221*H216+I221*I216+J221*J216+K221*K216+L221*L216+M221*M216+N221*N216+O221*O216+P221*P216+Q221*Q216+R221*R216+S221*S216+T221*T216+U221*U216+V221*V216+W221*W216+X221*X216+Y221*Y216+Z221*Z216+AA221*AA216+AB221*AB216+AC221*AC216+AD221*AD216+AE221*AE216+AF221*AF216+AG221*AG216+AH221*AH216+AI221*AI216+AJ221*AJ216+AK221*AK216+AL221*AL216+AM221*AM216+AN221*AN216+AO221*AO216+AP221*AP216+AQ221*AQ216+AR221*AR216+AS221*AS216+AT221*AT216+AU221*AU216+AV221*AV216+AW221*AW216+AX221*AX216+AY221*AY216+AZ221*AZ216+BA221*BA216+BB221*BB216+BC221*BC216+BD221*BD216+BE221*BE216+BF221*BF216+BG221*BG216+BH221*BH216+BI221*BI216+BJ221*BJ216+BK221*BK216+BL221*BL216+BM221*BM216+BN221*BN216+BO221*BO216+BP221*BP216+BQ221*BQ216+BR221*BR216+BS221*BS216+BT221*BT216+BU221*BU216+BV221*BV216+BW221*BW216+BX221*BX216+BY221*BY216+BZ221*BZ216+CA221*CA216+CB221*CB216+CC221*CC216</f>
        <v>0</v>
      </c>
      <c r="CH216" s="2386">
        <f>E222*E216+F222*F216+G222*G216+H222*H216+I222*I216+J222*J216+K222*K216+L222*L216+M222*M216+N222*N216+O222*O216+P222*P216+Q222*Q216+R222*R216+S222*S216+T222*T216+U222*U216+V222*V216+W222*W216+X222*X216+Y222*Y216+Z222*Z216+AA222*AA216+AB222*AB216+AC222*AC216+AD222*AD216+AE222*AE216+AF222*AF216+AG222*AG216+AH222*AH216+AI222*AI216+AJ222*AJ216+AK222*AK216+AL222*AL216+AM222*AM216+AN222*AN216+AO222*AO216+AP222*AP216+AQ222*AQ216+AR222*AR216+AS222*AS216+AT222*AT216+AU222*AU216+AV222*AV216+AW222*AW216+AX222*AX216+AY222*AY216+AZ222*AZ216+BA222*BA216+BB222*BB216+BC222*BC216+BD222*BD216+BE222*BE216+BF222*BF216+BG222*BG216+BH222*BH216+BI222*BI216+BJ222*BJ216+BK222*BK216+BL222*BL216+BM222*BM216+BN222*BN216+BO222*BO216+BP222*BP216+BQ222*BQ216+BR222*BR216+BS222*BS216+BT222*BT216+BU222*BU216+BV222*BV216+BW222*BW216+BX222*BX216+BY222*BY216+BZ222*BZ216+CA222*CA216+CB222*CB216+CC222*CC216</f>
        <v>0</v>
      </c>
      <c r="CI216" s="2387">
        <f>E223*E216+F223*F216+G223*G216+H223*H216+I223*I216+J223*J216+K223*K216+L223*L216+M223*M216+N223*N216+O223*O216+P223*P216+Q223*Q216+R223*R216+S223*S216+T223*T216+U223*U216+V223*V216+W223*W216+X223*X216+Y223*Y216+Z223*Z216+AA223*AA216+AB223*AB216+AC223*AC216+AD223*AD216+AE223*AE216+AF223*AF216+AG223*AG216+AH223*AH216+AI223*AI216+AJ223*AJ216+AK223*AK216+AL223*AL216+AM223*AM216+AN223*AN216+AO223*AO216+AP223*AP216+AQ223*AQ216+AR223*AR216+AS223*AS216+AT223*AT216+AU223*AU216+AV223*AV216+AW223*AW216+AX223*AX216+AY223*AY216+AZ223*AZ216+BA223*BA216+BB223*BB216+BC223*BC216+BD223*BD216+BE223*BE216+BF223*BF216+BG223*BG216+BH223*BH216+BI223*BI216+BJ223*BJ216+BK223*BK216+BL223*BL216+BM223*BM216+BN223*BN216+BO223*BO216+BP223*BP216+BQ223*BQ216+BR223*BR216+BS223*BS216+BT223*BT216+BU223*BU216+BV223*BV216+BW223*BW216+BX223*BX216+BY223*BY216+BZ223*BZ216+CA223*CA216+CB223*CB216+CC223*CC216</f>
        <v>0</v>
      </c>
      <c r="CJ216" s="2387">
        <f>E224*E216+F224*F216+G224*G216+H224*H216+I224*I216+J224*J216+K224*K216+L224*L216+M224*M216+N224*N216+O224*O216+P224*P216+Q224*Q216+R224*R216+S224*S216+T224*T216+U224*U216+V224*V216+W224*W216+X224*X216+Y224*Y216+Z224*Z216+AA224*AA216+AB224*AB216+AC224*AC216+AD224*AD216+AE224*AE216+AF224*AF216+AG224*AG216+AH224*AH216+AI224*AI216+AJ224*AJ216+AK224*AK216+AL224*AL216+AM224*AM216+AN224*AN216+AO224*AO216+AP224*AP216+AQ224*AQ216+AR224*AR216+AS224*AS216+AT224*AT216+AU224*AU216+AV224*AV216+AW224*AW216+AX224*AX216+AY224*AY216+AZ224*AZ216+BA224*BA216+BB224*BB216+BC224*BC216+BD224*BD216+BE224*BE216+BF224*BF216+BG224*BG216+BH224*BH216+BI224*BI216+BJ224*BJ216+BK224*BK216+BL224*BL216+BM224*BM216+BN224*BN216+BO224*BO216+BP224*BP216+BQ224*BQ216+BR224*BR216+BS224*BS216+BT224*BT216+BU224*BU216+BV224*BV216+BW224*BW216+BX224*BX216+BY224*BY216+BZ224*BZ216+CA224*CA216+CB224*CB216+CC224*CC216</f>
        <v>0</v>
      </c>
      <c r="CK216" s="2387">
        <f>E225*E216+F225*F216+G225*G216+H225*H216+I225*I216+J225*J216+K225*K216+L225*L216+M225*M216+N225*N216+O225*O216+P225*P216+Q225*Q216+R225*R216+S225*S216+T225*T216+U225*U216+V225*V216+W225*W216+X225*X216+Y225*Y216+Z225*Z216+AA225*AA216+AB225*AB216+AC225*AC216+AD225*AD216+AE225*AE216+AF225*AF216+AG225*AG216+AH225*AH216+AI225*AI216+AJ225*AJ216+AK225*AK216+AL225*AL216+AM225*AM216+AN225*AN216+AO225*AO216+AP225*AP216+AQ225*AQ216+AR225*AR216+AS225*AS216+AT225*AT216+AU225*AU216+AV225*AV216+AW225*AW216+AX225*AX216+AY225*AY216+AZ225*AZ216+BA225*BA216+BB225*BB216+BC225*BC216+BD225*BD216+BE225*BE216+BF225*BF216+BG225*BG216+BH225*BH216+BI225*BI216+BJ225*BJ216+BK225*BK216+BL225*BL216+BM225*BM216+BN225*BN216+BO225*BO216+BP225*BP216+BQ225*BQ216+BR225*BR216+BS225*BS216+BT225*BT216+BU225*BU216+BV225*BV216+BW225*BW216+BX225*BX216+BY225*BY216+BZ225*BZ216+CA225*CA216+CB225*CB216+CC225*CC216</f>
        <v>0</v>
      </c>
      <c r="CL216" s="2387">
        <f>E226*E216+F226*F216+G226*G216+H226*H216+I226*I216+J226*J216+K226*K216+L226*L216+M226*M216+N226*N216+O226*O216+P226*P216+Q226*Q216+R226*R216+S226*S216+T226*T216+U226*U216+V226*V216+W226*W216+X226*X216+Y226*Y216+Z226*Z216+AA226*AA216+AB226*AB216+AC226*AC216+AD226*AD216+AE226*AE216+AF226*AF216+AG226*AG216+AH226*AH216+AI226*AI216+AJ226*AJ216+AK226*AK216+AL226*AL216+AM226*AM216+AN226*AN216+AO226*AO216+AP226*AP216+AQ226*AQ216+AR226*AR216+AS226*AS216+AT226*AT216+AU226*AU216+AV226*AV216+AW226*AW216+AX226*AX216+AY226*AY216+AZ226*AZ216+BA226*BA216+BB226*BB216+BC226*BC216+BD226*BD216+BE226*BE216+BF226*BF216+BG226*BG216+BH226*BH216+BI226*BI216+BJ226*BJ216+BK226*BK216+BL226*BL216+BM226*BM216+BN226*BN216+BO226*BO216+BP226*BP216+BQ226*BQ216+BR226*BR216+BS226*BS216+BT226*BT216+BU226*BU216+BV226*BV216+BW226*BW216+BX226*BX216+BY226*BY216+BZ226*BZ216+CA226*CA216+CB226*CB216+CC226*CC216</f>
        <v>0</v>
      </c>
      <c r="CM216" s="2387">
        <f>E227*E216+F227*F216+G227*G216+H227*H216+I227*I216+J227*J216+K227*K216+L227*L216+M227*M216+N227*N216+O227*O216+P227*P216+Q227*Q216+R227*R216+S227*S216+T227*T216+U227*U216+V227*V216+W227*W216+X227*X216+Y227*Y216+Z227*Z216+AA227*AA216+AB227*AB216+AC227*AC216+AD227*AD216+AE227*AE216+AF227*AF216+AG227*AG216+AH227*AH216+AI227*AI216+AJ227*AJ216+AK227*AK216+AL227*AL216+AM227*AM216+AN227*AN216+AO227*AO216+AP227*AP216+AQ227*AQ216+AR227*AR216+AS227*AS216+AT227*AT216+AU227*AU216+AV227*AV216+AW227*AW216+AX227*AX216+AY227*AY216+AZ227*AZ216+BA227*BA216+BB227*BB216+BC227*BC216+BD227*BD216+BE227*BE216+BF227*BF216+BG227*BG216+BH227*BH216+BI227*BI216+BJ227*BJ216+BK227*BK216+BL227*BL216+BM227*BM216+BN227*BN216+BO227*BO216+BP227*BP216+BQ227*BQ216+BR227*BR216+BS227*BS216+BT227*BT216+BU227*BU216+BV227*BV216+BW227*BW216+BX227*BX216+BY227*BY216+BZ227*BZ216+CA227*CA216+CB227*CB216+CC227*CC216</f>
        <v>0</v>
      </c>
      <c r="CN216" s="2387">
        <f>E228*E216+F228*F216+G228*G216+H228*H216+I228*I216+J228*J216+K228*K216+L228*L216+M228*M216+N228*N216+O228*O216+P228*P216+Q228*Q216+R228*R216+S228*S216+T228*T216+U228*U216+V228*V216+W228*W216+X228*X216+Y228*Y216+Z228*Z216+AA228*AA216+AB228*AB216+AC228*AC216+AD228*AD216+AE228*AE216+AF228*AF216+AG228*AG216+AH228*AH216+AI228*AI216+AJ228*AJ216+AK228*AK216+AL228*AL216+AM228*AM216+AN228*AN216+AO228*AO216+AP228*AP216+AQ228*AQ216+AR228*AR216+AS228*AS216+AT228*AT216+AU228*AU216+AV228*AV216+AW228*AW216+AX228*AX216+AY228*AY216+AZ228*AZ216+BA228*BA216+BB228*BB216+BC228*BC216+BD228*BD216+BE228*BE216+BF228*BF216+BG228*BG216+BH228*BH216+BI228*BI216+BJ228*BJ216+BK228*BK216+BL228*BL216+BM228*BM216+BN228*BN216+BO228*BO216+BP228*BP216+BQ228*BQ216+BR228*BR216+BS228*BS216+BT228*BT216+BU228*BU216+BV228*BV216+BW228*BW216+BX228*BX216+BY228*BY216+BZ228*BZ216+CA228*CA216+CB228*CB216+CC228*CC216</f>
        <v>0</v>
      </c>
      <c r="CO216" s="2387">
        <f>E229*E216+F229*F216+G229*G216+H229*H216+I229*I216+J229*J216+K229*K216+L229*L216+M229*M216+N229*N216+O229*O216+P229*P216+Q229*Q216+R229*R216+S229*S216+T229*T216+U229*U216+V229*V216+W229*W216+X229*X216+Y229*Y216+Z229*Z216+AA229*AA216+AB229*AB216+AC229*AC216+AD229*AD216+AE229*AE216+AF229*AF216+AG229*AG216+AH229*AH216+AI229*AI216+AJ229*AJ216+AK229*AK216+AL229*AL216+AM229*AM216+AN229*AN216+AO229*AO216+AP229*AP216+AQ229*AQ216+AR229*AR216+AS229*AS216+AT229*AT216+AU229*AU216+AV229*AV216+AW229*AW216+AX229*AX216+AY229*AY216+AZ229*AZ216+BA229*BA216+BB229*BB216+BC229*BC216+BD229*BD216+BE229*BE216+BF229*BF216+BG229*BG216+BH229*BH216+BI229*BI216+BJ229*BJ216+BK229*BK216+BL229*BL216+BM229*BM216+BN229*BN216+BO229*BO216+BP229*BP216+BQ229*BQ216+BR229*BR216+BS229*BS216+BT229*BT216+BU229*BU216+BV229*BV216+BW229*BW216+BX229*BX216+BY229*BY216+BZ229*BZ216+CA229*CA216+CB229*CB216+CC229*CC216</f>
        <v>0</v>
      </c>
      <c r="CP216" s="2387">
        <f>E230*E216+F230*F216+G230*G216+H230*H216+I230*I216+J230*J216+K230*K216+L230*L216+M230*M216+N230*N216+O230*O216+P230*P216+Q230*Q216+R230*R216+S230*S216+T230*T216+U230*U216+V230*V216+W230*W216+X230*X216+Y230*Y216+Z230*Z216+AA230*AA216+AB230*AB216+AC230*AC216+AD230*AD216+AE230*AE216+AF230*AF216+AG230*AG216+AH230*AH216+AI230*AI216+AJ230*AJ216+AK230*AK216+AL230*AL216+AM230*AM216+AN230*AN216+AO230*AO216+AP230*AP216+AQ230*AQ216+AR230*AR216+AS230*AS216+AT230*AT216+AU230*AU216+AV230*AV216+AW230*AW216+AX230*AX216+AY230*AY216+AZ230*AZ216+BA230*BA216+BB230*BB216+BC230*BC216+BD230*BD216+BE230*BE216+BF230*BF216+BG230*BG216+BH230*BH216+BI230*BI216+BJ230*BJ216+BK230*BK216+BL230*BL216+BM230*BM216+BN230*BN216+BO230*BO216+BP230*BP216+BQ230*BQ216+BR230*BR216+BS230*BS216+BT230*BT216+BU230*BU216+BV230*BV216+BW230*BW216+BX230*BX216+BY230*BY216+BZ230*BZ216+CA230*CA216+CB230*CB216+CC230*CC216</f>
        <v>0</v>
      </c>
    </row>
    <row r="218" spans="2:94" ht="15.75" thickBot="1" x14ac:dyDescent="0.3"/>
    <row r="219" spans="2:94" ht="15.75" thickBot="1" x14ac:dyDescent="0.3">
      <c r="D219" s="1572" t="s">
        <v>6</v>
      </c>
      <c r="E219" s="1280"/>
      <c r="F219" s="1280"/>
      <c r="G219" s="1280"/>
      <c r="H219" s="1280"/>
      <c r="I219" s="1280"/>
      <c r="J219" s="1280"/>
      <c r="K219" s="1280"/>
      <c r="L219" s="1280"/>
      <c r="M219" s="1280"/>
      <c r="N219" s="1280"/>
      <c r="O219" s="1280"/>
      <c r="P219" s="1280"/>
      <c r="Q219" s="1280"/>
      <c r="R219" s="1280"/>
      <c r="S219" s="1280"/>
      <c r="T219" s="1280"/>
      <c r="U219" s="1280"/>
      <c r="V219" s="1280"/>
      <c r="W219" s="1280"/>
      <c r="X219" s="1280"/>
      <c r="Y219" s="1280"/>
      <c r="Z219" s="1280"/>
      <c r="AA219" s="1280"/>
      <c r="AB219" s="1280"/>
      <c r="AC219" s="1280"/>
      <c r="AD219" s="1280"/>
      <c r="AE219" s="1280"/>
      <c r="AF219" s="1280"/>
      <c r="AG219" s="1280"/>
      <c r="AH219" s="1280"/>
      <c r="AI219" s="1280"/>
      <c r="AJ219" s="1280"/>
      <c r="AK219" s="1280"/>
      <c r="AL219" s="1280"/>
      <c r="AM219" s="1280"/>
      <c r="AN219" s="1280"/>
      <c r="AO219" s="1280"/>
      <c r="AP219" s="1280"/>
      <c r="AQ219" s="1280"/>
      <c r="AR219" s="1280"/>
      <c r="AS219" s="1280"/>
      <c r="AT219" s="1280"/>
      <c r="AU219" s="1280"/>
      <c r="AV219" s="1280"/>
      <c r="AW219" s="1280"/>
      <c r="AX219" s="1280"/>
      <c r="AY219" s="1280"/>
      <c r="AZ219" s="1280"/>
      <c r="BA219" s="1280"/>
      <c r="BB219" s="1280"/>
      <c r="BC219" s="1280"/>
      <c r="BD219" s="1280"/>
      <c r="BE219" s="1280"/>
      <c r="BF219" s="1280"/>
      <c r="BG219" s="1280"/>
      <c r="BH219" s="1280"/>
      <c r="BI219" s="1280"/>
      <c r="BJ219" s="1280"/>
      <c r="BK219" s="1280"/>
      <c r="BL219" s="1284"/>
      <c r="BM219" s="1280"/>
      <c r="BN219" s="1280"/>
      <c r="BO219" s="1280"/>
      <c r="BP219" s="1280"/>
      <c r="BQ219" s="1280"/>
      <c r="BR219" s="1280"/>
      <c r="BS219" s="1280"/>
      <c r="BT219" s="1280"/>
      <c r="BU219" s="1280"/>
      <c r="BV219" s="1280"/>
      <c r="BW219" s="1280"/>
      <c r="BX219" s="1280"/>
      <c r="BY219" s="1280"/>
      <c r="BZ219" s="1280"/>
      <c r="CA219" s="1280"/>
      <c r="CB219" s="1280"/>
      <c r="CC219" s="1280"/>
    </row>
    <row r="220" spans="2:94" x14ac:dyDescent="0.25">
      <c r="D220" s="1573" t="s">
        <v>148</v>
      </c>
      <c r="E220" s="316">
        <v>1</v>
      </c>
      <c r="F220" s="316">
        <v>1</v>
      </c>
      <c r="G220" s="316">
        <v>1</v>
      </c>
      <c r="H220" s="316">
        <v>1</v>
      </c>
      <c r="I220" s="316">
        <v>1</v>
      </c>
      <c r="J220" s="316">
        <v>1</v>
      </c>
      <c r="K220" s="316">
        <v>1</v>
      </c>
      <c r="L220" s="316">
        <v>1</v>
      </c>
      <c r="M220" s="316">
        <v>1</v>
      </c>
      <c r="N220" s="316">
        <v>1</v>
      </c>
      <c r="O220" s="316">
        <v>1</v>
      </c>
      <c r="P220" s="316">
        <v>1</v>
      </c>
      <c r="Q220" s="316">
        <v>1</v>
      </c>
      <c r="R220" s="316">
        <v>1</v>
      </c>
      <c r="S220" s="316">
        <v>1</v>
      </c>
      <c r="T220" s="316">
        <v>1</v>
      </c>
      <c r="U220" s="316">
        <v>1</v>
      </c>
      <c r="V220" s="316">
        <v>1</v>
      </c>
      <c r="W220" s="316">
        <v>1</v>
      </c>
      <c r="X220" s="316">
        <v>1</v>
      </c>
      <c r="Y220" s="316"/>
      <c r="Z220" s="317">
        <f>-E_EQNO2</f>
        <v>-3.4268028871897016</v>
      </c>
      <c r="AA220" s="317">
        <f>-E_EQNO3</f>
        <v>-4.5690705162529355</v>
      </c>
      <c r="AB220" s="317">
        <f>-E_EQN2</f>
        <v>-1.7134014435948508</v>
      </c>
      <c r="AC220" s="316"/>
      <c r="AD220" s="316"/>
      <c r="AE220" s="316"/>
      <c r="AF220" s="316"/>
      <c r="AG220" s="316"/>
      <c r="AH220" s="316"/>
      <c r="AI220" s="316"/>
      <c r="AJ220" s="316"/>
      <c r="AK220" s="316">
        <v>-1</v>
      </c>
      <c r="AL220" s="316">
        <v>1</v>
      </c>
      <c r="AM220" s="316">
        <v>1</v>
      </c>
      <c r="AN220" s="316"/>
      <c r="AO220" s="316"/>
      <c r="AP220" s="316"/>
      <c r="AQ220" s="316"/>
      <c r="AR220" s="316"/>
      <c r="AS220" s="316"/>
      <c r="AT220" s="316"/>
      <c r="AU220" s="316">
        <f>E_EQFe2</f>
        <v>0.14325364849136002</v>
      </c>
      <c r="AV220" s="316"/>
      <c r="AW220" s="316"/>
      <c r="AX220" s="316"/>
      <c r="AY220" s="316"/>
      <c r="AZ220" s="316"/>
      <c r="BA220" s="316"/>
      <c r="BB220" s="316"/>
      <c r="BC220" s="316"/>
      <c r="BD220" s="316"/>
      <c r="BE220" s="316"/>
      <c r="BF220" s="316"/>
      <c r="BG220" s="316"/>
      <c r="BH220" s="316"/>
      <c r="BI220" s="316"/>
      <c r="BJ220" s="316"/>
      <c r="BK220" s="316"/>
      <c r="BL220" s="1563"/>
      <c r="BM220" s="316"/>
      <c r="BN220" s="318">
        <f>3*A_MFe/M_MVivi*E_EQFe2</f>
        <v>4.7846893347985253E-2</v>
      </c>
      <c r="BO220" s="318"/>
      <c r="BP220" s="1411"/>
      <c r="BQ220" s="2360"/>
      <c r="BR220" s="745"/>
      <c r="BS220" s="746" t="s">
        <v>3407</v>
      </c>
      <c r="BT220" s="746" t="s">
        <v>3407</v>
      </c>
      <c r="BU220" s="746" t="s">
        <v>1150</v>
      </c>
      <c r="BV220" s="745"/>
      <c r="BW220" s="746">
        <f>-E_EQN2</f>
        <v>-1.7134014435948508</v>
      </c>
      <c r="BX220" s="1564"/>
      <c r="BY220" s="1564">
        <f>1/Δ_atm</f>
        <v>1</v>
      </c>
      <c r="BZ220" s="1564">
        <f>1/Δ_atm</f>
        <v>1</v>
      </c>
      <c r="CA220" s="1564">
        <f>-1/Δ_atm</f>
        <v>-1</v>
      </c>
      <c r="CB220" s="1564"/>
      <c r="CC220" s="1564">
        <f>-E_EQN2/Δ_atm</f>
        <v>-1.7134014435948508</v>
      </c>
    </row>
    <row r="221" spans="2:94" x14ac:dyDescent="0.25">
      <c r="D221" s="1574" t="s">
        <v>258</v>
      </c>
      <c r="E221" s="219">
        <f>i_CIT_VFA</f>
        <v>0.375</v>
      </c>
      <c r="F221" s="219">
        <f>i_CIT_SB</f>
        <v>0.28599999999999998</v>
      </c>
      <c r="G221" s="219">
        <f>i_CIT_MEOL</f>
        <v>0.25</v>
      </c>
      <c r="H221" s="219">
        <f>i_CIT_SB</f>
        <v>0.28599999999999998</v>
      </c>
      <c r="I221" s="219">
        <f>i_CIT_SB</f>
        <v>0.28599999999999998</v>
      </c>
      <c r="J221" s="219">
        <f>i_CIT_SB</f>
        <v>0.28599999999999998</v>
      </c>
      <c r="K221" s="219">
        <f>i_CIT_SB</f>
        <v>0.28599999999999998</v>
      </c>
      <c r="L221" s="219">
        <f>i_CIT_SB</f>
        <v>0.28599999999999998</v>
      </c>
      <c r="M221" s="219">
        <f>i_CIT_PHA</f>
        <v>0.33300000000000002</v>
      </c>
      <c r="N221" s="219">
        <f>i_CIT_GLY</f>
        <v>0.375</v>
      </c>
      <c r="O221" s="219">
        <f t="shared" ref="O221:X221" si="7">i_CIT_BIO</f>
        <v>0.35199999999999998</v>
      </c>
      <c r="P221" s="219">
        <f t="shared" si="7"/>
        <v>0.35199999999999998</v>
      </c>
      <c r="Q221" s="219">
        <f t="shared" si="7"/>
        <v>0.35199999999999998</v>
      </c>
      <c r="R221" s="219">
        <f t="shared" si="7"/>
        <v>0.35199999999999998</v>
      </c>
      <c r="S221" s="219">
        <f t="shared" si="7"/>
        <v>0.35199999999999998</v>
      </c>
      <c r="T221" s="219">
        <f t="shared" si="7"/>
        <v>0.35199999999999998</v>
      </c>
      <c r="U221" s="219">
        <f t="shared" si="7"/>
        <v>0.35199999999999998</v>
      </c>
      <c r="V221" s="219">
        <f t="shared" si="7"/>
        <v>0.35199999999999998</v>
      </c>
      <c r="W221" s="219">
        <f t="shared" si="7"/>
        <v>0.35199999999999998</v>
      </c>
      <c r="X221" s="219">
        <f t="shared" si="7"/>
        <v>0.35199999999999998</v>
      </c>
      <c r="Y221" s="219"/>
      <c r="Z221" s="315"/>
      <c r="AA221" s="315"/>
      <c r="AB221" s="315"/>
      <c r="AC221" s="219"/>
      <c r="AD221" s="219"/>
      <c r="AE221" s="219"/>
      <c r="AF221" s="219"/>
      <c r="AG221" s="219"/>
      <c r="AH221" s="219"/>
      <c r="AI221" s="219"/>
      <c r="AJ221" s="219"/>
      <c r="AK221" s="219"/>
      <c r="AL221" s="219">
        <f>i_CIT_CH4</f>
        <v>0.188</v>
      </c>
      <c r="AM221" s="219"/>
      <c r="AN221" s="219">
        <v>1</v>
      </c>
      <c r="AO221" s="219"/>
      <c r="AP221" s="219"/>
      <c r="AQ221" s="219"/>
      <c r="AR221" s="219"/>
      <c r="AS221" s="219"/>
      <c r="AT221" s="219"/>
      <c r="AU221" s="219"/>
      <c r="AV221" s="219"/>
      <c r="AW221" s="219"/>
      <c r="AX221" s="219"/>
      <c r="AY221" s="219"/>
      <c r="AZ221" s="219"/>
      <c r="BA221" s="219"/>
      <c r="BB221" s="219"/>
      <c r="BC221" s="219"/>
      <c r="BD221" s="219"/>
      <c r="BE221" s="219"/>
      <c r="BF221" s="219"/>
      <c r="BG221" s="219"/>
      <c r="BH221" s="219"/>
      <c r="BI221" s="219"/>
      <c r="BJ221" s="219">
        <f>A_MC/M_MCaCO3</f>
        <v>0.12000271763837225</v>
      </c>
      <c r="BK221" s="219"/>
      <c r="BL221" s="1566"/>
      <c r="BM221" s="219"/>
      <c r="BN221" s="220"/>
      <c r="BO221" s="220"/>
      <c r="BP221" s="1412"/>
      <c r="BQ221" s="2337"/>
      <c r="BR221" s="747" t="s">
        <v>3407</v>
      </c>
      <c r="BS221" s="748">
        <f>i_CIT_CH4</f>
        <v>0.188</v>
      </c>
      <c r="BT221" s="748"/>
      <c r="BU221" s="747"/>
      <c r="BV221" s="748"/>
      <c r="BW221" s="747"/>
      <c r="BX221" s="1567">
        <f>1/Δ_atm</f>
        <v>1</v>
      </c>
      <c r="BY221" s="1567">
        <f>i_CIT_CH4/Δ_atm</f>
        <v>0.188</v>
      </c>
      <c r="BZ221" s="1567"/>
      <c r="CA221" s="1567"/>
      <c r="CB221" s="1567"/>
      <c r="CC221" s="1567"/>
    </row>
    <row r="222" spans="2:94" x14ac:dyDescent="0.25">
      <c r="D222" s="1574" t="s">
        <v>254</v>
      </c>
      <c r="E222" s="219"/>
      <c r="F222" s="219"/>
      <c r="G222" s="219"/>
      <c r="H222" s="219">
        <f>i_N_CB</f>
        <v>0.01</v>
      </c>
      <c r="I222" s="219"/>
      <c r="J222" s="219">
        <f>i_N_SU</f>
        <v>0.01</v>
      </c>
      <c r="K222" s="219">
        <f>i_N_CU</f>
        <v>0.01</v>
      </c>
      <c r="L222" s="219"/>
      <c r="M222" s="219"/>
      <c r="N222" s="219"/>
      <c r="O222" s="219">
        <f>i_N_XE</f>
        <v>0.06</v>
      </c>
      <c r="P222" s="219">
        <f>i_N_XE</f>
        <v>0.06</v>
      </c>
      <c r="Q222" s="219">
        <f t="shared" ref="Q222:X222" si="8">i_N_BIO</f>
        <v>7.0000000000000007E-2</v>
      </c>
      <c r="R222" s="219">
        <f t="shared" si="8"/>
        <v>7.0000000000000007E-2</v>
      </c>
      <c r="S222" s="219">
        <f t="shared" si="8"/>
        <v>7.0000000000000007E-2</v>
      </c>
      <c r="T222" s="219">
        <f t="shared" si="8"/>
        <v>7.0000000000000007E-2</v>
      </c>
      <c r="U222" s="219">
        <f t="shared" si="8"/>
        <v>7.0000000000000007E-2</v>
      </c>
      <c r="V222" s="219">
        <f t="shared" si="8"/>
        <v>7.0000000000000007E-2</v>
      </c>
      <c r="W222" s="219">
        <f t="shared" si="8"/>
        <v>7.0000000000000007E-2</v>
      </c>
      <c r="X222" s="219">
        <f t="shared" si="8"/>
        <v>7.0000000000000007E-2</v>
      </c>
      <c r="Y222" s="219">
        <v>1</v>
      </c>
      <c r="Z222" s="219">
        <v>1</v>
      </c>
      <c r="AA222" s="219">
        <v>1</v>
      </c>
      <c r="AB222" s="219">
        <v>1</v>
      </c>
      <c r="AC222" s="219">
        <v>1</v>
      </c>
      <c r="AD222" s="219">
        <v>1</v>
      </c>
      <c r="AE222" s="219">
        <v>1</v>
      </c>
      <c r="AF222" s="219"/>
      <c r="AG222" s="219"/>
      <c r="AH222" s="219"/>
      <c r="AI222" s="219"/>
      <c r="AJ222" s="219"/>
      <c r="AK222" s="219"/>
      <c r="AL222" s="219"/>
      <c r="AM222" s="219"/>
      <c r="AN222" s="219"/>
      <c r="AO222" s="219"/>
      <c r="AP222" s="219"/>
      <c r="AQ222" s="219"/>
      <c r="AR222" s="219"/>
      <c r="AS222" s="219"/>
      <c r="AT222" s="219"/>
      <c r="AU222" s="219"/>
      <c r="AV222" s="219"/>
      <c r="AW222" s="219"/>
      <c r="AX222" s="219"/>
      <c r="AY222" s="219"/>
      <c r="AZ222" s="219"/>
      <c r="BA222" s="219"/>
      <c r="BB222" s="219"/>
      <c r="BC222" s="219"/>
      <c r="BD222" s="219"/>
      <c r="BE222" s="219"/>
      <c r="BF222" s="219"/>
      <c r="BG222" s="219"/>
      <c r="BH222" s="219"/>
      <c r="BI222" s="219"/>
      <c r="BJ222" s="219"/>
      <c r="BK222" s="219"/>
      <c r="BL222" s="1566"/>
      <c r="BM222" s="219">
        <f>A_MN/M_MSTR</f>
        <v>5.7075504823359977E-2</v>
      </c>
      <c r="BN222" s="219"/>
      <c r="BO222" s="219"/>
      <c r="BP222" s="1413"/>
      <c r="BQ222" s="2361"/>
      <c r="BR222" s="748"/>
      <c r="BS222" s="748"/>
      <c r="BT222" s="748"/>
      <c r="BU222" s="748"/>
      <c r="BV222" s="747" t="s">
        <v>3407</v>
      </c>
      <c r="BW222" s="747" t="s">
        <v>3407</v>
      </c>
      <c r="BX222" s="704"/>
      <c r="BY222" s="704"/>
      <c r="BZ222" s="704"/>
      <c r="CA222" s="704"/>
      <c r="CB222" s="704">
        <f>1/Δ_atm</f>
        <v>1</v>
      </c>
      <c r="CC222" s="704">
        <f>1/Δ_atm</f>
        <v>1</v>
      </c>
    </row>
    <row r="223" spans="2:94" x14ac:dyDescent="0.25">
      <c r="D223" s="1574" t="s">
        <v>255</v>
      </c>
      <c r="E223" s="219"/>
      <c r="F223" s="219"/>
      <c r="G223" s="219"/>
      <c r="H223" s="219">
        <f>i_P_CB</f>
        <v>2E-3</v>
      </c>
      <c r="I223" s="219"/>
      <c r="J223" s="219">
        <f>i_P_SU</f>
        <v>2E-3</v>
      </c>
      <c r="K223" s="219">
        <f>i_P_CU</f>
        <v>2E-3</v>
      </c>
      <c r="L223" s="219"/>
      <c r="M223" s="219"/>
      <c r="N223" s="219"/>
      <c r="O223" s="219">
        <f t="shared" ref="O223:X223" si="9">i_P_BIO</f>
        <v>0.02</v>
      </c>
      <c r="P223" s="219">
        <f t="shared" si="9"/>
        <v>0.02</v>
      </c>
      <c r="Q223" s="219">
        <f t="shared" si="9"/>
        <v>0.02</v>
      </c>
      <c r="R223" s="219">
        <f t="shared" si="9"/>
        <v>0.02</v>
      </c>
      <c r="S223" s="219">
        <f t="shared" si="9"/>
        <v>0.02</v>
      </c>
      <c r="T223" s="219">
        <f t="shared" si="9"/>
        <v>0.02</v>
      </c>
      <c r="U223" s="219">
        <f t="shared" si="9"/>
        <v>0.02</v>
      </c>
      <c r="V223" s="219">
        <f t="shared" si="9"/>
        <v>0.02</v>
      </c>
      <c r="W223" s="219">
        <f t="shared" si="9"/>
        <v>0.02</v>
      </c>
      <c r="X223" s="219">
        <f t="shared" si="9"/>
        <v>0.02</v>
      </c>
      <c r="Y223" s="219"/>
      <c r="Z223" s="219"/>
      <c r="AA223" s="219"/>
      <c r="AB223" s="219"/>
      <c r="AC223" s="219"/>
      <c r="AD223" s="219"/>
      <c r="AE223" s="219"/>
      <c r="AF223" s="219">
        <v>1</v>
      </c>
      <c r="AG223" s="219">
        <v>1</v>
      </c>
      <c r="AH223" s="219">
        <v>1</v>
      </c>
      <c r="AI223" s="219">
        <v>1</v>
      </c>
      <c r="AJ223" s="219">
        <v>1</v>
      </c>
      <c r="AK223" s="219"/>
      <c r="AL223" s="219"/>
      <c r="AM223" s="219"/>
      <c r="AN223" s="219"/>
      <c r="AO223" s="219"/>
      <c r="AP223" s="219"/>
      <c r="AQ223" s="219"/>
      <c r="AR223" s="219"/>
      <c r="AS223" s="219"/>
      <c r="AT223" s="219"/>
      <c r="AU223" s="220"/>
      <c r="AV223" s="219"/>
      <c r="AW223" s="219"/>
      <c r="AX223" s="220"/>
      <c r="AY223" s="1566">
        <f>A_SFHFO_H*(A_MP/A_MFe)</f>
        <v>0.66556566639806602</v>
      </c>
      <c r="AZ223" s="1566">
        <f>A_SFHFO_L*(A_MP/A_MFe)</f>
        <v>0.11092761106634436</v>
      </c>
      <c r="BA223" s="1566">
        <f>A_SFHFO_H*(A_MP/A_MFe)</f>
        <v>0.66556566639806602</v>
      </c>
      <c r="BB223" s="1566">
        <f>A_SFHFO_L*(A_MP/A_MFe)</f>
        <v>0.11092761106634436</v>
      </c>
      <c r="BC223" s="219"/>
      <c r="BD223" s="219"/>
      <c r="BE223" s="220"/>
      <c r="BF223" s="1413">
        <f>A_SFHAO_H*(A_MP/A_MAl)</f>
        <v>1.1479629449808202</v>
      </c>
      <c r="BG223" s="1413">
        <f>A_SFHAO_L*(A_MP/A_MAl)</f>
        <v>0.11479629449808203</v>
      </c>
      <c r="BH223" s="1413">
        <f>A_SFHAO_H*(A_MP/A_MAl)</f>
        <v>1.1479629449808202</v>
      </c>
      <c r="BI223" s="1413">
        <f>A_SFHAO_L*(A_MP/A_MAl)</f>
        <v>0.11479629449808203</v>
      </c>
      <c r="BJ223" s="220"/>
      <c r="BK223" s="219">
        <f>2*A_MP/M_MACP</f>
        <v>0.16206538757887573</v>
      </c>
      <c r="BL223" s="1566">
        <f>A_MP/M_MBSH</f>
        <v>0.17998807007087103</v>
      </c>
      <c r="BM223" s="219">
        <f>A_MP/M_MSTR</f>
        <v>0.12621410566683836</v>
      </c>
      <c r="BN223" s="220">
        <f>2*A_MP/M_MVivi</f>
        <v>0.1234998580474381</v>
      </c>
      <c r="BO223" s="220"/>
      <c r="BP223" s="1412"/>
      <c r="BQ223" s="2337"/>
      <c r="BR223" s="748"/>
      <c r="BS223" s="748"/>
      <c r="BT223" s="748"/>
      <c r="BU223" s="748"/>
      <c r="BV223" s="748"/>
      <c r="BW223" s="748"/>
      <c r="BX223" s="704"/>
      <c r="BY223" s="704"/>
      <c r="BZ223" s="704"/>
      <c r="CA223" s="704"/>
      <c r="CB223" s="704"/>
      <c r="CC223" s="704"/>
    </row>
    <row r="224" spans="2:94" x14ac:dyDescent="0.25">
      <c r="D224" s="1574" t="s">
        <v>1114</v>
      </c>
      <c r="E224" s="219"/>
      <c r="F224" s="219"/>
      <c r="G224" s="219"/>
      <c r="H224" s="219"/>
      <c r="I224" s="219"/>
      <c r="J224" s="219"/>
      <c r="K224" s="219"/>
      <c r="L224" s="219"/>
      <c r="M224" s="219"/>
      <c r="N224" s="219"/>
      <c r="O224" s="219"/>
      <c r="P224" s="219"/>
      <c r="Q224" s="219"/>
      <c r="R224" s="219"/>
      <c r="S224" s="219"/>
      <c r="T224" s="219"/>
      <c r="U224" s="219"/>
      <c r="V224" s="219"/>
      <c r="W224" s="219"/>
      <c r="X224" s="219"/>
      <c r="Y224" s="219"/>
      <c r="Z224" s="219"/>
      <c r="AA224" s="219"/>
      <c r="AB224" s="219"/>
      <c r="AC224" s="219"/>
      <c r="AD224" s="219"/>
      <c r="AE224" s="219"/>
      <c r="AF224" s="219"/>
      <c r="AG224" s="219"/>
      <c r="AH224" s="219"/>
      <c r="AI224" s="219"/>
      <c r="AJ224" s="219"/>
      <c r="AK224" s="219"/>
      <c r="AL224" s="219"/>
      <c r="AM224" s="219"/>
      <c r="AN224" s="219"/>
      <c r="AO224" s="1569">
        <f>(1-i_Ca_INORG*(A_MCa+2*A_MCl)/A_MCa-i_Mg_INORG*(A_MMg+2*A_MCl)/A_MMg)*f_Na</f>
        <v>0.26185730529816786</v>
      </c>
      <c r="AP224" s="219">
        <v>1</v>
      </c>
      <c r="AQ224" s="219"/>
      <c r="AR224" s="219"/>
      <c r="AS224" s="219"/>
      <c r="AT224" s="219"/>
      <c r="AU224" s="220"/>
      <c r="AV224" s="219"/>
      <c r="AW224" s="219"/>
      <c r="AX224" s="220"/>
      <c r="AY224" s="220"/>
      <c r="AZ224" s="219"/>
      <c r="BA224" s="220"/>
      <c r="BB224" s="220"/>
      <c r="BC224" s="219"/>
      <c r="BD224" s="219"/>
      <c r="BE224" s="220"/>
      <c r="BF224" s="220"/>
      <c r="BG224" s="219"/>
      <c r="BH224" s="220"/>
      <c r="BI224" s="220"/>
      <c r="BJ224" s="220"/>
      <c r="BK224" s="220"/>
      <c r="BL224" s="1570"/>
      <c r="BM224" s="219"/>
      <c r="BN224" s="220"/>
      <c r="BO224" s="220"/>
      <c r="BP224" s="1412"/>
      <c r="BQ224" s="2337"/>
      <c r="BR224" s="748"/>
      <c r="BS224" s="748"/>
      <c r="BT224" s="748"/>
      <c r="BU224" s="748"/>
      <c r="BV224" s="748"/>
      <c r="BW224" s="748"/>
      <c r="BX224" s="704"/>
      <c r="BY224" s="704"/>
      <c r="BZ224" s="704"/>
      <c r="CA224" s="704"/>
      <c r="CB224" s="704"/>
      <c r="CC224" s="704"/>
    </row>
    <row r="225" spans="4:81" x14ac:dyDescent="0.25">
      <c r="D225" s="1574" t="s">
        <v>474</v>
      </c>
      <c r="E225" s="219"/>
      <c r="F225" s="219"/>
      <c r="G225" s="219"/>
      <c r="H225" s="219"/>
      <c r="I225" s="219"/>
      <c r="J225" s="219"/>
      <c r="K225" s="219"/>
      <c r="L225" s="219"/>
      <c r="M225" s="219"/>
      <c r="N225" s="219"/>
      <c r="O225" s="219"/>
      <c r="P225" s="219"/>
      <c r="Q225" s="219"/>
      <c r="R225" s="219"/>
      <c r="S225" s="219"/>
      <c r="T225" s="219"/>
      <c r="U225" s="219"/>
      <c r="V225" s="219"/>
      <c r="W225" s="219"/>
      <c r="X225" s="219"/>
      <c r="Y225" s="219"/>
      <c r="Z225" s="219"/>
      <c r="AA225" s="219"/>
      <c r="AB225" s="219"/>
      <c r="AC225" s="219"/>
      <c r="AD225" s="219"/>
      <c r="AE225" s="219"/>
      <c r="AF225" s="219"/>
      <c r="AG225" s="219">
        <f>i_K_PP*A_MK/A_MP</f>
        <v>0.12623038734377579</v>
      </c>
      <c r="AH225" s="219"/>
      <c r="AI225" s="219"/>
      <c r="AJ225" s="219"/>
      <c r="AK225" s="219"/>
      <c r="AL225" s="219"/>
      <c r="AM225" s="219"/>
      <c r="AN225" s="219"/>
      <c r="AO225" s="1569"/>
      <c r="AP225" s="219"/>
      <c r="AQ225" s="219"/>
      <c r="AR225" s="219"/>
      <c r="AS225" s="219"/>
      <c r="AT225" s="219">
        <v>1</v>
      </c>
      <c r="AU225" s="219"/>
      <c r="AV225" s="219"/>
      <c r="AW225" s="219"/>
      <c r="AX225" s="219"/>
      <c r="AY225" s="219"/>
      <c r="AZ225" s="219"/>
      <c r="BA225" s="219"/>
      <c r="BB225" s="219"/>
      <c r="BC225" s="219"/>
      <c r="BD225" s="219"/>
      <c r="BE225" s="219"/>
      <c r="BF225" s="219"/>
      <c r="BG225" s="219"/>
      <c r="BH225" s="219"/>
      <c r="BI225" s="219"/>
      <c r="BJ225" s="219"/>
      <c r="BK225" s="219"/>
      <c r="BL225" s="1566"/>
      <c r="BM225" s="219"/>
      <c r="BN225" s="219"/>
      <c r="BO225" s="219"/>
      <c r="BP225" s="1413"/>
      <c r="BQ225" s="2361"/>
      <c r="BR225" s="219"/>
      <c r="BS225" s="219"/>
      <c r="BT225" s="219"/>
      <c r="BU225" s="219"/>
      <c r="BV225" s="219"/>
      <c r="BW225" s="319"/>
      <c r="BX225" s="704"/>
      <c r="BY225" s="704"/>
      <c r="BZ225" s="704"/>
      <c r="CA225" s="704"/>
      <c r="CB225" s="704"/>
      <c r="CC225" s="704"/>
    </row>
    <row r="226" spans="4:81" x14ac:dyDescent="0.25">
      <c r="D226" s="1574" t="s">
        <v>987</v>
      </c>
      <c r="E226" s="219"/>
      <c r="F226" s="219"/>
      <c r="G226" s="219"/>
      <c r="H226" s="219"/>
      <c r="I226" s="219"/>
      <c r="J226" s="219"/>
      <c r="K226" s="219"/>
      <c r="L226" s="219"/>
      <c r="M226" s="219"/>
      <c r="N226" s="219"/>
      <c r="O226" s="219"/>
      <c r="P226" s="219"/>
      <c r="Q226" s="219"/>
      <c r="R226" s="219"/>
      <c r="S226" s="219"/>
      <c r="T226" s="219"/>
      <c r="U226" s="219"/>
      <c r="V226" s="219"/>
      <c r="W226" s="219"/>
      <c r="X226" s="219"/>
      <c r="Y226" s="219"/>
      <c r="Z226" s="219"/>
      <c r="AA226" s="219"/>
      <c r="AB226" s="219"/>
      <c r="AC226" s="219"/>
      <c r="AD226" s="219"/>
      <c r="AE226" s="219"/>
      <c r="AF226" s="219"/>
      <c r="AG226" s="219">
        <f>i_Ca_PP*A_MCa/A_MP</f>
        <v>0.12939338702613273</v>
      </c>
      <c r="AH226" s="219"/>
      <c r="AI226" s="219"/>
      <c r="AJ226" s="219"/>
      <c r="AK226" s="219"/>
      <c r="AL226" s="219"/>
      <c r="AM226" s="219"/>
      <c r="AN226" s="219"/>
      <c r="AO226" s="1569">
        <f>i_Ca_INORG</f>
        <v>0.05</v>
      </c>
      <c r="AP226" s="219"/>
      <c r="AQ226" s="219"/>
      <c r="AR226" s="219">
        <v>1</v>
      </c>
      <c r="AS226" s="219"/>
      <c r="AT226" s="219"/>
      <c r="AU226" s="219"/>
      <c r="AV226" s="219"/>
      <c r="AW226" s="219"/>
      <c r="AX226" s="219"/>
      <c r="AY226" s="219"/>
      <c r="AZ226" s="219"/>
      <c r="BA226" s="219"/>
      <c r="BB226" s="219"/>
      <c r="BC226" s="219"/>
      <c r="BD226" s="219"/>
      <c r="BE226" s="219"/>
      <c r="BF226" s="219"/>
      <c r="BG226" s="219"/>
      <c r="BH226" s="219"/>
      <c r="BI226" s="219"/>
      <c r="BJ226" s="219">
        <f>A_MCa/M_MCaCO3</f>
        <v>0.40043202457064814</v>
      </c>
      <c r="BK226" s="219">
        <f>3*A_MCa/M_MACP</f>
        <v>0.31455284127800509</v>
      </c>
      <c r="BL226" s="1566">
        <f>A_MCa/M_MBSH</f>
        <v>0.2328926601076691</v>
      </c>
      <c r="BM226" s="219"/>
      <c r="BN226" s="219"/>
      <c r="BO226" s="219"/>
      <c r="BP226" s="1413"/>
      <c r="BQ226" s="2361"/>
      <c r="BR226" s="219"/>
      <c r="BS226" s="219"/>
      <c r="BT226" s="219"/>
      <c r="BU226" s="219"/>
      <c r="BV226" s="219"/>
      <c r="BW226" s="319"/>
      <c r="BX226" s="704"/>
      <c r="BY226" s="704"/>
      <c r="BZ226" s="704"/>
      <c r="CA226" s="704"/>
      <c r="CB226" s="704"/>
      <c r="CC226" s="704"/>
    </row>
    <row r="227" spans="4:81" x14ac:dyDescent="0.25">
      <c r="D227" s="1574" t="s">
        <v>988</v>
      </c>
      <c r="E227" s="219"/>
      <c r="F227" s="219"/>
      <c r="G227" s="219"/>
      <c r="H227" s="219"/>
      <c r="I227" s="219"/>
      <c r="J227" s="219"/>
      <c r="K227" s="219"/>
      <c r="L227" s="219"/>
      <c r="M227" s="219"/>
      <c r="N227" s="219"/>
      <c r="O227" s="219"/>
      <c r="P227" s="219"/>
      <c r="Q227" s="219"/>
      <c r="R227" s="219"/>
      <c r="S227" s="219"/>
      <c r="T227" s="219"/>
      <c r="U227" s="219"/>
      <c r="V227" s="219"/>
      <c r="W227" s="219"/>
      <c r="X227" s="219"/>
      <c r="Y227" s="219"/>
      <c r="Z227" s="219"/>
      <c r="AA227" s="219"/>
      <c r="AB227" s="219"/>
      <c r="AC227" s="219"/>
      <c r="AD227" s="219"/>
      <c r="AE227" s="219"/>
      <c r="AF227" s="219"/>
      <c r="AG227" s="219">
        <f>i_Mg_PP*A_MMg/A_MP</f>
        <v>0.27464374347136938</v>
      </c>
      <c r="AH227" s="219"/>
      <c r="AI227" s="219"/>
      <c r="AJ227" s="219"/>
      <c r="AK227" s="219"/>
      <c r="AL227" s="219"/>
      <c r="AM227" s="219"/>
      <c r="AN227" s="219"/>
      <c r="AO227" s="1569">
        <f>i_Mg_INORG</f>
        <v>0.05</v>
      </c>
      <c r="AP227" s="219"/>
      <c r="AQ227" s="219"/>
      <c r="AR227" s="219"/>
      <c r="AS227" s="219">
        <v>1</v>
      </c>
      <c r="AT227" s="219"/>
      <c r="AU227" s="219"/>
      <c r="AV227" s="219"/>
      <c r="AW227" s="219"/>
      <c r="AX227" s="219"/>
      <c r="AY227" s="219"/>
      <c r="AZ227" s="219"/>
      <c r="BA227" s="219"/>
      <c r="BB227" s="219"/>
      <c r="BC227" s="219"/>
      <c r="BD227" s="219"/>
      <c r="BE227" s="219"/>
      <c r="BF227" s="219"/>
      <c r="BG227" s="219"/>
      <c r="BH227" s="219"/>
      <c r="BI227" s="219"/>
      <c r="BJ227" s="219"/>
      <c r="BK227" s="219"/>
      <c r="BL227" s="1566"/>
      <c r="BM227" s="219">
        <f>A_MMg/M_MSTR</f>
        <v>9.9039755597804202E-2</v>
      </c>
      <c r="BN227" s="219"/>
      <c r="BO227" s="219"/>
      <c r="BP227" s="1413"/>
      <c r="BQ227" s="2361"/>
      <c r="BR227" s="219"/>
      <c r="BS227" s="219"/>
      <c r="BT227" s="219"/>
      <c r="BU227" s="219"/>
      <c r="BV227" s="219"/>
      <c r="BW227" s="319"/>
      <c r="BX227" s="704"/>
      <c r="BY227" s="704"/>
      <c r="BZ227" s="704"/>
      <c r="CA227" s="704"/>
      <c r="CB227" s="704"/>
      <c r="CC227" s="704"/>
    </row>
    <row r="228" spans="4:81" x14ac:dyDescent="0.25">
      <c r="D228" s="1574" t="s">
        <v>142</v>
      </c>
      <c r="E228" s="219"/>
      <c r="F228" s="219"/>
      <c r="G228" s="219"/>
      <c r="H228" s="219"/>
      <c r="I228" s="219"/>
      <c r="J228" s="219"/>
      <c r="K228" s="219"/>
      <c r="L228" s="219"/>
      <c r="M228" s="219"/>
      <c r="N228" s="219"/>
      <c r="O228" s="219"/>
      <c r="P228" s="219"/>
      <c r="Q228" s="219"/>
      <c r="R228" s="219"/>
      <c r="S228" s="219"/>
      <c r="T228" s="219"/>
      <c r="U228" s="219"/>
      <c r="V228" s="219"/>
      <c r="W228" s="219"/>
      <c r="X228" s="219"/>
      <c r="Y228" s="219"/>
      <c r="Z228" s="219"/>
      <c r="AA228" s="219"/>
      <c r="AB228" s="219"/>
      <c r="AC228" s="219"/>
      <c r="AD228" s="219"/>
      <c r="AE228" s="219"/>
      <c r="AF228" s="219"/>
      <c r="AG228" s="219"/>
      <c r="AH228" s="219"/>
      <c r="AI228" s="219"/>
      <c r="AJ228" s="219"/>
      <c r="AK228" s="219"/>
      <c r="AL228" s="219"/>
      <c r="AM228" s="219"/>
      <c r="AN228" s="219"/>
      <c r="AO228" s="1569">
        <f>(i_Ca_INORG*(2*A_MCl)/A_MCa+i_Mg_INORG*(2*A_MCl)/A_MMg)+(1-i_Ca_INORG*(A_MCa+2*A_MCl)/A_MCa-i_Mg_INORG*(A_MMg+2*A_MCl)/A_MMg)*(1-f_Na)</f>
        <v>0.63814269470183216</v>
      </c>
      <c r="AP228" s="219"/>
      <c r="AQ228" s="219">
        <v>1</v>
      </c>
      <c r="AR228" s="219"/>
      <c r="AS228" s="219"/>
      <c r="AT228" s="219"/>
      <c r="AU228" s="219"/>
      <c r="AV228" s="219"/>
      <c r="AW228" s="219"/>
      <c r="AX228" s="219"/>
      <c r="AY228" s="219"/>
      <c r="AZ228" s="219"/>
      <c r="BA228" s="219"/>
      <c r="BB228" s="219"/>
      <c r="BC228" s="219"/>
      <c r="BD228" s="219"/>
      <c r="BE228" s="219"/>
      <c r="BF228" s="219"/>
      <c r="BG228" s="219"/>
      <c r="BH228" s="219"/>
      <c r="BI228" s="219"/>
      <c r="BJ228" s="219"/>
      <c r="BK228" s="219"/>
      <c r="BL228" s="1566"/>
      <c r="BM228" s="219"/>
      <c r="BN228" s="219"/>
      <c r="BO228" s="219"/>
      <c r="BP228" s="1413"/>
      <c r="BQ228" s="2361"/>
      <c r="BR228" s="219"/>
      <c r="BS228" s="219"/>
      <c r="BT228" s="219"/>
      <c r="BU228" s="219"/>
      <c r="BV228" s="219"/>
      <c r="BW228" s="319"/>
      <c r="BX228" s="704"/>
      <c r="BY228" s="704"/>
      <c r="BZ228" s="704"/>
      <c r="CA228" s="704"/>
      <c r="CB228" s="704"/>
      <c r="CC228" s="704"/>
    </row>
    <row r="229" spans="4:81" x14ac:dyDescent="0.25">
      <c r="D229" s="1574" t="s">
        <v>3060</v>
      </c>
      <c r="E229" s="219"/>
      <c r="F229" s="219"/>
      <c r="G229" s="219"/>
      <c r="H229" s="219"/>
      <c r="I229" s="219"/>
      <c r="J229" s="219"/>
      <c r="K229" s="219"/>
      <c r="L229" s="219"/>
      <c r="M229" s="219"/>
      <c r="N229" s="219"/>
      <c r="O229" s="219"/>
      <c r="P229" s="219"/>
      <c r="Q229" s="219"/>
      <c r="R229" s="219"/>
      <c r="S229" s="219"/>
      <c r="T229" s="219"/>
      <c r="U229" s="219"/>
      <c r="V229" s="219"/>
      <c r="W229" s="219"/>
      <c r="X229" s="219"/>
      <c r="Y229" s="219"/>
      <c r="Z229" s="219"/>
      <c r="AA229" s="219"/>
      <c r="AB229" s="219"/>
      <c r="AC229" s="219"/>
      <c r="AD229" s="219"/>
      <c r="AE229" s="219"/>
      <c r="AF229" s="219"/>
      <c r="AG229" s="219"/>
      <c r="AH229" s="219"/>
      <c r="AI229" s="219"/>
      <c r="AJ229" s="219"/>
      <c r="AK229" s="219"/>
      <c r="AL229" s="219"/>
      <c r="AM229" s="219"/>
      <c r="AN229" s="219"/>
      <c r="AO229" s="219"/>
      <c r="AP229" s="219"/>
      <c r="AQ229" s="219"/>
      <c r="AR229" s="219"/>
      <c r="AS229" s="219"/>
      <c r="AT229" s="219"/>
      <c r="AU229" s="219">
        <v>1</v>
      </c>
      <c r="AV229" s="219">
        <v>1</v>
      </c>
      <c r="AW229" s="219">
        <v>1</v>
      </c>
      <c r="AX229" s="219">
        <v>1</v>
      </c>
      <c r="AY229" s="219">
        <v>1</v>
      </c>
      <c r="AZ229" s="219">
        <v>1</v>
      </c>
      <c r="BA229" s="219">
        <v>1</v>
      </c>
      <c r="BB229" s="219">
        <v>1</v>
      </c>
      <c r="BC229" s="219">
        <v>1</v>
      </c>
      <c r="BD229" s="219">
        <v>1</v>
      </c>
      <c r="BE229" s="219">
        <v>1</v>
      </c>
      <c r="BF229" s="219">
        <v>1</v>
      </c>
      <c r="BG229" s="219">
        <v>1</v>
      </c>
      <c r="BH229" s="219">
        <v>1</v>
      </c>
      <c r="BI229" s="219">
        <v>1</v>
      </c>
      <c r="BJ229" s="219"/>
      <c r="BK229" s="219"/>
      <c r="BL229" s="1566"/>
      <c r="BM229" s="219"/>
      <c r="BN229" s="219">
        <f>3*A_MFe/M_MVivi</f>
        <v>0.33400121987727954</v>
      </c>
      <c r="BO229" s="219"/>
      <c r="BP229" s="1413"/>
      <c r="BQ229" s="2361"/>
      <c r="BR229" s="219"/>
      <c r="BS229" s="219"/>
      <c r="BT229" s="219"/>
      <c r="BU229" s="219"/>
      <c r="BV229" s="219"/>
      <c r="BW229" s="319"/>
      <c r="BX229" s="704"/>
      <c r="BY229" s="704"/>
      <c r="BZ229" s="704"/>
      <c r="CA229" s="704"/>
      <c r="CB229" s="704"/>
      <c r="CC229" s="704"/>
    </row>
    <row r="230" spans="4:81" ht="15.75" thickBot="1" x14ac:dyDescent="0.3">
      <c r="D230" s="1575" t="s">
        <v>3061</v>
      </c>
      <c r="E230" s="273"/>
      <c r="F230" s="273"/>
      <c r="G230" s="273"/>
      <c r="H230" s="273"/>
      <c r="I230" s="273"/>
      <c r="J230" s="273"/>
      <c r="K230" s="273"/>
      <c r="L230" s="273"/>
      <c r="M230" s="273"/>
      <c r="N230" s="273"/>
      <c r="O230" s="273"/>
      <c r="P230" s="273"/>
      <c r="Q230" s="273"/>
      <c r="R230" s="273"/>
      <c r="S230" s="273"/>
      <c r="T230" s="273"/>
      <c r="U230" s="273"/>
      <c r="V230" s="273"/>
      <c r="W230" s="273"/>
      <c r="X230" s="273"/>
      <c r="Y230" s="273"/>
      <c r="Z230" s="273"/>
      <c r="AA230" s="273"/>
      <c r="AB230" s="273"/>
      <c r="AC230" s="273"/>
      <c r="AD230" s="273"/>
      <c r="AE230" s="273"/>
      <c r="AF230" s="273"/>
      <c r="AG230" s="273"/>
      <c r="AH230" s="273"/>
      <c r="AI230" s="273"/>
      <c r="AJ230" s="273"/>
      <c r="AK230" s="273"/>
      <c r="AL230" s="273"/>
      <c r="AM230" s="273"/>
      <c r="AN230" s="273"/>
      <c r="AO230" s="273"/>
      <c r="AP230" s="273"/>
      <c r="AQ230" s="273"/>
      <c r="AR230" s="273"/>
      <c r="AS230" s="273"/>
      <c r="AT230" s="273"/>
      <c r="AU230" s="274"/>
      <c r="AV230" s="273"/>
      <c r="AW230" s="273"/>
      <c r="AX230" s="274"/>
      <c r="AY230" s="274"/>
      <c r="AZ230" s="273"/>
      <c r="BA230" s="274"/>
      <c r="BB230" s="274"/>
      <c r="BC230" s="273"/>
      <c r="BD230" s="273"/>
      <c r="BE230" s="274"/>
      <c r="BF230" s="274"/>
      <c r="BG230" s="273"/>
      <c r="BH230" s="274"/>
      <c r="BI230" s="274"/>
      <c r="BJ230" s="274"/>
      <c r="BK230" s="274"/>
      <c r="BL230" s="1571"/>
      <c r="BM230" s="273"/>
      <c r="BN230" s="274"/>
      <c r="BO230" s="274"/>
      <c r="BP230" s="1414"/>
      <c r="BQ230" s="2362"/>
      <c r="BR230" s="273"/>
      <c r="BS230" s="273"/>
      <c r="BT230" s="273"/>
      <c r="BU230" s="273"/>
      <c r="BV230" s="273"/>
      <c r="BW230" s="320"/>
      <c r="BX230" s="705"/>
      <c r="BY230" s="705"/>
      <c r="BZ230" s="705"/>
      <c r="CA230" s="705"/>
      <c r="CB230" s="705"/>
      <c r="CC230" s="705"/>
    </row>
  </sheetData>
  <phoneticPr fontId="31" type="noConversion"/>
  <pageMargins left="0.7" right="0.7" top="0.75" bottom="0.75" header="0.3" footer="0.3"/>
  <pageSetup orientation="portrait" r:id="rId1"/>
  <ignoredErrors>
    <ignoredError sqref="AU75"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AF46"/>
  <sheetViews>
    <sheetView showGridLines="0" zoomScale="85" zoomScaleNormal="85" workbookViewId="0">
      <pane xSplit="3" ySplit="3" topLeftCell="D4" activePane="bottomRight" state="frozen"/>
      <selection pane="topRight" activeCell="D1" sqref="D1"/>
      <selection pane="bottomLeft" activeCell="A4" sqref="A4"/>
      <selection pane="bottomRight"/>
    </sheetView>
  </sheetViews>
  <sheetFormatPr defaultColWidth="9.140625" defaultRowHeight="15" x14ac:dyDescent="0.25"/>
  <cols>
    <col min="1" max="1" width="6" customWidth="1"/>
    <col min="2" max="2" width="17.7109375" bestFit="1" customWidth="1"/>
    <col min="3" max="3" width="34.7109375" customWidth="1"/>
    <col min="4" max="4" width="20.140625" bestFit="1" customWidth="1"/>
    <col min="5" max="5" width="9.85546875" bestFit="1" customWidth="1"/>
    <col min="6" max="6" width="34" customWidth="1"/>
    <col min="7" max="7" width="32.85546875" bestFit="1" customWidth="1"/>
    <col min="8" max="9" width="32.85546875" customWidth="1"/>
    <col min="10" max="10" width="16" bestFit="1" customWidth="1"/>
    <col min="11" max="11" width="48.140625" bestFit="1" customWidth="1"/>
    <col min="12" max="12" width="49.7109375" bestFit="1" customWidth="1"/>
    <col min="13" max="13" width="49" bestFit="1" customWidth="1"/>
    <col min="14" max="14" width="63.7109375" bestFit="1" customWidth="1"/>
    <col min="15" max="15" width="67.42578125" bestFit="1" customWidth="1"/>
    <col min="16" max="16" width="69" bestFit="1" customWidth="1"/>
    <col min="17" max="17" width="68.140625" bestFit="1" customWidth="1"/>
    <col min="18" max="18" width="35.85546875" customWidth="1"/>
    <col min="19" max="19" width="36.28515625" customWidth="1"/>
    <col min="20" max="20" width="20.42578125" customWidth="1"/>
    <col min="21" max="21" width="19.28515625" customWidth="1"/>
    <col min="22" max="22" width="16.85546875" customWidth="1"/>
    <col min="23" max="24" width="15.42578125" bestFit="1" customWidth="1"/>
    <col min="25" max="25" width="20.140625" customWidth="1"/>
    <col min="26" max="26" width="15.85546875" customWidth="1"/>
    <col min="27" max="27" width="7" bestFit="1" customWidth="1"/>
    <col min="28" max="28" width="9" bestFit="1" customWidth="1"/>
    <col min="29" max="29" width="5" bestFit="1" customWidth="1"/>
    <col min="30" max="30" width="18.42578125" bestFit="1" customWidth="1"/>
  </cols>
  <sheetData>
    <row r="1" spans="1:30" s="47" customFormat="1" ht="48" customHeight="1" thickBot="1" x14ac:dyDescent="0.3">
      <c r="A1" s="49"/>
    </row>
    <row r="2" spans="1:30" ht="21" customHeight="1" thickBot="1" x14ac:dyDescent="0.3">
      <c r="A2" t="s">
        <v>1122</v>
      </c>
      <c r="C2" s="55" t="s">
        <v>4</v>
      </c>
      <c r="D2" s="130" t="s">
        <v>317</v>
      </c>
      <c r="J2" s="1"/>
      <c r="K2" s="1"/>
    </row>
    <row r="3" spans="1:30" s="8" customFormat="1" ht="18.75" thickBot="1" x14ac:dyDescent="0.3">
      <c r="B3" s="338" t="s">
        <v>0</v>
      </c>
      <c r="C3" s="333" t="s">
        <v>1</v>
      </c>
      <c r="D3" s="782" t="s">
        <v>395</v>
      </c>
      <c r="E3" s="782" t="s">
        <v>397</v>
      </c>
      <c r="F3" s="782" t="s">
        <v>399</v>
      </c>
      <c r="G3" s="782" t="s">
        <v>401</v>
      </c>
      <c r="H3" s="783" t="s">
        <v>2251</v>
      </c>
      <c r="I3" s="783" t="s">
        <v>2253</v>
      </c>
      <c r="J3" s="782" t="s">
        <v>422</v>
      </c>
      <c r="K3" s="782" t="s">
        <v>403</v>
      </c>
      <c r="L3" s="782" t="s">
        <v>405</v>
      </c>
      <c r="M3" s="782" t="s">
        <v>407</v>
      </c>
      <c r="N3" s="782" t="s">
        <v>409</v>
      </c>
      <c r="O3" s="782" t="s">
        <v>411</v>
      </c>
      <c r="P3" s="782" t="s">
        <v>413</v>
      </c>
      <c r="Q3" s="782" t="s">
        <v>415</v>
      </c>
      <c r="R3" s="782" t="s">
        <v>417</v>
      </c>
      <c r="S3" s="782" t="s">
        <v>419</v>
      </c>
      <c r="T3" s="782" t="s">
        <v>995</v>
      </c>
      <c r="U3" s="782" t="s">
        <v>996</v>
      </c>
      <c r="V3" s="782" t="s">
        <v>1255</v>
      </c>
      <c r="W3" s="784" t="s">
        <v>1054</v>
      </c>
      <c r="X3" s="784" t="s">
        <v>1254</v>
      </c>
      <c r="Y3" s="784" t="s">
        <v>1056</v>
      </c>
      <c r="Z3" s="339" t="s">
        <v>152</v>
      </c>
      <c r="AA3" s="339" t="s">
        <v>2</v>
      </c>
      <c r="AB3" s="339" t="s">
        <v>298</v>
      </c>
      <c r="AC3" s="339" t="s">
        <v>116</v>
      </c>
      <c r="AD3" s="340" t="s">
        <v>117</v>
      </c>
    </row>
    <row r="4" spans="1:30" ht="18.75" x14ac:dyDescent="0.25">
      <c r="B4" s="255" t="s">
        <v>423</v>
      </c>
      <c r="C4" s="253" t="s">
        <v>306</v>
      </c>
      <c r="D4" s="253" t="s">
        <v>307</v>
      </c>
      <c r="E4" s="253" t="s">
        <v>424</v>
      </c>
      <c r="F4" s="253"/>
      <c r="G4" s="253"/>
      <c r="H4" s="462"/>
      <c r="I4" s="462"/>
      <c r="J4" s="253"/>
      <c r="K4" s="253"/>
      <c r="L4" s="253"/>
      <c r="M4" s="253"/>
      <c r="N4" s="253"/>
      <c r="O4" s="253"/>
      <c r="P4" s="253"/>
      <c r="Q4" s="253"/>
      <c r="R4" s="253"/>
      <c r="S4" s="253"/>
      <c r="T4" s="253"/>
      <c r="U4" s="253"/>
      <c r="V4" s="253"/>
      <c r="W4" s="253"/>
      <c r="X4" s="253"/>
      <c r="Y4" s="253"/>
      <c r="Z4" s="254"/>
      <c r="AA4" s="252" t="s">
        <v>842</v>
      </c>
      <c r="AB4" s="254"/>
      <c r="AC4" s="254" t="s">
        <v>11</v>
      </c>
      <c r="AD4" s="256"/>
    </row>
    <row r="5" spans="1:30" ht="21" customHeight="1" x14ac:dyDescent="0.25">
      <c r="B5" s="500" t="s">
        <v>2512</v>
      </c>
      <c r="C5" s="249" t="s">
        <v>308</v>
      </c>
      <c r="D5" s="249"/>
      <c r="E5" s="249"/>
      <c r="F5" s="249" t="s">
        <v>2508</v>
      </c>
      <c r="G5" s="249" t="s">
        <v>2509</v>
      </c>
      <c r="H5" s="249"/>
      <c r="I5" s="249"/>
      <c r="J5" s="249"/>
      <c r="K5" s="249"/>
      <c r="L5" s="249"/>
      <c r="M5" s="249"/>
      <c r="N5" s="249"/>
      <c r="O5" s="249"/>
      <c r="P5" s="249"/>
      <c r="Q5" s="249"/>
      <c r="R5" s="249"/>
      <c r="S5" s="249"/>
      <c r="T5" s="249"/>
      <c r="U5" s="249"/>
      <c r="V5" s="249"/>
      <c r="W5" s="249"/>
      <c r="X5" s="249"/>
      <c r="Y5" s="249"/>
      <c r="Z5" s="250"/>
      <c r="AA5" s="248" t="s">
        <v>842</v>
      </c>
      <c r="AB5" s="250"/>
      <c r="AC5" s="254" t="s">
        <v>11</v>
      </c>
      <c r="AD5" s="342"/>
    </row>
    <row r="6" spans="1:30" ht="21" customHeight="1" x14ac:dyDescent="0.25">
      <c r="B6" s="341" t="s">
        <v>2255</v>
      </c>
      <c r="C6" s="249" t="s">
        <v>757</v>
      </c>
      <c r="D6" s="249"/>
      <c r="E6" s="249"/>
      <c r="F6" s="249"/>
      <c r="G6" s="249"/>
      <c r="H6" s="249" t="s">
        <v>2506</v>
      </c>
      <c r="I6" s="249" t="s">
        <v>2507</v>
      </c>
      <c r="J6" s="249"/>
      <c r="K6" s="249"/>
      <c r="L6" s="249"/>
      <c r="M6" s="249"/>
      <c r="N6" s="249"/>
      <c r="O6" s="249"/>
      <c r="P6" s="249"/>
      <c r="Q6" s="249"/>
      <c r="R6" s="249"/>
      <c r="S6" s="249"/>
      <c r="T6" s="249"/>
      <c r="U6" s="249"/>
      <c r="V6" s="249"/>
      <c r="W6" s="249"/>
      <c r="X6" s="249"/>
      <c r="Y6" s="249"/>
      <c r="Z6" s="250"/>
      <c r="AA6" s="248" t="s">
        <v>842</v>
      </c>
      <c r="AB6" s="250"/>
      <c r="AC6" s="254" t="s">
        <v>11</v>
      </c>
      <c r="AD6" s="342"/>
    </row>
    <row r="7" spans="1:30" ht="21" customHeight="1" x14ac:dyDescent="0.25">
      <c r="B7" s="341" t="s">
        <v>1105</v>
      </c>
      <c r="C7" s="249" t="s">
        <v>309</v>
      </c>
      <c r="D7" s="249"/>
      <c r="E7" s="249"/>
      <c r="F7" s="249"/>
      <c r="G7" s="249"/>
      <c r="H7" s="249"/>
      <c r="I7" s="249"/>
      <c r="J7" s="249" t="s">
        <v>3509</v>
      </c>
      <c r="K7" s="249"/>
      <c r="L7" s="249"/>
      <c r="M7" s="249"/>
      <c r="N7" s="249"/>
      <c r="O7" s="249"/>
      <c r="P7" s="249"/>
      <c r="Q7" s="249"/>
      <c r="R7" s="249"/>
      <c r="S7" s="249"/>
      <c r="T7" s="249"/>
      <c r="U7" s="249"/>
      <c r="V7" s="249"/>
      <c r="W7" s="249"/>
      <c r="X7" s="249"/>
      <c r="Y7" s="249"/>
      <c r="Z7" s="250"/>
      <c r="AA7" s="248" t="s">
        <v>842</v>
      </c>
      <c r="AB7" s="250"/>
      <c r="AC7" s="254" t="s">
        <v>11</v>
      </c>
      <c r="AD7" s="342"/>
    </row>
    <row r="8" spans="1:30" ht="21" customHeight="1" x14ac:dyDescent="0.25">
      <c r="B8" s="341" t="s">
        <v>425</v>
      </c>
      <c r="C8" s="249" t="s">
        <v>312</v>
      </c>
      <c r="D8" s="249"/>
      <c r="E8" s="249"/>
      <c r="F8" s="249"/>
      <c r="G8" s="249"/>
      <c r="H8" s="249"/>
      <c r="I8" s="249"/>
      <c r="J8" s="249"/>
      <c r="K8" s="249" t="s">
        <v>2505</v>
      </c>
      <c r="L8" s="249" t="s">
        <v>2510</v>
      </c>
      <c r="M8" s="249" t="s">
        <v>2511</v>
      </c>
      <c r="N8" s="249"/>
      <c r="O8" s="249"/>
      <c r="P8" s="249"/>
      <c r="Q8" s="249"/>
      <c r="R8" s="249"/>
      <c r="S8" s="249"/>
      <c r="T8" s="249"/>
      <c r="U8" s="249"/>
      <c r="V8" s="249"/>
      <c r="W8" s="249"/>
      <c r="X8" s="249"/>
      <c r="Y8" s="249"/>
      <c r="Z8" s="250"/>
      <c r="AA8" s="248" t="s">
        <v>842</v>
      </c>
      <c r="AB8" s="250"/>
      <c r="AC8" s="254" t="s">
        <v>11</v>
      </c>
      <c r="AD8" s="342"/>
    </row>
    <row r="9" spans="1:30" ht="21" customHeight="1" x14ac:dyDescent="0.25">
      <c r="B9" s="341" t="s">
        <v>426</v>
      </c>
      <c r="C9" s="249" t="s">
        <v>313</v>
      </c>
      <c r="D9" s="249"/>
      <c r="E9" s="249"/>
      <c r="F9" s="249"/>
      <c r="G9" s="249"/>
      <c r="H9" s="249"/>
      <c r="I9" s="249"/>
      <c r="J9" s="249"/>
      <c r="K9" s="249"/>
      <c r="L9" s="249"/>
      <c r="M9" s="249"/>
      <c r="N9" s="249" t="s">
        <v>427</v>
      </c>
      <c r="O9" s="249" t="s">
        <v>428</v>
      </c>
      <c r="P9" s="249" t="s">
        <v>429</v>
      </c>
      <c r="Q9" s="249" t="s">
        <v>430</v>
      </c>
      <c r="R9" s="249"/>
      <c r="S9" s="249"/>
      <c r="T9" s="249"/>
      <c r="U9" s="249"/>
      <c r="V9" s="249"/>
      <c r="W9" s="249"/>
      <c r="X9" s="249"/>
      <c r="Y9" s="249"/>
      <c r="Z9" s="250"/>
      <c r="AA9" s="248" t="s">
        <v>842</v>
      </c>
      <c r="AB9" s="250"/>
      <c r="AC9" s="254" t="s">
        <v>11</v>
      </c>
      <c r="AD9" s="342"/>
    </row>
    <row r="10" spans="1:30" ht="21" customHeight="1" x14ac:dyDescent="0.25">
      <c r="B10" s="341" t="s">
        <v>431</v>
      </c>
      <c r="C10" s="249" t="s">
        <v>314</v>
      </c>
      <c r="D10" s="249"/>
      <c r="E10" s="249"/>
      <c r="F10" s="249"/>
      <c r="G10" s="249"/>
      <c r="H10" s="249"/>
      <c r="I10" s="249"/>
      <c r="J10" s="249"/>
      <c r="K10" s="249"/>
      <c r="L10" s="249"/>
      <c r="M10" s="249"/>
      <c r="N10" s="249"/>
      <c r="O10" s="249"/>
      <c r="P10" s="249"/>
      <c r="Q10" s="249"/>
      <c r="R10" s="249" t="s">
        <v>2957</v>
      </c>
      <c r="S10" s="249" t="s">
        <v>2958</v>
      </c>
      <c r="T10" s="249"/>
      <c r="U10" s="249"/>
      <c r="V10" s="249"/>
      <c r="W10" s="249"/>
      <c r="X10" s="249"/>
      <c r="Y10" s="249"/>
      <c r="Z10" s="250"/>
      <c r="AA10" s="248" t="s">
        <v>842</v>
      </c>
      <c r="AB10" s="250"/>
      <c r="AC10" s="254" t="s">
        <v>11</v>
      </c>
      <c r="AD10" s="342"/>
    </row>
    <row r="11" spans="1:30" ht="21" customHeight="1" x14ac:dyDescent="0.25">
      <c r="B11" s="341" t="s">
        <v>989</v>
      </c>
      <c r="C11" s="249" t="s">
        <v>991</v>
      </c>
      <c r="D11" s="249"/>
      <c r="E11" s="249"/>
      <c r="F11" s="249"/>
      <c r="G11" s="249"/>
      <c r="H11" s="249"/>
      <c r="I11" s="249"/>
      <c r="J11" s="249"/>
      <c r="K11" s="249"/>
      <c r="L11" s="249"/>
      <c r="M11" s="249"/>
      <c r="N11" s="249"/>
      <c r="O11" s="249"/>
      <c r="P11" s="249"/>
      <c r="Q11" s="249"/>
      <c r="R11" s="249"/>
      <c r="S11" s="249"/>
      <c r="T11" s="249" t="s">
        <v>993</v>
      </c>
      <c r="U11" s="249"/>
      <c r="V11" s="249"/>
      <c r="W11" s="249"/>
      <c r="X11" s="249"/>
      <c r="Y11" s="249"/>
      <c r="Z11" s="250"/>
      <c r="AA11" s="248" t="s">
        <v>843</v>
      </c>
      <c r="AB11" s="250"/>
      <c r="AC11" s="254" t="s">
        <v>11</v>
      </c>
      <c r="AD11" s="342"/>
    </row>
    <row r="12" spans="1:30" ht="21" customHeight="1" x14ac:dyDescent="0.25">
      <c r="B12" s="341" t="s">
        <v>990</v>
      </c>
      <c r="C12" s="249" t="s">
        <v>992</v>
      </c>
      <c r="D12" s="249"/>
      <c r="E12" s="249"/>
      <c r="F12" s="249"/>
      <c r="G12" s="249"/>
      <c r="H12" s="249"/>
      <c r="I12" s="249"/>
      <c r="J12" s="249"/>
      <c r="K12" s="249"/>
      <c r="L12" s="249"/>
      <c r="M12" s="249"/>
      <c r="N12" s="249"/>
      <c r="O12" s="249"/>
      <c r="P12" s="249"/>
      <c r="Q12" s="249"/>
      <c r="R12" s="249"/>
      <c r="S12" s="249"/>
      <c r="T12" s="249"/>
      <c r="U12" s="249" t="s">
        <v>994</v>
      </c>
      <c r="V12" s="249"/>
      <c r="W12" s="249"/>
      <c r="X12" s="249"/>
      <c r="Y12" s="249"/>
      <c r="Z12" s="250"/>
      <c r="AA12" s="248" t="s">
        <v>843</v>
      </c>
      <c r="AB12" s="250"/>
      <c r="AC12" s="254" t="s">
        <v>11</v>
      </c>
      <c r="AD12" s="342"/>
    </row>
    <row r="13" spans="1:30" ht="21" customHeight="1" x14ac:dyDescent="0.25">
      <c r="B13" s="341" t="s">
        <v>432</v>
      </c>
      <c r="C13" s="249" t="s">
        <v>310</v>
      </c>
      <c r="D13" s="249"/>
      <c r="E13" s="249"/>
      <c r="F13" s="249"/>
      <c r="G13" s="249"/>
      <c r="H13" s="249"/>
      <c r="I13" s="249"/>
      <c r="J13" s="249"/>
      <c r="K13" s="249"/>
      <c r="L13" s="249"/>
      <c r="M13" s="249"/>
      <c r="N13" s="248"/>
      <c r="O13" s="249"/>
      <c r="P13" s="249"/>
      <c r="Q13" s="249"/>
      <c r="R13" s="249"/>
      <c r="S13" s="249"/>
      <c r="T13" s="249"/>
      <c r="U13" s="249"/>
      <c r="V13" s="249" t="s">
        <v>1164</v>
      </c>
      <c r="W13" s="249"/>
      <c r="X13" s="249"/>
      <c r="Y13" s="249"/>
      <c r="Z13" s="250"/>
      <c r="AA13" s="248" t="s">
        <v>843</v>
      </c>
      <c r="AB13" s="250"/>
      <c r="AC13" s="254" t="s">
        <v>11</v>
      </c>
      <c r="AD13" s="342"/>
    </row>
    <row r="14" spans="1:30" ht="18" x14ac:dyDescent="0.25">
      <c r="B14" s="341" t="s">
        <v>1104</v>
      </c>
      <c r="C14" s="249" t="s">
        <v>1106</v>
      </c>
      <c r="D14" s="249"/>
      <c r="E14" s="249"/>
      <c r="F14" s="249"/>
      <c r="G14" s="249"/>
      <c r="H14" s="249"/>
      <c r="I14" s="249"/>
      <c r="J14" s="249"/>
      <c r="K14" s="249"/>
      <c r="L14" s="249"/>
      <c r="M14" s="249"/>
      <c r="N14" s="248"/>
      <c r="O14" s="249"/>
      <c r="P14" s="249"/>
      <c r="Q14" s="249"/>
      <c r="R14" s="249"/>
      <c r="S14" s="249"/>
      <c r="T14" s="249"/>
      <c r="U14" s="249"/>
      <c r="V14" s="249"/>
      <c r="W14" s="249" t="s">
        <v>1103</v>
      </c>
      <c r="X14" s="249"/>
      <c r="Y14" s="249"/>
      <c r="Z14" s="250"/>
      <c r="AA14" s="248" t="s">
        <v>843</v>
      </c>
      <c r="AB14" s="250"/>
      <c r="AC14" s="254" t="s">
        <v>11</v>
      </c>
      <c r="AD14" s="342"/>
    </row>
    <row r="15" spans="1:30" ht="18" x14ac:dyDescent="0.25">
      <c r="B15" s="341" t="s">
        <v>433</v>
      </c>
      <c r="C15" s="249" t="s">
        <v>311</v>
      </c>
      <c r="D15" s="249"/>
      <c r="E15" s="249"/>
      <c r="F15" s="249"/>
      <c r="G15" s="249"/>
      <c r="H15" s="249"/>
      <c r="I15" s="249"/>
      <c r="J15" s="249"/>
      <c r="K15" s="249"/>
      <c r="L15" s="249"/>
      <c r="M15" s="249"/>
      <c r="N15" s="249"/>
      <c r="O15" s="249"/>
      <c r="P15" s="249"/>
      <c r="Q15" s="249"/>
      <c r="R15" s="249"/>
      <c r="S15" s="249"/>
      <c r="T15" s="249"/>
      <c r="U15" s="249"/>
      <c r="V15" s="249"/>
      <c r="W15" s="251"/>
      <c r="X15" s="249" t="s">
        <v>1165</v>
      </c>
      <c r="Y15" s="249"/>
      <c r="Z15" s="250"/>
      <c r="AA15" s="248" t="s">
        <v>843</v>
      </c>
      <c r="AB15" s="250"/>
      <c r="AC15" s="254" t="s">
        <v>11</v>
      </c>
      <c r="AD15" s="342"/>
    </row>
    <row r="16" spans="1:30" ht="18.75" thickBot="1" x14ac:dyDescent="0.3">
      <c r="B16" s="257" t="s">
        <v>1107</v>
      </c>
      <c r="C16" s="258" t="s">
        <v>2016</v>
      </c>
      <c r="D16" s="258"/>
      <c r="E16" s="258"/>
      <c r="F16" s="258"/>
      <c r="G16" s="258"/>
      <c r="H16" s="258"/>
      <c r="I16" s="258"/>
      <c r="J16" s="258"/>
      <c r="K16" s="258"/>
      <c r="L16" s="258"/>
      <c r="M16" s="258"/>
      <c r="N16" s="258"/>
      <c r="O16" s="258"/>
      <c r="P16" s="258"/>
      <c r="Q16" s="258"/>
      <c r="R16" s="258"/>
      <c r="S16" s="258"/>
      <c r="T16" s="258"/>
      <c r="U16" s="258"/>
      <c r="V16" s="258"/>
      <c r="W16" s="258"/>
      <c r="X16" s="258"/>
      <c r="Y16" s="258" t="s">
        <v>1602</v>
      </c>
      <c r="Z16" s="259"/>
      <c r="AA16" s="343" t="s">
        <v>843</v>
      </c>
      <c r="AB16" s="259"/>
      <c r="AC16" s="344" t="s">
        <v>11</v>
      </c>
      <c r="AD16" s="260"/>
    </row>
    <row r="17" spans="2:32" ht="15.75" thickBot="1" x14ac:dyDescent="0.3">
      <c r="B17" s="116"/>
      <c r="C17" s="133"/>
      <c r="D17" s="133"/>
      <c r="E17" s="133"/>
      <c r="F17" s="133"/>
      <c r="G17" s="133"/>
      <c r="H17" s="133"/>
      <c r="I17" s="133"/>
      <c r="J17" s="133"/>
      <c r="K17" s="133"/>
      <c r="L17" s="133"/>
      <c r="M17" s="133"/>
      <c r="N17" s="133"/>
      <c r="O17" s="133"/>
      <c r="P17" s="86"/>
      <c r="Q17" s="133"/>
      <c r="R17" s="133"/>
      <c r="S17" s="133"/>
      <c r="T17" s="133"/>
      <c r="U17" s="133"/>
      <c r="V17" s="133"/>
      <c r="W17" s="133"/>
      <c r="X17" s="133"/>
      <c r="Y17" s="133"/>
      <c r="Z17" s="80"/>
      <c r="AA17" s="116"/>
      <c r="AB17" s="80"/>
      <c r="AC17" s="80"/>
      <c r="AD17" s="80"/>
    </row>
    <row r="18" spans="2:32" ht="22.5" customHeight="1" thickBot="1" x14ac:dyDescent="0.3">
      <c r="B18" s="3"/>
      <c r="C18" s="134" t="s">
        <v>392</v>
      </c>
      <c r="D18" s="130" t="s">
        <v>1222</v>
      </c>
      <c r="E18" s="328"/>
      <c r="F18" s="328"/>
      <c r="G18" s="328"/>
      <c r="H18" s="328"/>
      <c r="I18" s="328"/>
      <c r="J18" s="328"/>
      <c r="K18" s="328"/>
      <c r="L18" s="328"/>
      <c r="M18" s="328"/>
      <c r="N18" s="328"/>
      <c r="O18" s="328"/>
      <c r="P18" s="328"/>
      <c r="Q18" s="328"/>
      <c r="R18" s="328"/>
      <c r="S18" s="328"/>
      <c r="T18" s="328"/>
      <c r="U18" s="328"/>
      <c r="V18" s="328"/>
      <c r="W18" s="329"/>
      <c r="X18" s="329"/>
      <c r="Y18" s="329"/>
    </row>
    <row r="19" spans="2:32" s="8" customFormat="1" ht="18.75" thickBot="1" x14ac:dyDescent="0.3">
      <c r="B19" s="338" t="s">
        <v>0</v>
      </c>
      <c r="C19" s="333" t="s">
        <v>1</v>
      </c>
      <c r="D19" s="782" t="s">
        <v>395</v>
      </c>
      <c r="E19" s="782" t="s">
        <v>397</v>
      </c>
      <c r="F19" s="782" t="s">
        <v>399</v>
      </c>
      <c r="G19" s="782" t="s">
        <v>401</v>
      </c>
      <c r="H19" s="783" t="s">
        <v>2251</v>
      </c>
      <c r="I19" s="783" t="s">
        <v>2253</v>
      </c>
      <c r="J19" s="782" t="s">
        <v>422</v>
      </c>
      <c r="K19" s="782" t="s">
        <v>403</v>
      </c>
      <c r="L19" s="782" t="s">
        <v>405</v>
      </c>
      <c r="M19" s="782" t="s">
        <v>407</v>
      </c>
      <c r="N19" s="782" t="s">
        <v>409</v>
      </c>
      <c r="O19" s="782" t="s">
        <v>411</v>
      </c>
      <c r="P19" s="782" t="s">
        <v>413</v>
      </c>
      <c r="Q19" s="782" t="s">
        <v>415</v>
      </c>
      <c r="R19" s="782" t="s">
        <v>417</v>
      </c>
      <c r="S19" s="782" t="s">
        <v>419</v>
      </c>
      <c r="T19" s="782" t="s">
        <v>995</v>
      </c>
      <c r="U19" s="782" t="s">
        <v>996</v>
      </c>
      <c r="V19" s="782" t="s">
        <v>1255</v>
      </c>
      <c r="W19" s="784" t="s">
        <v>1054</v>
      </c>
      <c r="X19" s="784" t="s">
        <v>1254</v>
      </c>
      <c r="Y19" s="784" t="s">
        <v>1056</v>
      </c>
      <c r="Z19" s="339" t="s">
        <v>152</v>
      </c>
      <c r="AA19" s="339" t="s">
        <v>2</v>
      </c>
      <c r="AB19" s="339" t="s">
        <v>298</v>
      </c>
      <c r="AC19" s="339" t="s">
        <v>116</v>
      </c>
      <c r="AD19" s="340" t="s">
        <v>117</v>
      </c>
    </row>
    <row r="20" spans="2:32" ht="22.5" customHeight="1" x14ac:dyDescent="0.25">
      <c r="B20" s="345" t="s">
        <v>388</v>
      </c>
      <c r="C20" s="346" t="s">
        <v>316</v>
      </c>
      <c r="D20" s="346">
        <v>1</v>
      </c>
      <c r="E20" s="346">
        <v>-1</v>
      </c>
      <c r="F20" s="346">
        <v>0</v>
      </c>
      <c r="G20" s="346">
        <v>1</v>
      </c>
      <c r="H20" s="461">
        <v>0</v>
      </c>
      <c r="I20" s="461">
        <v>-1</v>
      </c>
      <c r="J20" s="346">
        <v>-1</v>
      </c>
      <c r="K20" s="346">
        <v>0</v>
      </c>
      <c r="L20" s="346">
        <v>-1</v>
      </c>
      <c r="M20" s="346">
        <v>-2</v>
      </c>
      <c r="N20" s="346">
        <v>0</v>
      </c>
      <c r="O20" s="346">
        <v>-1</v>
      </c>
      <c r="P20" s="346">
        <v>-2</v>
      </c>
      <c r="Q20" s="346">
        <v>-3</v>
      </c>
      <c r="R20" s="346">
        <v>0</v>
      </c>
      <c r="S20" s="346">
        <v>-1</v>
      </c>
      <c r="T20" s="346">
        <v>2</v>
      </c>
      <c r="U20" s="346">
        <v>2</v>
      </c>
      <c r="V20" s="346">
        <v>1</v>
      </c>
      <c r="W20" s="346">
        <v>1</v>
      </c>
      <c r="X20" s="346">
        <v>-1</v>
      </c>
      <c r="Y20" s="346">
        <v>2</v>
      </c>
      <c r="Z20" s="347">
        <f>SUM(pH!D45:Y45)</f>
        <v>5.5681718888531996E-4</v>
      </c>
      <c r="AA20" s="347" t="s">
        <v>843</v>
      </c>
      <c r="AB20" s="347"/>
      <c r="AC20" s="347" t="s">
        <v>11</v>
      </c>
      <c r="AD20" s="348"/>
    </row>
    <row r="21" spans="2:32" ht="22.5" customHeight="1" thickBot="1" x14ac:dyDescent="0.3">
      <c r="B21" s="257" t="s">
        <v>844</v>
      </c>
      <c r="C21" s="258" t="s">
        <v>378</v>
      </c>
      <c r="D21" s="258" t="s">
        <v>1285</v>
      </c>
      <c r="E21" s="258" t="s">
        <v>1286</v>
      </c>
      <c r="F21" s="258">
        <v>0</v>
      </c>
      <c r="G21" s="258" t="s">
        <v>1285</v>
      </c>
      <c r="H21" s="258">
        <v>0</v>
      </c>
      <c r="I21" s="258" t="s">
        <v>1286</v>
      </c>
      <c r="J21" s="258" t="s">
        <v>1286</v>
      </c>
      <c r="K21" s="258">
        <v>0</v>
      </c>
      <c r="L21" s="258" t="s">
        <v>1286</v>
      </c>
      <c r="M21" s="258" t="s">
        <v>1287</v>
      </c>
      <c r="N21" s="258">
        <v>0</v>
      </c>
      <c r="O21" s="258" t="s">
        <v>1286</v>
      </c>
      <c r="P21" s="258" t="s">
        <v>1287</v>
      </c>
      <c r="Q21" s="258" t="s">
        <v>1288</v>
      </c>
      <c r="R21" s="258">
        <v>0</v>
      </c>
      <c r="S21" s="258" t="s">
        <v>1286</v>
      </c>
      <c r="T21" s="258" t="s">
        <v>1289</v>
      </c>
      <c r="U21" s="258" t="s">
        <v>1289</v>
      </c>
      <c r="V21" s="258" t="s">
        <v>1285</v>
      </c>
      <c r="W21" s="258" t="s">
        <v>1285</v>
      </c>
      <c r="X21" s="258" t="s">
        <v>1286</v>
      </c>
      <c r="Y21" s="258" t="s">
        <v>1289</v>
      </c>
      <c r="Z21" s="259">
        <f>SUM(pH!D46:Y46)</f>
        <v>1.47943558411052E-2</v>
      </c>
      <c r="AA21" s="259" t="s">
        <v>843</v>
      </c>
      <c r="AB21" s="259"/>
      <c r="AC21" s="344" t="s">
        <v>11</v>
      </c>
      <c r="AD21" s="260"/>
    </row>
    <row r="22" spans="2:32" x14ac:dyDescent="0.25">
      <c r="B22" s="7"/>
    </row>
    <row r="23" spans="2:32" x14ac:dyDescent="0.25">
      <c r="B23" s="71"/>
      <c r="C23" s="71"/>
      <c r="D23" s="71"/>
      <c r="E23" s="71"/>
      <c r="F23" s="71"/>
    </row>
    <row r="25" spans="2:32" ht="15.75" thickBot="1" x14ac:dyDescent="0.3"/>
    <row r="26" spans="2:32" ht="15.75" thickBot="1" x14ac:dyDescent="0.3">
      <c r="C26" s="55" t="s">
        <v>4</v>
      </c>
      <c r="D26" s="130" t="s">
        <v>317</v>
      </c>
      <c r="J26" s="1"/>
      <c r="K26" s="1"/>
    </row>
    <row r="27" spans="2:32" ht="18.75" thickBot="1" x14ac:dyDescent="0.3">
      <c r="B27" s="338"/>
      <c r="C27" s="333" t="s">
        <v>1</v>
      </c>
      <c r="D27" s="782" t="s">
        <v>395</v>
      </c>
      <c r="E27" s="782" t="s">
        <v>397</v>
      </c>
      <c r="F27" s="782" t="s">
        <v>399</v>
      </c>
      <c r="G27" s="782" t="s">
        <v>401</v>
      </c>
      <c r="H27" s="783" t="s">
        <v>2251</v>
      </c>
      <c r="I27" s="783" t="s">
        <v>2253</v>
      </c>
      <c r="J27" s="782" t="s">
        <v>422</v>
      </c>
      <c r="K27" s="782" t="s">
        <v>403</v>
      </c>
      <c r="L27" s="782" t="s">
        <v>405</v>
      </c>
      <c r="M27" s="782" t="s">
        <v>407</v>
      </c>
      <c r="N27" s="782" t="s">
        <v>409</v>
      </c>
      <c r="O27" s="782" t="s">
        <v>411</v>
      </c>
      <c r="P27" s="782" t="s">
        <v>413</v>
      </c>
      <c r="Q27" s="782" t="s">
        <v>415</v>
      </c>
      <c r="R27" s="782" t="s">
        <v>417</v>
      </c>
      <c r="S27" s="782" t="s">
        <v>419</v>
      </c>
      <c r="T27" s="782" t="s">
        <v>995</v>
      </c>
      <c r="U27" s="782" t="s">
        <v>996</v>
      </c>
      <c r="V27" s="782" t="s">
        <v>1255</v>
      </c>
      <c r="W27" s="784" t="s">
        <v>1054</v>
      </c>
      <c r="X27" s="784" t="s">
        <v>1254</v>
      </c>
      <c r="Y27" s="784" t="s">
        <v>1056</v>
      </c>
      <c r="Z27" s="339" t="s">
        <v>152</v>
      </c>
      <c r="AA27" s="339" t="s">
        <v>2</v>
      </c>
      <c r="AB27" s="339" t="s">
        <v>298</v>
      </c>
      <c r="AC27" s="339" t="s">
        <v>116</v>
      </c>
      <c r="AD27" s="340" t="s">
        <v>117</v>
      </c>
      <c r="AE27" s="8"/>
      <c r="AF27" s="8"/>
    </row>
    <row r="28" spans="2:32" ht="18" x14ac:dyDescent="0.25">
      <c r="B28" s="255" t="s">
        <v>423</v>
      </c>
      <c r="C28" s="253" t="s">
        <v>306</v>
      </c>
      <c r="D28" s="253">
        <f>10^(-p_H)</f>
        <v>6.3095734448019177E-8</v>
      </c>
      <c r="E28" s="253">
        <f>K_W/conc_Hp_I</f>
        <v>1.384875770636308E-7</v>
      </c>
      <c r="F28" s="253">
        <f>0</f>
        <v>0</v>
      </c>
      <c r="G28" s="253">
        <f>0</f>
        <v>0</v>
      </c>
      <c r="H28" s="462">
        <f>0</f>
        <v>0</v>
      </c>
      <c r="I28" s="462">
        <f>0</f>
        <v>0</v>
      </c>
      <c r="J28" s="253">
        <f>0</f>
        <v>0</v>
      </c>
      <c r="K28" s="253">
        <f>0</f>
        <v>0</v>
      </c>
      <c r="L28" s="253">
        <f>0</f>
        <v>0</v>
      </c>
      <c r="M28" s="253">
        <f>0</f>
        <v>0</v>
      </c>
      <c r="N28" s="253">
        <f>0</f>
        <v>0</v>
      </c>
      <c r="O28" s="253">
        <f>0</f>
        <v>0</v>
      </c>
      <c r="P28" s="253">
        <f>0</f>
        <v>0</v>
      </c>
      <c r="Q28" s="253">
        <f>0</f>
        <v>0</v>
      </c>
      <c r="R28" s="253">
        <f>0</f>
        <v>0</v>
      </c>
      <c r="S28" s="253">
        <f>0</f>
        <v>0</v>
      </c>
      <c r="T28" s="253">
        <f>0</f>
        <v>0</v>
      </c>
      <c r="U28" s="253">
        <f>0</f>
        <v>0</v>
      </c>
      <c r="V28" s="253">
        <f>0</f>
        <v>0</v>
      </c>
      <c r="W28" s="253">
        <f>0</f>
        <v>0</v>
      </c>
      <c r="X28" s="253">
        <f>0</f>
        <v>0</v>
      </c>
      <c r="Y28" s="253">
        <f>0</f>
        <v>0</v>
      </c>
      <c r="Z28" s="254"/>
      <c r="AA28" s="252" t="s">
        <v>842</v>
      </c>
      <c r="AB28" s="254"/>
      <c r="AC28" s="254" t="s">
        <v>11</v>
      </c>
      <c r="AD28" s="256"/>
    </row>
    <row r="29" spans="2:32" ht="18" x14ac:dyDescent="0.25">
      <c r="B29" s="500" t="s">
        <v>2512</v>
      </c>
      <c r="C29" s="249" t="s">
        <v>308</v>
      </c>
      <c r="D29" s="249">
        <f>0</f>
        <v>0</v>
      </c>
      <c r="E29" s="249">
        <f>0</f>
        <v>0</v>
      </c>
      <c r="F29" s="249">
        <f>(S_NHx/(A_MN*1000))*K_NH3/(conc_Hp_I+K_NH3)</f>
        <v>4.456809975059031E-7</v>
      </c>
      <c r="G29" s="249">
        <f>(S_NHx/(A_MN*1000))*conc_Hp_I/(conc_Hp_I+K_NH3)</f>
        <v>7.0948723109100212E-5</v>
      </c>
      <c r="H29" s="249">
        <f>0</f>
        <v>0</v>
      </c>
      <c r="I29" s="249">
        <f>0</f>
        <v>0</v>
      </c>
      <c r="J29" s="249">
        <f>0</f>
        <v>0</v>
      </c>
      <c r="K29" s="249">
        <f>0</f>
        <v>0</v>
      </c>
      <c r="L29" s="249">
        <f>0</f>
        <v>0</v>
      </c>
      <c r="M29" s="249">
        <f>0</f>
        <v>0</v>
      </c>
      <c r="N29" s="249">
        <f>0</f>
        <v>0</v>
      </c>
      <c r="O29" s="249">
        <f>0</f>
        <v>0</v>
      </c>
      <c r="P29" s="249">
        <f>0</f>
        <v>0</v>
      </c>
      <c r="Q29" s="249">
        <f>0</f>
        <v>0</v>
      </c>
      <c r="R29" s="249">
        <f>0</f>
        <v>0</v>
      </c>
      <c r="S29" s="249">
        <f>0</f>
        <v>0</v>
      </c>
      <c r="T29" s="249">
        <f>0</f>
        <v>0</v>
      </c>
      <c r="U29" s="249">
        <f>0</f>
        <v>0</v>
      </c>
      <c r="V29" s="249">
        <f>0</f>
        <v>0</v>
      </c>
      <c r="W29" s="249">
        <f>0</f>
        <v>0</v>
      </c>
      <c r="X29" s="249">
        <f>0</f>
        <v>0</v>
      </c>
      <c r="Y29" s="249">
        <f>0</f>
        <v>0</v>
      </c>
      <c r="Z29" s="250"/>
      <c r="AA29" s="248" t="s">
        <v>842</v>
      </c>
      <c r="AB29" s="250"/>
      <c r="AC29" s="254" t="s">
        <v>11</v>
      </c>
      <c r="AD29" s="342"/>
    </row>
    <row r="30" spans="2:32" ht="18" x14ac:dyDescent="0.25">
      <c r="B30" s="341" t="s">
        <v>2255</v>
      </c>
      <c r="C30" s="249" t="s">
        <v>757</v>
      </c>
      <c r="D30" s="249">
        <f>0</f>
        <v>0</v>
      </c>
      <c r="E30" s="249">
        <f>0</f>
        <v>0</v>
      </c>
      <c r="F30" s="249">
        <f>0</f>
        <v>0</v>
      </c>
      <c r="G30" s="249">
        <f>0</f>
        <v>0</v>
      </c>
      <c r="H30" s="249">
        <f>(S_NO2/(A_MN*1000))*conc_Hp_I/(conc_Hp_I+K_NO2)</f>
        <v>8.600116917741957E-10</v>
      </c>
      <c r="I30" s="249">
        <f>(K_NO2*S_NO2/(A_MN*1000))/(conc_Hp_I+K_NO2)</f>
        <v>7.1385803989688371E-6</v>
      </c>
      <c r="J30" s="249">
        <f>0</f>
        <v>0</v>
      </c>
      <c r="K30" s="249">
        <f>0</f>
        <v>0</v>
      </c>
      <c r="L30" s="249">
        <f>0</f>
        <v>0</v>
      </c>
      <c r="M30" s="249">
        <f>0</f>
        <v>0</v>
      </c>
      <c r="N30" s="249">
        <f>0</f>
        <v>0</v>
      </c>
      <c r="O30" s="249">
        <f>0</f>
        <v>0</v>
      </c>
      <c r="P30" s="249">
        <f>0</f>
        <v>0</v>
      </c>
      <c r="Q30" s="249">
        <f>0</f>
        <v>0</v>
      </c>
      <c r="R30" s="249">
        <f>0</f>
        <v>0</v>
      </c>
      <c r="S30" s="249">
        <f>0</f>
        <v>0</v>
      </c>
      <c r="T30" s="249">
        <f>0</f>
        <v>0</v>
      </c>
      <c r="U30" s="249">
        <f>0</f>
        <v>0</v>
      </c>
      <c r="V30" s="249">
        <f>0</f>
        <v>0</v>
      </c>
      <c r="W30" s="249">
        <f>0</f>
        <v>0</v>
      </c>
      <c r="X30" s="249">
        <f>0</f>
        <v>0</v>
      </c>
      <c r="Y30" s="249">
        <f>0</f>
        <v>0</v>
      </c>
      <c r="Z30" s="250"/>
      <c r="AA30" s="248" t="s">
        <v>842</v>
      </c>
      <c r="AB30" s="250"/>
      <c r="AC30" s="254" t="s">
        <v>11</v>
      </c>
      <c r="AD30" s="342"/>
    </row>
    <row r="31" spans="2:32" ht="18" x14ac:dyDescent="0.25">
      <c r="B31" s="341" t="s">
        <v>1105</v>
      </c>
      <c r="C31" s="249" t="s">
        <v>309</v>
      </c>
      <c r="D31" s="249">
        <f>0</f>
        <v>0</v>
      </c>
      <c r="E31" s="249">
        <f>0</f>
        <v>0</v>
      </c>
      <c r="F31" s="249">
        <f>0</f>
        <v>0</v>
      </c>
      <c r="G31" s="249">
        <f>0</f>
        <v>0</v>
      </c>
      <c r="H31" s="249">
        <f>0</f>
        <v>0</v>
      </c>
      <c r="I31" s="249">
        <f>0</f>
        <v>0</v>
      </c>
      <c r="J31" s="249">
        <f>S_NO3/(A_MN*1000)</f>
        <v>3.5697202053303062E-4</v>
      </c>
      <c r="K31" s="249">
        <f>0</f>
        <v>0</v>
      </c>
      <c r="L31" s="249">
        <f>0</f>
        <v>0</v>
      </c>
      <c r="M31" s="249">
        <f>0</f>
        <v>0</v>
      </c>
      <c r="N31" s="249">
        <f>0</f>
        <v>0</v>
      </c>
      <c r="O31" s="249">
        <f>0</f>
        <v>0</v>
      </c>
      <c r="P31" s="249">
        <f>0</f>
        <v>0</v>
      </c>
      <c r="Q31" s="249">
        <f>0</f>
        <v>0</v>
      </c>
      <c r="R31" s="249">
        <f>0</f>
        <v>0</v>
      </c>
      <c r="S31" s="249">
        <f>0</f>
        <v>0</v>
      </c>
      <c r="T31" s="249">
        <f>0</f>
        <v>0</v>
      </c>
      <c r="U31" s="249">
        <f>0</f>
        <v>0</v>
      </c>
      <c r="V31" s="249">
        <f>0</f>
        <v>0</v>
      </c>
      <c r="W31" s="249">
        <f>0</f>
        <v>0</v>
      </c>
      <c r="X31" s="249">
        <f>0</f>
        <v>0</v>
      </c>
      <c r="Y31" s="249">
        <f>0</f>
        <v>0</v>
      </c>
      <c r="Z31" s="250"/>
      <c r="AA31" s="248" t="s">
        <v>842</v>
      </c>
      <c r="AB31" s="250"/>
      <c r="AC31" s="254" t="s">
        <v>11</v>
      </c>
      <c r="AD31" s="342"/>
    </row>
    <row r="32" spans="2:32" ht="18" x14ac:dyDescent="0.25">
      <c r="B32" s="341" t="s">
        <v>425</v>
      </c>
      <c r="C32" s="249" t="s">
        <v>312</v>
      </c>
      <c r="D32" s="249">
        <f>0</f>
        <v>0</v>
      </c>
      <c r="E32" s="249">
        <f>0</f>
        <v>0</v>
      </c>
      <c r="F32" s="249">
        <f>0</f>
        <v>0</v>
      </c>
      <c r="G32" s="249">
        <f>0</f>
        <v>0</v>
      </c>
      <c r="H32" s="249">
        <f>0</f>
        <v>0</v>
      </c>
      <c r="I32" s="249">
        <f>0</f>
        <v>0</v>
      </c>
      <c r="J32" s="249">
        <f>0</f>
        <v>0</v>
      </c>
      <c r="K32" s="249">
        <f>S_CO2/(A_MC*1000)*conc_Hp_I^2/(conc_Hp_I^2+conc_Hp_I*K_C1+K_C1*K_C2)</f>
        <v>6.4880908822408209E-4</v>
      </c>
      <c r="L32" s="249">
        <f>conc_Hp_I*K_C1*S_CO2/(A_MC*1000)/(conc_Hp_I^2+conc_Hp_I*K_C1+K_C1*K_C2)</f>
        <v>5.5062302620906018E-3</v>
      </c>
      <c r="M32" s="249">
        <f>K_C2*K_C1*S_CO2/(A_MC*1000)/(conc_Hp_I^2+conc_Hp_I*K_C1+K_C1*K_C2)</f>
        <v>6.1336038012281396E-6</v>
      </c>
      <c r="N32" s="249">
        <f>0</f>
        <v>0</v>
      </c>
      <c r="O32" s="249">
        <f>0</f>
        <v>0</v>
      </c>
      <c r="P32" s="249">
        <f>0</f>
        <v>0</v>
      </c>
      <c r="Q32" s="249">
        <f>0</f>
        <v>0</v>
      </c>
      <c r="R32" s="249">
        <f>0</f>
        <v>0</v>
      </c>
      <c r="S32" s="249">
        <f>0</f>
        <v>0</v>
      </c>
      <c r="T32" s="249">
        <f>0</f>
        <v>0</v>
      </c>
      <c r="U32" s="249">
        <f>0</f>
        <v>0</v>
      </c>
      <c r="V32" s="249">
        <f>0</f>
        <v>0</v>
      </c>
      <c r="W32" s="249">
        <f>0</f>
        <v>0</v>
      </c>
      <c r="X32" s="249">
        <f>0</f>
        <v>0</v>
      </c>
      <c r="Y32" s="249">
        <f>0</f>
        <v>0</v>
      </c>
      <c r="Z32" s="250"/>
      <c r="AA32" s="248" t="s">
        <v>842</v>
      </c>
      <c r="AB32" s="250"/>
      <c r="AC32" s="254" t="s">
        <v>11</v>
      </c>
      <c r="AD32" s="342"/>
    </row>
    <row r="33" spans="2:32" ht="18" x14ac:dyDescent="0.25">
      <c r="B33" s="341" t="s">
        <v>426</v>
      </c>
      <c r="C33" s="249" t="s">
        <v>313</v>
      </c>
      <c r="D33" s="249">
        <f>0</f>
        <v>0</v>
      </c>
      <c r="E33" s="249">
        <f>0</f>
        <v>0</v>
      </c>
      <c r="F33" s="249">
        <f>0</f>
        <v>0</v>
      </c>
      <c r="G33" s="249">
        <f>0</f>
        <v>0</v>
      </c>
      <c r="H33" s="249">
        <f>0</f>
        <v>0</v>
      </c>
      <c r="I33" s="249">
        <f>0</f>
        <v>0</v>
      </c>
      <c r="J33" s="249">
        <f>0</f>
        <v>0</v>
      </c>
      <c r="K33" s="249">
        <f>0</f>
        <v>0</v>
      </c>
      <c r="L33" s="249">
        <f>0</f>
        <v>0</v>
      </c>
      <c r="M33" s="249">
        <f>0</f>
        <v>0</v>
      </c>
      <c r="N33" s="249">
        <f>S_PO4/(A_MP*1000)*conc_Hp_I^3/(conc_Hp_I^3+conc_Hp_I^2*K_P1+K_P2*conc_Hp_I*K_P1+K_P2*K_P1*K_P3)</f>
        <v>4.0344172931174842E-11</v>
      </c>
      <c r="O33" s="249">
        <f>conc_Hp_I^2*K_P1*S_PO4/(A_MP*1000)/(conc_Hp_I^3+conc_Hp_I^2*K_P1+K_P2*conc_Hp_I*K_P1+K_P2*K_P1*K_P3)</f>
        <v>6.1647215595877176E-6</v>
      </c>
      <c r="P33" s="249">
        <f>conc_Hp_I*K_P2/(conc_Hp_I^3+conc_Hp_I^2*K_P1+K_P2*conc_Hp_I*K_P1+K_P2*K_P1*K_P3)*K_P1*S_PO4/(A_MP*1000)</f>
        <v>9.9778036227837607E-6</v>
      </c>
      <c r="Q33" s="249">
        <f>K_P3*K_P2/(conc_Hp_I^3+conc_Hp_I^2*K_P1+K_P2*conc_Hp_I*K_P1+K_P2*K_P1*K_P3)*K_P1*S_PO4/(A_MP*1000)</f>
        <v>1.2959623276590366E-10</v>
      </c>
      <c r="R33" s="249">
        <f>0</f>
        <v>0</v>
      </c>
      <c r="S33" s="249">
        <f>0</f>
        <v>0</v>
      </c>
      <c r="T33" s="249">
        <f>0</f>
        <v>0</v>
      </c>
      <c r="U33" s="249">
        <f>0</f>
        <v>0</v>
      </c>
      <c r="V33" s="249">
        <f>0</f>
        <v>0</v>
      </c>
      <c r="W33" s="249">
        <f>0</f>
        <v>0</v>
      </c>
      <c r="X33" s="249">
        <f>0</f>
        <v>0</v>
      </c>
      <c r="Y33" s="249">
        <f>0</f>
        <v>0</v>
      </c>
      <c r="Z33" s="250"/>
      <c r="AA33" s="248" t="s">
        <v>842</v>
      </c>
      <c r="AB33" s="250"/>
      <c r="AC33" s="254" t="s">
        <v>11</v>
      </c>
      <c r="AD33" s="342"/>
    </row>
    <row r="34" spans="2:32" ht="18" x14ac:dyDescent="0.25">
      <c r="B34" s="341" t="s">
        <v>431</v>
      </c>
      <c r="C34" s="249" t="s">
        <v>314</v>
      </c>
      <c r="D34" s="249">
        <f>0</f>
        <v>0</v>
      </c>
      <c r="E34" s="249">
        <f>0</f>
        <v>0</v>
      </c>
      <c r="F34" s="249">
        <f>0</f>
        <v>0</v>
      </c>
      <c r="G34" s="249">
        <f>0</f>
        <v>0</v>
      </c>
      <c r="H34" s="249">
        <f>0</f>
        <v>0</v>
      </c>
      <c r="I34" s="249">
        <f>0</f>
        <v>0</v>
      </c>
      <c r="J34" s="249">
        <f>0</f>
        <v>0</v>
      </c>
      <c r="K34" s="249">
        <f>0</f>
        <v>0</v>
      </c>
      <c r="L34" s="249">
        <f>0</f>
        <v>0</v>
      </c>
      <c r="M34" s="249">
        <f>0</f>
        <v>0</v>
      </c>
      <c r="N34" s="249">
        <f>0</f>
        <v>0</v>
      </c>
      <c r="O34" s="249">
        <f>0</f>
        <v>0</v>
      </c>
      <c r="P34" s="249">
        <f>0</f>
        <v>0</v>
      </c>
      <c r="Q34" s="249">
        <f>0</f>
        <v>0</v>
      </c>
      <c r="R34" s="249">
        <f>conc_Hp_I*S_VFA/(4*A_MO*1000)/(conc_Hp_I+K_Ac)</f>
        <v>4.3337108963713439E-10</v>
      </c>
      <c r="S34" s="249">
        <f>S_VFA/(4*A_MO*1000)*K_Ac/(conc_Hp_I+K_Ac)</f>
        <v>1.5582248850509766E-7</v>
      </c>
      <c r="T34" s="249">
        <f>0</f>
        <v>0</v>
      </c>
      <c r="U34" s="249">
        <f>0</f>
        <v>0</v>
      </c>
      <c r="V34" s="249">
        <f>0</f>
        <v>0</v>
      </c>
      <c r="W34" s="249">
        <f>0</f>
        <v>0</v>
      </c>
      <c r="X34" s="249">
        <f>0</f>
        <v>0</v>
      </c>
      <c r="Y34" s="249">
        <f>0</f>
        <v>0</v>
      </c>
      <c r="Z34" s="250"/>
      <c r="AA34" s="248" t="s">
        <v>842</v>
      </c>
      <c r="AB34" s="250"/>
      <c r="AC34" s="254" t="s">
        <v>11</v>
      </c>
      <c r="AD34" s="342"/>
    </row>
    <row r="35" spans="2:32" ht="18" x14ac:dyDescent="0.25">
      <c r="B35" s="341" t="s">
        <v>989</v>
      </c>
      <c r="C35" s="249" t="s">
        <v>991</v>
      </c>
      <c r="D35" s="249">
        <f>0</f>
        <v>0</v>
      </c>
      <c r="E35" s="249">
        <f>0</f>
        <v>0</v>
      </c>
      <c r="F35" s="249">
        <f>0</f>
        <v>0</v>
      </c>
      <c r="G35" s="249">
        <f>0</f>
        <v>0</v>
      </c>
      <c r="H35" s="249">
        <f>0</f>
        <v>0</v>
      </c>
      <c r="I35" s="249">
        <f>0</f>
        <v>0</v>
      </c>
      <c r="J35" s="249">
        <f>0</f>
        <v>0</v>
      </c>
      <c r="K35" s="249">
        <f>0</f>
        <v>0</v>
      </c>
      <c r="L35" s="249">
        <f>0</f>
        <v>0</v>
      </c>
      <c r="M35" s="249">
        <f>0</f>
        <v>0</v>
      </c>
      <c r="N35" s="249">
        <f>0</f>
        <v>0</v>
      </c>
      <c r="O35" s="249">
        <f>0</f>
        <v>0</v>
      </c>
      <c r="P35" s="249">
        <f>0</f>
        <v>0</v>
      </c>
      <c r="Q35" s="249">
        <f>0</f>
        <v>0</v>
      </c>
      <c r="R35" s="249">
        <f>0</f>
        <v>0</v>
      </c>
      <c r="S35" s="249">
        <f>0</f>
        <v>0</v>
      </c>
      <c r="T35" s="249">
        <f>S_Ca/(A_MCa*1000)</f>
        <v>3.7427017316233346E-3</v>
      </c>
      <c r="U35" s="249">
        <f>0</f>
        <v>0</v>
      </c>
      <c r="V35" s="249">
        <f>0</f>
        <v>0</v>
      </c>
      <c r="W35" s="249">
        <f>0</f>
        <v>0</v>
      </c>
      <c r="X35" s="249">
        <f>0</f>
        <v>0</v>
      </c>
      <c r="Y35" s="249">
        <f>0</f>
        <v>0</v>
      </c>
      <c r="Z35" s="250"/>
      <c r="AA35" s="248" t="s">
        <v>843</v>
      </c>
      <c r="AB35" s="250"/>
      <c r="AC35" s="254" t="s">
        <v>11</v>
      </c>
      <c r="AD35" s="342"/>
    </row>
    <row r="36" spans="2:32" ht="18" x14ac:dyDescent="0.25">
      <c r="B36" s="341" t="s">
        <v>990</v>
      </c>
      <c r="C36" s="249" t="s">
        <v>992</v>
      </c>
      <c r="D36" s="249">
        <f>0</f>
        <v>0</v>
      </c>
      <c r="E36" s="249">
        <f>0</f>
        <v>0</v>
      </c>
      <c r="F36" s="249">
        <f>0</f>
        <v>0</v>
      </c>
      <c r="G36" s="249">
        <f>0</f>
        <v>0</v>
      </c>
      <c r="H36" s="249">
        <f>0</f>
        <v>0</v>
      </c>
      <c r="I36" s="249">
        <f>0</f>
        <v>0</v>
      </c>
      <c r="J36" s="249">
        <f>0</f>
        <v>0</v>
      </c>
      <c r="K36" s="249">
        <f>0</f>
        <v>0</v>
      </c>
      <c r="L36" s="249">
        <f>0</f>
        <v>0</v>
      </c>
      <c r="M36" s="249">
        <f>0</f>
        <v>0</v>
      </c>
      <c r="N36" s="249">
        <f>0</f>
        <v>0</v>
      </c>
      <c r="O36" s="249">
        <f>0</f>
        <v>0</v>
      </c>
      <c r="P36" s="249">
        <f>0</f>
        <v>0</v>
      </c>
      <c r="Q36" s="249">
        <f>0</f>
        <v>0</v>
      </c>
      <c r="R36" s="249">
        <f>0</f>
        <v>0</v>
      </c>
      <c r="S36" s="249">
        <f>0</f>
        <v>0</v>
      </c>
      <c r="T36" s="249">
        <f>0</f>
        <v>0</v>
      </c>
      <c r="U36" s="249">
        <f>S_Mg/(A_MMg*1000)</f>
        <v>6.1715696358773911E-4</v>
      </c>
      <c r="V36" s="249">
        <f>0</f>
        <v>0</v>
      </c>
      <c r="W36" s="249">
        <f>0</f>
        <v>0</v>
      </c>
      <c r="X36" s="249">
        <f>0</f>
        <v>0</v>
      </c>
      <c r="Y36" s="249">
        <f>0</f>
        <v>0</v>
      </c>
      <c r="Z36" s="250"/>
      <c r="AA36" s="248" t="s">
        <v>843</v>
      </c>
      <c r="AB36" s="250"/>
      <c r="AC36" s="254" t="s">
        <v>11</v>
      </c>
      <c r="AD36" s="342"/>
    </row>
    <row r="37" spans="2:32" ht="18" x14ac:dyDescent="0.25">
      <c r="B37" s="341" t="s">
        <v>432</v>
      </c>
      <c r="C37" s="249" t="s">
        <v>310</v>
      </c>
      <c r="D37" s="249">
        <f>0</f>
        <v>0</v>
      </c>
      <c r="E37" s="249">
        <f>0</f>
        <v>0</v>
      </c>
      <c r="F37" s="249">
        <f>0</f>
        <v>0</v>
      </c>
      <c r="G37" s="249">
        <f>0</f>
        <v>0</v>
      </c>
      <c r="H37" s="249">
        <f>0</f>
        <v>0</v>
      </c>
      <c r="I37" s="249">
        <f>0</f>
        <v>0</v>
      </c>
      <c r="J37" s="249">
        <f>0</f>
        <v>0</v>
      </c>
      <c r="K37" s="249">
        <f>0</f>
        <v>0</v>
      </c>
      <c r="L37" s="249">
        <f>0</f>
        <v>0</v>
      </c>
      <c r="M37" s="249">
        <f>0</f>
        <v>0</v>
      </c>
      <c r="N37" s="248">
        <f>0</f>
        <v>0</v>
      </c>
      <c r="O37" s="249">
        <f>0</f>
        <v>0</v>
      </c>
      <c r="P37" s="249">
        <f>0</f>
        <v>0</v>
      </c>
      <c r="Q37" s="249">
        <f>0</f>
        <v>0</v>
      </c>
      <c r="R37" s="249">
        <f>0</f>
        <v>0</v>
      </c>
      <c r="S37" s="249">
        <f>0</f>
        <v>0</v>
      </c>
      <c r="T37" s="249">
        <f>0</f>
        <v>0</v>
      </c>
      <c r="U37" s="249">
        <f>0</f>
        <v>0</v>
      </c>
      <c r="V37" s="249">
        <f>S_CAT/(A_MNa*1000)</f>
        <v>1.5224163409384409E-3</v>
      </c>
      <c r="W37" s="249">
        <f>0</f>
        <v>0</v>
      </c>
      <c r="X37" s="249">
        <f>0</f>
        <v>0</v>
      </c>
      <c r="Y37" s="249">
        <f>0</f>
        <v>0</v>
      </c>
      <c r="Z37" s="250"/>
      <c r="AA37" s="248" t="s">
        <v>843</v>
      </c>
      <c r="AB37" s="250"/>
      <c r="AC37" s="254" t="s">
        <v>11</v>
      </c>
      <c r="AD37" s="342"/>
    </row>
    <row r="38" spans="2:32" ht="18" x14ac:dyDescent="0.25">
      <c r="B38" s="341" t="s">
        <v>1104</v>
      </c>
      <c r="C38" s="249" t="s">
        <v>1106</v>
      </c>
      <c r="D38" s="249">
        <f>0</f>
        <v>0</v>
      </c>
      <c r="E38" s="249">
        <f>0</f>
        <v>0</v>
      </c>
      <c r="F38" s="249">
        <f>0</f>
        <v>0</v>
      </c>
      <c r="G38" s="249">
        <f>0</f>
        <v>0</v>
      </c>
      <c r="H38" s="249">
        <f>0</f>
        <v>0</v>
      </c>
      <c r="I38" s="249">
        <f>0</f>
        <v>0</v>
      </c>
      <c r="J38" s="249">
        <f>0</f>
        <v>0</v>
      </c>
      <c r="K38" s="249">
        <f>0</f>
        <v>0</v>
      </c>
      <c r="L38" s="249">
        <f>0</f>
        <v>0</v>
      </c>
      <c r="M38" s="249">
        <f>0</f>
        <v>0</v>
      </c>
      <c r="N38" s="248">
        <f>0</f>
        <v>0</v>
      </c>
      <c r="O38" s="249">
        <f>0</f>
        <v>0</v>
      </c>
      <c r="P38" s="249">
        <f>0</f>
        <v>0</v>
      </c>
      <c r="Q38" s="249">
        <f>0</f>
        <v>0</v>
      </c>
      <c r="R38" s="249">
        <f>0</f>
        <v>0</v>
      </c>
      <c r="S38" s="249">
        <f>0</f>
        <v>0</v>
      </c>
      <c r="T38" s="249">
        <f>0</f>
        <v>0</v>
      </c>
      <c r="U38" s="249">
        <f>0</f>
        <v>0</v>
      </c>
      <c r="V38" s="249">
        <f>0</f>
        <v>0</v>
      </c>
      <c r="W38" s="249">
        <f>S_K/(A_MK*1000)</f>
        <v>3.8364839391994023E-4</v>
      </c>
      <c r="X38" s="249">
        <f>0</f>
        <v>0</v>
      </c>
      <c r="Y38" s="249">
        <f>0</f>
        <v>0</v>
      </c>
      <c r="Z38" s="250"/>
      <c r="AA38" s="248" t="s">
        <v>843</v>
      </c>
      <c r="AB38" s="250"/>
      <c r="AC38" s="254" t="s">
        <v>11</v>
      </c>
      <c r="AD38" s="342"/>
    </row>
    <row r="39" spans="2:32" ht="18" x14ac:dyDescent="0.25">
      <c r="B39" s="341" t="s">
        <v>433</v>
      </c>
      <c r="C39" s="249" t="s">
        <v>311</v>
      </c>
      <c r="D39" s="249">
        <f>0</f>
        <v>0</v>
      </c>
      <c r="E39" s="249">
        <f>0</f>
        <v>0</v>
      </c>
      <c r="F39" s="249">
        <f>0</f>
        <v>0</v>
      </c>
      <c r="G39" s="249">
        <f>0</f>
        <v>0</v>
      </c>
      <c r="H39" s="249">
        <f>0</f>
        <v>0</v>
      </c>
      <c r="I39" s="249">
        <f>0</f>
        <v>0</v>
      </c>
      <c r="J39" s="249">
        <f>0</f>
        <v>0</v>
      </c>
      <c r="K39" s="249">
        <f>0</f>
        <v>0</v>
      </c>
      <c r="L39" s="249">
        <f>0</f>
        <v>0</v>
      </c>
      <c r="M39" s="249">
        <f>0</f>
        <v>0</v>
      </c>
      <c r="N39" s="249">
        <f>0</f>
        <v>0</v>
      </c>
      <c r="O39" s="249">
        <f>0</f>
        <v>0</v>
      </c>
      <c r="P39" s="249">
        <f>0</f>
        <v>0</v>
      </c>
      <c r="Q39" s="249">
        <f>0</f>
        <v>0</v>
      </c>
      <c r="R39" s="249">
        <f>0</f>
        <v>0</v>
      </c>
      <c r="S39" s="249">
        <f>0</f>
        <v>0</v>
      </c>
      <c r="T39" s="249">
        <f>0</f>
        <v>0</v>
      </c>
      <c r="U39" s="249">
        <f>0</f>
        <v>0</v>
      </c>
      <c r="V39" s="249">
        <f>0</f>
        <v>0</v>
      </c>
      <c r="W39" s="251">
        <f>0</f>
        <v>0</v>
      </c>
      <c r="X39" s="249">
        <f>S_AN/(A_MCl*1000)</f>
        <v>4.2309536569542774E-3</v>
      </c>
      <c r="Y39" s="249">
        <f>0</f>
        <v>0</v>
      </c>
      <c r="Z39" s="250"/>
      <c r="AA39" s="248" t="s">
        <v>843</v>
      </c>
      <c r="AB39" s="250"/>
      <c r="AC39" s="254" t="s">
        <v>11</v>
      </c>
      <c r="AD39" s="342"/>
    </row>
    <row r="40" spans="2:32" ht="18.75" thickBot="1" x14ac:dyDescent="0.3">
      <c r="B40" s="257" t="s">
        <v>1107</v>
      </c>
      <c r="C40" s="258" t="s">
        <v>2016</v>
      </c>
      <c r="D40" s="258">
        <f>0</f>
        <v>0</v>
      </c>
      <c r="E40" s="258">
        <f>0</f>
        <v>0</v>
      </c>
      <c r="F40" s="258">
        <f>0</f>
        <v>0</v>
      </c>
      <c r="G40" s="258">
        <f>0</f>
        <v>0</v>
      </c>
      <c r="H40" s="258">
        <f>0</f>
        <v>0</v>
      </c>
      <c r="I40" s="258">
        <f>0</f>
        <v>0</v>
      </c>
      <c r="J40" s="258">
        <f>0</f>
        <v>0</v>
      </c>
      <c r="K40" s="258">
        <f>0</f>
        <v>0</v>
      </c>
      <c r="L40" s="258">
        <f>0</f>
        <v>0</v>
      </c>
      <c r="M40" s="258">
        <f>0</f>
        <v>0</v>
      </c>
      <c r="N40" s="258">
        <f>0</f>
        <v>0</v>
      </c>
      <c r="O40" s="258">
        <f>0</f>
        <v>0</v>
      </c>
      <c r="P40" s="258">
        <f>0</f>
        <v>0</v>
      </c>
      <c r="Q40" s="258">
        <f>0</f>
        <v>0</v>
      </c>
      <c r="R40" s="258">
        <f>0</f>
        <v>0</v>
      </c>
      <c r="S40" s="258">
        <f>0</f>
        <v>0</v>
      </c>
      <c r="T40" s="258">
        <f>0</f>
        <v>0</v>
      </c>
      <c r="U40" s="258">
        <f>0</f>
        <v>0</v>
      </c>
      <c r="V40" s="258">
        <f>0</f>
        <v>0</v>
      </c>
      <c r="W40" s="258">
        <f>0</f>
        <v>0</v>
      </c>
      <c r="X40" s="258">
        <f>0</f>
        <v>0</v>
      </c>
      <c r="Y40" s="258">
        <f>S_Fe2/(A_MFe*1000)</f>
        <v>1.7906706061420003E-55</v>
      </c>
      <c r="Z40" s="259"/>
      <c r="AA40" s="343" t="s">
        <v>843</v>
      </c>
      <c r="AB40" s="259"/>
      <c r="AC40" s="344" t="s">
        <v>11</v>
      </c>
      <c r="AD40" s="260"/>
    </row>
    <row r="42" spans="2:32" ht="15.75" thickBot="1" x14ac:dyDescent="0.3"/>
    <row r="43" spans="2:32" ht="15.75" thickBot="1" x14ac:dyDescent="0.3">
      <c r="B43" s="3"/>
      <c r="C43" s="134" t="s">
        <v>392</v>
      </c>
      <c r="D43" s="130" t="s">
        <v>1222</v>
      </c>
      <c r="E43" s="328"/>
      <c r="F43" s="328"/>
      <c r="G43" s="328"/>
      <c r="H43" s="328"/>
      <c r="I43" s="328"/>
      <c r="J43" s="328"/>
      <c r="K43" s="328"/>
      <c r="L43" s="328"/>
      <c r="M43" s="328"/>
      <c r="N43" s="328"/>
      <c r="O43" s="328"/>
      <c r="P43" s="328"/>
      <c r="Q43" s="328"/>
      <c r="R43" s="328"/>
      <c r="S43" s="328"/>
      <c r="T43" s="328"/>
      <c r="U43" s="328"/>
      <c r="V43" s="328"/>
      <c r="W43" s="329"/>
      <c r="X43" s="329"/>
      <c r="Y43" s="329"/>
    </row>
    <row r="44" spans="2:32" ht="18.75" thickBot="1" x14ac:dyDescent="0.3">
      <c r="B44" s="338"/>
      <c r="C44" s="333" t="s">
        <v>1</v>
      </c>
      <c r="D44" s="782" t="s">
        <v>395</v>
      </c>
      <c r="E44" s="782" t="s">
        <v>397</v>
      </c>
      <c r="F44" s="782" t="s">
        <v>399</v>
      </c>
      <c r="G44" s="782" t="s">
        <v>401</v>
      </c>
      <c r="H44" s="783" t="s">
        <v>2251</v>
      </c>
      <c r="I44" s="783" t="s">
        <v>2253</v>
      </c>
      <c r="J44" s="782" t="s">
        <v>422</v>
      </c>
      <c r="K44" s="782" t="s">
        <v>403</v>
      </c>
      <c r="L44" s="782" t="s">
        <v>405</v>
      </c>
      <c r="M44" s="782" t="s">
        <v>407</v>
      </c>
      <c r="N44" s="782" t="s">
        <v>409</v>
      </c>
      <c r="O44" s="782" t="s">
        <v>411</v>
      </c>
      <c r="P44" s="782" t="s">
        <v>413</v>
      </c>
      <c r="Q44" s="782" t="s">
        <v>415</v>
      </c>
      <c r="R44" s="782" t="s">
        <v>417</v>
      </c>
      <c r="S44" s="782" t="s">
        <v>419</v>
      </c>
      <c r="T44" s="782" t="s">
        <v>995</v>
      </c>
      <c r="U44" s="782" t="s">
        <v>996</v>
      </c>
      <c r="V44" s="782" t="s">
        <v>1255</v>
      </c>
      <c r="W44" s="784" t="s">
        <v>1054</v>
      </c>
      <c r="X44" s="784" t="s">
        <v>1254</v>
      </c>
      <c r="Y44" s="784" t="s">
        <v>1056</v>
      </c>
      <c r="Z44" s="339" t="s">
        <v>152</v>
      </c>
      <c r="AA44" s="339" t="s">
        <v>2</v>
      </c>
      <c r="AB44" s="339" t="s">
        <v>298</v>
      </c>
      <c r="AC44" s="339" t="s">
        <v>116</v>
      </c>
      <c r="AD44" s="340" t="s">
        <v>117</v>
      </c>
      <c r="AE44" s="8"/>
      <c r="AF44" s="8"/>
    </row>
    <row r="45" spans="2:32" ht="17.25" x14ac:dyDescent="0.25">
      <c r="B45" s="345" t="s">
        <v>388</v>
      </c>
      <c r="C45" s="346" t="s">
        <v>316</v>
      </c>
      <c r="D45" s="346">
        <f>(1)*conc_Hp_I</f>
        <v>6.3095734448019177E-8</v>
      </c>
      <c r="E45" s="346">
        <f>(-1)*conc_OHm_I</f>
        <v>-1.384875770636308E-7</v>
      </c>
      <c r="F45" s="346">
        <f>(0)*conc_NH3_I</f>
        <v>0</v>
      </c>
      <c r="G45" s="346">
        <f>(1)*conc_NH4p_I</f>
        <v>7.0948723109100212E-5</v>
      </c>
      <c r="H45" s="461">
        <f>(0)*conc_HNO2_I</f>
        <v>0</v>
      </c>
      <c r="I45" s="461">
        <f>(-1)*conc_NO2m_I</f>
        <v>-7.1385803989688371E-6</v>
      </c>
      <c r="J45" s="346">
        <f>(-1)*conc_NO3m_I</f>
        <v>-3.5697202053303062E-4</v>
      </c>
      <c r="K45" s="346">
        <f>(0)*conc_H2CO3_I</f>
        <v>0</v>
      </c>
      <c r="L45" s="346">
        <f>(-1)*conc_HCO3m_I</f>
        <v>-5.5062302620906018E-3</v>
      </c>
      <c r="M45" s="346">
        <f>(-2)*conc_CO32m_I</f>
        <v>-1.2267207602456279E-5</v>
      </c>
      <c r="N45" s="346">
        <f>(0)*conc_H3PO4_I</f>
        <v>0</v>
      </c>
      <c r="O45" s="346">
        <f>(-1)*conc_H2PO4m_I</f>
        <v>-6.1647215595877176E-6</v>
      </c>
      <c r="P45" s="346">
        <f>(-2)*conc_HPO42m_I</f>
        <v>-1.9955607245567521E-5</v>
      </c>
      <c r="Q45" s="346">
        <f>(-3)*conc_PO43m_I</f>
        <v>-3.8878869829771096E-10</v>
      </c>
      <c r="R45" s="346">
        <f>(0)*conc_HAc_I</f>
        <v>0</v>
      </c>
      <c r="S45" s="346">
        <f>(-1)*conc_Acm_I</f>
        <v>-1.5582248850509766E-7</v>
      </c>
      <c r="T45" s="346">
        <f>(2)*conc_Ca2p_I</f>
        <v>7.4854034632466692E-3</v>
      </c>
      <c r="U45" s="346">
        <f>(2)*conc_Mg2p_I</f>
        <v>1.2343139271754782E-3</v>
      </c>
      <c r="V45" s="346">
        <f>(1)*conc_CATp_I</f>
        <v>1.5224163409384409E-3</v>
      </c>
      <c r="W45" s="346">
        <f>(1)*conc_Kp_I</f>
        <v>3.8364839391994023E-4</v>
      </c>
      <c r="X45" s="346">
        <f>(-1)*conc_ANm_I</f>
        <v>-4.2309536569542774E-3</v>
      </c>
      <c r="Y45" s="346">
        <f>(2)*conc_Fe2p_I</f>
        <v>3.5813412122840006E-55</v>
      </c>
      <c r="Z45" s="347" t="e">
        <f>SUM(pH!#REF!)</f>
        <v>#REF!</v>
      </c>
      <c r="AA45" s="347" t="s">
        <v>843</v>
      </c>
      <c r="AB45" s="347"/>
      <c r="AC45" s="347" t="s">
        <v>11</v>
      </c>
      <c r="AD45" s="348"/>
    </row>
    <row r="46" spans="2:32" ht="18.75" thickBot="1" x14ac:dyDescent="0.3">
      <c r="B46" s="257" t="s">
        <v>844</v>
      </c>
      <c r="C46" s="258" t="s">
        <v>378</v>
      </c>
      <c r="D46" s="258">
        <f>(f_mono_IS_cat)*conc_Hp_I</f>
        <v>3.1547867224009589E-8</v>
      </c>
      <c r="E46" s="258">
        <f>(f_mono_IS_an)*conc_OHm_I</f>
        <v>6.92437885318154E-8</v>
      </c>
      <c r="F46" s="258">
        <f>(0)*conc_NH3_I</f>
        <v>0</v>
      </c>
      <c r="G46" s="258">
        <f>(f_mono_IS_cat)*conc_NH4p_I</f>
        <v>3.5474361554550106E-5</v>
      </c>
      <c r="H46" s="258">
        <f>(0)*conc_HNO2_I</f>
        <v>0</v>
      </c>
      <c r="I46" s="258">
        <f>(f_mono_IS_an)*conc_NO2m_I</f>
        <v>3.5692901994844186E-6</v>
      </c>
      <c r="J46" s="258">
        <f>(f_mono_IS_an)*conc_NO3m_I</f>
        <v>1.7848601026651531E-4</v>
      </c>
      <c r="K46" s="258">
        <f>(0)*conc_H2CO3_I</f>
        <v>0</v>
      </c>
      <c r="L46" s="258">
        <f>(f_mono_IS_an)*conc_HCO3m_I</f>
        <v>2.7531151310453009E-3</v>
      </c>
      <c r="M46" s="258">
        <f>(f_di_IS_an)*conc_CO32m_I</f>
        <v>1.2267207602456279E-5</v>
      </c>
      <c r="N46" s="258">
        <f>(0)*conc_H3PO4_I</f>
        <v>0</v>
      </c>
      <c r="O46" s="258">
        <f>(f_mono_IS_an)*conc_H2PO4m_I</f>
        <v>3.0823607797938588E-6</v>
      </c>
      <c r="P46" s="258">
        <f>(f_di_IS_an)*conc_HPO42m_I</f>
        <v>1.9955607245567521E-5</v>
      </c>
      <c r="Q46" s="258">
        <f>(f_tri_IS_an)*conc_PO43m_I</f>
        <v>5.8318304744656643E-10</v>
      </c>
      <c r="R46" s="258">
        <f>(0)*conc_HAc_I</f>
        <v>0</v>
      </c>
      <c r="S46" s="258">
        <f>(f_mono_IS_an)*conc_Acm_I</f>
        <v>7.7911244252548829E-8</v>
      </c>
      <c r="T46" s="258">
        <f>(f_di_IS_cat)*conc_Ca2p_I</f>
        <v>7.4854034632466692E-3</v>
      </c>
      <c r="U46" s="258">
        <f>(f_di_IS_cat)*conc_Mg2p_I</f>
        <v>1.2343139271754782E-3</v>
      </c>
      <c r="V46" s="258">
        <f>(f_mono_IS_cat)*conc_CATp_I</f>
        <v>7.6120817046922043E-4</v>
      </c>
      <c r="W46" s="258">
        <f>(f_mono_IS_cat)*conc_Kp_I</f>
        <v>1.9182419695997011E-4</v>
      </c>
      <c r="X46" s="258">
        <f>(f_mono_IS_an)*conc_ANm_I</f>
        <v>2.1154768284771387E-3</v>
      </c>
      <c r="Y46" s="258">
        <f>(f_di_IS_cat)*conc_Fe2p_I</f>
        <v>3.5813412122840006E-55</v>
      </c>
      <c r="Z46" s="259" t="e">
        <f>SUM(pH!#REF!)</f>
        <v>#REF!</v>
      </c>
      <c r="AA46" s="259" t="s">
        <v>843</v>
      </c>
      <c r="AB46" s="259"/>
      <c r="AC46" s="344" t="s">
        <v>11</v>
      </c>
      <c r="AD46" s="260"/>
    </row>
  </sheetData>
  <phoneticPr fontId="3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3"/>
  <dimension ref="B1:H25"/>
  <sheetViews>
    <sheetView showGridLines="0" zoomScale="85" zoomScaleNormal="85" workbookViewId="0"/>
  </sheetViews>
  <sheetFormatPr defaultColWidth="9.140625" defaultRowHeight="15" x14ac:dyDescent="0.25"/>
  <cols>
    <col min="3" max="3" width="24.85546875" bestFit="1" customWidth="1"/>
    <col min="4" max="4" width="12" bestFit="1" customWidth="1"/>
    <col min="6" max="6" width="12" customWidth="1"/>
    <col min="7" max="7" width="14.85546875" style="154" customWidth="1"/>
    <col min="8" max="8" width="20.85546875" customWidth="1"/>
  </cols>
  <sheetData>
    <row r="1" spans="2:8" s="47" customFormat="1" ht="48" customHeight="1" thickBot="1" x14ac:dyDescent="0.3">
      <c r="G1" s="152"/>
    </row>
    <row r="2" spans="2:8" ht="15.75" thickBot="1" x14ac:dyDescent="0.3">
      <c r="B2" s="104"/>
      <c r="C2" s="118" t="s">
        <v>394</v>
      </c>
      <c r="D2" s="104"/>
      <c r="E2" s="104"/>
      <c r="F2" s="104"/>
      <c r="G2" s="153"/>
      <c r="H2" s="117"/>
    </row>
    <row r="3" spans="2:8" ht="15.75" thickBot="1" x14ac:dyDescent="0.3">
      <c r="B3" s="330" t="s">
        <v>0</v>
      </c>
      <c r="C3" s="331" t="s">
        <v>1</v>
      </c>
      <c r="D3" s="131" t="s">
        <v>152</v>
      </c>
      <c r="E3" s="331" t="s">
        <v>2</v>
      </c>
      <c r="F3" s="331" t="s">
        <v>298</v>
      </c>
      <c r="G3" s="331" t="s">
        <v>116</v>
      </c>
      <c r="H3" s="332" t="s">
        <v>117</v>
      </c>
    </row>
    <row r="4" spans="2:8" ht="17.25" x14ac:dyDescent="0.25">
      <c r="B4" s="155" t="s">
        <v>395</v>
      </c>
      <c r="C4" s="88" t="s">
        <v>396</v>
      </c>
      <c r="D4" s="82">
        <f>SUM(pH!D28:D40)</f>
        <v>6.3095734448019177E-8</v>
      </c>
      <c r="E4" s="91" t="s">
        <v>383</v>
      </c>
      <c r="F4" s="86">
        <v>2</v>
      </c>
      <c r="G4" s="86" t="s">
        <v>11</v>
      </c>
      <c r="H4" s="89"/>
    </row>
    <row r="5" spans="2:8" ht="17.25" x14ac:dyDescent="0.25">
      <c r="B5" s="90" t="s">
        <v>397</v>
      </c>
      <c r="C5" s="81" t="s">
        <v>398</v>
      </c>
      <c r="D5" s="91">
        <f>SUM(pH!E28:E40)</f>
        <v>1.384875770636308E-7</v>
      </c>
      <c r="E5" s="91" t="s">
        <v>383</v>
      </c>
      <c r="F5" s="91">
        <v>2</v>
      </c>
      <c r="G5" s="91" t="s">
        <v>11</v>
      </c>
      <c r="H5" s="92"/>
    </row>
    <row r="6" spans="2:8" ht="18" x14ac:dyDescent="0.25">
      <c r="B6" s="90" t="s">
        <v>399</v>
      </c>
      <c r="C6" s="81" t="s">
        <v>400</v>
      </c>
      <c r="D6" s="91">
        <f>SUM(pH!F28:F40)</f>
        <v>4.456809975059031E-7</v>
      </c>
      <c r="E6" s="91" t="s">
        <v>383</v>
      </c>
      <c r="F6" s="91">
        <v>2</v>
      </c>
      <c r="G6" s="91" t="s">
        <v>1251</v>
      </c>
      <c r="H6" s="92"/>
    </row>
    <row r="7" spans="2:8" ht="18" x14ac:dyDescent="0.25">
      <c r="B7" s="90" t="s">
        <v>401</v>
      </c>
      <c r="C7" s="81" t="s">
        <v>402</v>
      </c>
      <c r="D7" s="91">
        <f>SUM(pH!G28:G40)</f>
        <v>7.0948723109100212E-5</v>
      </c>
      <c r="E7" s="91" t="s">
        <v>383</v>
      </c>
      <c r="F7" s="91">
        <v>2</v>
      </c>
      <c r="G7" s="91" t="s">
        <v>1251</v>
      </c>
      <c r="H7" s="92"/>
    </row>
    <row r="8" spans="2:8" ht="18" x14ac:dyDescent="0.25">
      <c r="B8" s="90" t="s">
        <v>2251</v>
      </c>
      <c r="C8" s="83" t="s">
        <v>2252</v>
      </c>
      <c r="D8" s="91">
        <f>SUM(pH!H28:H40)</f>
        <v>8.600116917741957E-10</v>
      </c>
      <c r="E8" s="91" t="s">
        <v>383</v>
      </c>
      <c r="F8" s="91">
        <v>2</v>
      </c>
      <c r="G8" s="91" t="s">
        <v>11</v>
      </c>
      <c r="H8" s="92"/>
    </row>
    <row r="9" spans="2:8" ht="18" x14ac:dyDescent="0.25">
      <c r="B9" s="90" t="s">
        <v>2253</v>
      </c>
      <c r="C9" s="81" t="s">
        <v>2254</v>
      </c>
      <c r="D9" s="91">
        <f>SUM(pH!I28:I40)</f>
        <v>7.1385803989688371E-6</v>
      </c>
      <c r="E9" s="91" t="s">
        <v>383</v>
      </c>
      <c r="F9" s="91">
        <v>2</v>
      </c>
      <c r="G9" s="91" t="s">
        <v>11</v>
      </c>
      <c r="H9" s="92"/>
    </row>
    <row r="10" spans="2:8" ht="18" x14ac:dyDescent="0.25">
      <c r="B10" s="90" t="s">
        <v>422</v>
      </c>
      <c r="C10" s="81" t="s">
        <v>421</v>
      </c>
      <c r="D10" s="83">
        <f>SUM(pH!J28:J40)</f>
        <v>3.5697202053303062E-4</v>
      </c>
      <c r="E10" s="91" t="s">
        <v>383</v>
      </c>
      <c r="F10" s="91">
        <v>2</v>
      </c>
      <c r="G10" s="91" t="s">
        <v>11</v>
      </c>
      <c r="H10" s="92"/>
    </row>
    <row r="11" spans="2:8" ht="18" x14ac:dyDescent="0.25">
      <c r="B11" s="90" t="s">
        <v>403</v>
      </c>
      <c r="C11" s="81" t="s">
        <v>404</v>
      </c>
      <c r="D11" s="91">
        <f>SUM(pH!K28:K40)</f>
        <v>6.4880908822408209E-4</v>
      </c>
      <c r="E11" s="91" t="s">
        <v>383</v>
      </c>
      <c r="F11" s="91">
        <v>2</v>
      </c>
      <c r="G11" s="91" t="s">
        <v>1224</v>
      </c>
      <c r="H11" s="92"/>
    </row>
    <row r="12" spans="2:8" ht="18" x14ac:dyDescent="0.25">
      <c r="B12" s="90" t="s">
        <v>405</v>
      </c>
      <c r="C12" s="81" t="s">
        <v>406</v>
      </c>
      <c r="D12" s="91">
        <f>SUM(pH!L28:L40)</f>
        <v>5.5062302620906018E-3</v>
      </c>
      <c r="E12" s="91" t="s">
        <v>383</v>
      </c>
      <c r="F12" s="91">
        <v>2</v>
      </c>
      <c r="G12" s="91" t="s">
        <v>1224</v>
      </c>
      <c r="H12" s="92"/>
    </row>
    <row r="13" spans="2:8" ht="18" x14ac:dyDescent="0.25">
      <c r="B13" s="90" t="s">
        <v>407</v>
      </c>
      <c r="C13" s="81" t="s">
        <v>408</v>
      </c>
      <c r="D13" s="91">
        <f>SUM(pH!M28:M40)</f>
        <v>6.1336038012281396E-6</v>
      </c>
      <c r="E13" s="91" t="s">
        <v>383</v>
      </c>
      <c r="F13" s="91">
        <v>2</v>
      </c>
      <c r="G13" s="91" t="s">
        <v>1224</v>
      </c>
      <c r="H13" s="92"/>
    </row>
    <row r="14" spans="2:8" ht="18" x14ac:dyDescent="0.25">
      <c r="B14" s="90" t="s">
        <v>409</v>
      </c>
      <c r="C14" s="81" t="s">
        <v>410</v>
      </c>
      <c r="D14" s="91">
        <f>SUM(pH!N28:N40)</f>
        <v>4.0344172931174842E-11</v>
      </c>
      <c r="E14" s="91" t="s">
        <v>383</v>
      </c>
      <c r="F14" s="91">
        <v>2</v>
      </c>
      <c r="G14" s="91" t="s">
        <v>1225</v>
      </c>
      <c r="H14" s="92"/>
    </row>
    <row r="15" spans="2:8" ht="18" x14ac:dyDescent="0.25">
      <c r="B15" s="90" t="s">
        <v>411</v>
      </c>
      <c r="C15" s="81" t="s">
        <v>412</v>
      </c>
      <c r="D15" s="91">
        <f>SUM(pH!O28:O40)</f>
        <v>6.1647215595877176E-6</v>
      </c>
      <c r="E15" s="91" t="s">
        <v>383</v>
      </c>
      <c r="F15" s="91">
        <v>2</v>
      </c>
      <c r="G15" s="91" t="s">
        <v>1225</v>
      </c>
      <c r="H15" s="92"/>
    </row>
    <row r="16" spans="2:8" ht="18" x14ac:dyDescent="0.25">
      <c r="B16" s="90" t="s">
        <v>413</v>
      </c>
      <c r="C16" s="81" t="s">
        <v>414</v>
      </c>
      <c r="D16" s="91">
        <f>SUM(pH!P28:P40)</f>
        <v>9.9778036227837607E-6</v>
      </c>
      <c r="E16" s="91" t="s">
        <v>383</v>
      </c>
      <c r="F16" s="91">
        <v>2</v>
      </c>
      <c r="G16" s="91" t="s">
        <v>1225</v>
      </c>
      <c r="H16" s="84"/>
    </row>
    <row r="17" spans="2:8" ht="18" x14ac:dyDescent="0.25">
      <c r="B17" s="90" t="s">
        <v>415</v>
      </c>
      <c r="C17" s="83" t="s">
        <v>416</v>
      </c>
      <c r="D17" s="83">
        <f>SUM(pH!Q28:Q40)</f>
        <v>1.2959623276590366E-10</v>
      </c>
      <c r="E17" s="91" t="s">
        <v>383</v>
      </c>
      <c r="F17" s="91">
        <v>2</v>
      </c>
      <c r="G17" s="91" t="s">
        <v>1225</v>
      </c>
      <c r="H17" s="84"/>
    </row>
    <row r="18" spans="2:8" ht="18" x14ac:dyDescent="0.35">
      <c r="B18" s="93" t="s">
        <v>417</v>
      </c>
      <c r="C18" s="83" t="s">
        <v>418</v>
      </c>
      <c r="D18" s="83">
        <f>SUM(pH!R28:R40)</f>
        <v>4.3337108963713439E-10</v>
      </c>
      <c r="E18" s="91" t="s">
        <v>383</v>
      </c>
      <c r="F18" s="91">
        <v>2</v>
      </c>
      <c r="G18" s="97" t="s">
        <v>1610</v>
      </c>
      <c r="H18" s="84"/>
    </row>
    <row r="19" spans="2:8" ht="18" x14ac:dyDescent="0.35">
      <c r="B19" s="93" t="s">
        <v>419</v>
      </c>
      <c r="C19" s="83" t="s">
        <v>420</v>
      </c>
      <c r="D19" s="83">
        <f>SUM(pH!S28:S40)</f>
        <v>1.5582248850509766E-7</v>
      </c>
      <c r="E19" s="91" t="s">
        <v>383</v>
      </c>
      <c r="F19" s="91">
        <v>2</v>
      </c>
      <c r="G19" s="97" t="s">
        <v>1610</v>
      </c>
      <c r="H19" s="84"/>
    </row>
    <row r="20" spans="2:8" ht="18" x14ac:dyDescent="0.25">
      <c r="B20" s="90" t="s">
        <v>995</v>
      </c>
      <c r="C20" s="83" t="s">
        <v>997</v>
      </c>
      <c r="D20" s="83">
        <f>SUM(pH!T28:T40)</f>
        <v>3.7427017316233346E-3</v>
      </c>
      <c r="E20" s="91" t="s">
        <v>383</v>
      </c>
      <c r="F20" s="91">
        <v>2</v>
      </c>
      <c r="G20" s="91" t="s">
        <v>1226</v>
      </c>
      <c r="H20" s="84"/>
    </row>
    <row r="21" spans="2:8" ht="18" x14ac:dyDescent="0.35">
      <c r="B21" s="90" t="s">
        <v>996</v>
      </c>
      <c r="C21" s="83" t="s">
        <v>998</v>
      </c>
      <c r="D21" s="83">
        <f>SUM(pH!U28:U40)</f>
        <v>6.1715696358773911E-4</v>
      </c>
      <c r="E21" s="91" t="s">
        <v>383</v>
      </c>
      <c r="F21" s="91">
        <v>2</v>
      </c>
      <c r="G21" s="97" t="s">
        <v>1227</v>
      </c>
      <c r="H21" s="84"/>
    </row>
    <row r="22" spans="2:8" ht="18" x14ac:dyDescent="0.35">
      <c r="B22" s="93" t="s">
        <v>1255</v>
      </c>
      <c r="C22" s="83" t="s">
        <v>1053</v>
      </c>
      <c r="D22" s="83">
        <f>SUM(pH!V28:V40)</f>
        <v>1.5224163409384409E-3</v>
      </c>
      <c r="E22" s="91" t="s">
        <v>383</v>
      </c>
      <c r="F22" s="91">
        <v>2</v>
      </c>
      <c r="G22" s="97" t="s">
        <v>1228</v>
      </c>
      <c r="H22" s="84"/>
    </row>
    <row r="23" spans="2:8" ht="18" x14ac:dyDescent="0.35">
      <c r="B23" s="93" t="s">
        <v>1054</v>
      </c>
      <c r="C23" s="83" t="s">
        <v>1046</v>
      </c>
      <c r="D23" s="83">
        <f>SUM(pH!W28:W40)</f>
        <v>3.8364839391994023E-4</v>
      </c>
      <c r="E23" s="91" t="s">
        <v>383</v>
      </c>
      <c r="F23" s="91">
        <v>2</v>
      </c>
      <c r="G23" s="97" t="s">
        <v>1229</v>
      </c>
      <c r="H23" s="84"/>
    </row>
    <row r="24" spans="2:8" ht="18" x14ac:dyDescent="0.35">
      <c r="B24" s="93" t="s">
        <v>1254</v>
      </c>
      <c r="C24" s="83" t="s">
        <v>1055</v>
      </c>
      <c r="D24" s="83">
        <f>SUM(pH!X28:X40)</f>
        <v>4.2309536569542774E-3</v>
      </c>
      <c r="E24" s="91" t="s">
        <v>383</v>
      </c>
      <c r="F24" s="91">
        <v>2</v>
      </c>
      <c r="G24" s="97" t="s">
        <v>1230</v>
      </c>
      <c r="H24" s="84"/>
    </row>
    <row r="25" spans="2:8" ht="18.75" thickBot="1" x14ac:dyDescent="0.4">
      <c r="B25" s="94" t="s">
        <v>1056</v>
      </c>
      <c r="C25" s="95" t="s">
        <v>1051</v>
      </c>
      <c r="D25" s="95">
        <f>SUM(pH!Y28:Y40)</f>
        <v>1.7906706061420003E-55</v>
      </c>
      <c r="E25" s="91" t="s">
        <v>383</v>
      </c>
      <c r="F25" s="96">
        <v>2</v>
      </c>
      <c r="G25" s="98" t="s">
        <v>1620</v>
      </c>
      <c r="H25" s="85"/>
    </row>
  </sheetData>
  <pageMargins left="0.7" right="0.7" top="0.75" bottom="0.75" header="0.3" footer="0.3"/>
  <pageSetup paperSize="9" orientation="portrait"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1" customWidth="1"/>
    <col min="2" max="2" width="22" style="20" customWidth="1"/>
    <col min="3" max="3" width="9.5703125" style="21" customWidth="1"/>
    <col min="4" max="16384" width="9.140625" style="21"/>
  </cols>
  <sheetData>
    <row r="1" spans="2:9" ht="56.25" customHeight="1" thickBot="1" x14ac:dyDescent="0.3"/>
    <row r="2" spans="2:9" s="20" customFormat="1" ht="15.75" thickBot="1" x14ac:dyDescent="0.3">
      <c r="B2" s="22" t="s">
        <v>134</v>
      </c>
      <c r="C2" s="23" t="s">
        <v>135</v>
      </c>
      <c r="D2" s="23" t="s">
        <v>136</v>
      </c>
      <c r="E2" s="23" t="s">
        <v>137</v>
      </c>
      <c r="F2" s="23" t="s">
        <v>138</v>
      </c>
      <c r="G2" s="23" t="s">
        <v>139</v>
      </c>
      <c r="H2" s="23" t="s">
        <v>140</v>
      </c>
      <c r="I2" s="24" t="s">
        <v>141</v>
      </c>
    </row>
    <row r="3" spans="2:9" ht="15.75" thickBot="1" x14ac:dyDescent="0.3">
      <c r="B3" s="25" t="s">
        <v>8</v>
      </c>
      <c r="C3" s="26">
        <v>1</v>
      </c>
      <c r="D3" s="26">
        <v>0</v>
      </c>
      <c r="E3" s="26">
        <v>-1</v>
      </c>
      <c r="F3" s="26">
        <v>-1</v>
      </c>
      <c r="G3" s="26">
        <v>1</v>
      </c>
      <c r="H3" s="27">
        <v>-1</v>
      </c>
      <c r="I3" s="28"/>
    </row>
    <row r="4" spans="2:9" x14ac:dyDescent="0.25">
      <c r="B4" s="29" t="s">
        <v>135</v>
      </c>
      <c r="C4" s="30">
        <v>1</v>
      </c>
      <c r="D4" s="30"/>
      <c r="E4" s="30"/>
      <c r="F4" s="30"/>
      <c r="G4" s="30"/>
      <c r="H4" s="31"/>
      <c r="I4" s="28"/>
    </row>
    <row r="5" spans="2:9" x14ac:dyDescent="0.25">
      <c r="B5" s="29" t="s">
        <v>136</v>
      </c>
      <c r="C5" s="30"/>
      <c r="D5" s="30">
        <v>1</v>
      </c>
      <c r="E5" s="30"/>
      <c r="F5" s="30"/>
      <c r="G5" s="30"/>
      <c r="H5" s="31"/>
      <c r="I5" s="28"/>
    </row>
    <row r="6" spans="2:9" x14ac:dyDescent="0.25">
      <c r="B6" s="29" t="s">
        <v>142</v>
      </c>
      <c r="C6" s="30"/>
      <c r="D6" s="30"/>
      <c r="E6" s="30">
        <v>1</v>
      </c>
      <c r="F6" s="30"/>
      <c r="G6" s="30"/>
      <c r="H6" s="31"/>
      <c r="I6" s="28"/>
    </row>
    <row r="7" spans="2:9" x14ac:dyDescent="0.25">
      <c r="B7" s="29" t="s">
        <v>143</v>
      </c>
      <c r="C7" s="30"/>
      <c r="D7" s="30"/>
      <c r="E7" s="30"/>
      <c r="F7" s="30">
        <v>1</v>
      </c>
      <c r="G7" s="30"/>
      <c r="H7" s="31"/>
      <c r="I7" s="28"/>
    </row>
    <row r="8" spans="2:9" x14ac:dyDescent="0.25">
      <c r="B8" s="29" t="s">
        <v>139</v>
      </c>
      <c r="C8" s="30"/>
      <c r="D8" s="30"/>
      <c r="E8" s="30"/>
      <c r="F8" s="30"/>
      <c r="G8" s="30">
        <v>1</v>
      </c>
      <c r="H8" s="31"/>
      <c r="I8" s="28"/>
    </row>
    <row r="9" spans="2:9" ht="15.75" thickBot="1" x14ac:dyDescent="0.3">
      <c r="B9" s="32" t="s">
        <v>140</v>
      </c>
      <c r="C9" s="33"/>
      <c r="D9" s="33"/>
      <c r="E9" s="33"/>
      <c r="F9" s="33"/>
      <c r="G9" s="33"/>
      <c r="H9" s="34">
        <v>1</v>
      </c>
    </row>
    <row r="10" spans="2:9" x14ac:dyDescent="0.25">
      <c r="B10" s="29" t="s">
        <v>144</v>
      </c>
      <c r="C10" s="30">
        <v>-1</v>
      </c>
      <c r="D10" s="30">
        <v>0</v>
      </c>
      <c r="E10" s="30">
        <v>0</v>
      </c>
      <c r="F10" s="30">
        <v>0</v>
      </c>
      <c r="G10" s="30">
        <v>0</v>
      </c>
      <c r="H10" s="30">
        <v>0</v>
      </c>
      <c r="I10" s="35">
        <v>-14.163232949999999</v>
      </c>
    </row>
    <row r="11" spans="2:9" ht="15.75" thickBot="1" x14ac:dyDescent="0.3">
      <c r="B11" s="29" t="s">
        <v>145</v>
      </c>
      <c r="C11" s="30">
        <v>1</v>
      </c>
      <c r="D11" s="30">
        <v>1</v>
      </c>
      <c r="E11" s="30">
        <v>0</v>
      </c>
      <c r="F11" s="30">
        <v>0</v>
      </c>
      <c r="G11" s="30">
        <v>0</v>
      </c>
      <c r="H11" s="30">
        <v>0</v>
      </c>
      <c r="I11" s="36">
        <v>9.4016472899999997</v>
      </c>
    </row>
    <row r="12" spans="2:9" x14ac:dyDescent="0.25">
      <c r="B12" s="37" t="s">
        <v>146</v>
      </c>
      <c r="C12" s="40"/>
      <c r="D12" s="40">
        <v>1E-3</v>
      </c>
      <c r="E12" s="40">
        <v>1E-3</v>
      </c>
      <c r="F12" s="40">
        <v>1E-3</v>
      </c>
      <c r="G12" s="40">
        <v>1E-3</v>
      </c>
      <c r="H12" s="38">
        <v>1E-3</v>
      </c>
      <c r="I12" s="28"/>
    </row>
    <row r="13" spans="2:9" ht="15.75" thickBot="1" x14ac:dyDescent="0.3">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Z80"/>
  <sheetViews>
    <sheetView showGridLines="0" zoomScale="85" zoomScaleNormal="85" workbookViewId="0">
      <pane xSplit="2" ySplit="3" topLeftCell="C22" activePane="bottomRight" state="frozen"/>
      <selection pane="topRight" activeCell="C1" sqref="C1"/>
      <selection pane="bottomLeft" activeCell="A4" sqref="A4"/>
      <selection pane="bottomRight"/>
    </sheetView>
  </sheetViews>
  <sheetFormatPr defaultColWidth="9.140625" defaultRowHeight="15" x14ac:dyDescent="0.25"/>
  <cols>
    <col min="1" max="1" width="8.140625" customWidth="1"/>
    <col min="2" max="2" width="18.42578125" customWidth="1"/>
    <col min="3" max="3" width="53.5703125" style="69" bestFit="1" customWidth="1"/>
    <col min="4" max="14" width="19.140625" customWidth="1"/>
    <col min="15" max="15" width="9.7109375" customWidth="1"/>
    <col min="16" max="17" width="10.140625" customWidth="1"/>
    <col min="18" max="18" width="13" customWidth="1"/>
    <col min="19" max="19" width="12" customWidth="1"/>
    <col min="20" max="20" width="13" style="154" customWidth="1"/>
    <col min="21" max="21" width="20.42578125" bestFit="1" customWidth="1"/>
    <col min="22" max="22" width="80.5703125" bestFit="1" customWidth="1"/>
    <col min="23" max="23" width="19.42578125" customWidth="1"/>
    <col min="26" max="26" width="10.42578125" bestFit="1" customWidth="1"/>
  </cols>
  <sheetData>
    <row r="1" spans="1:26" s="47" customFormat="1" ht="48" customHeight="1" thickBot="1" x14ac:dyDescent="0.3">
      <c r="A1" s="50"/>
      <c r="B1" s="51"/>
      <c r="C1" s="72"/>
      <c r="N1" s="47" t="s">
        <v>4564</v>
      </c>
      <c r="T1" s="152"/>
    </row>
    <row r="2" spans="1:26" ht="19.5" customHeight="1" thickBot="1" x14ac:dyDescent="0.3">
      <c r="A2" s="3"/>
      <c r="B2" s="1285"/>
      <c r="C2" s="1572" t="s">
        <v>839</v>
      </c>
      <c r="D2" s="1294"/>
      <c r="E2" s="1294"/>
      <c r="F2" s="1294"/>
      <c r="G2" s="1294"/>
      <c r="H2" s="1294"/>
      <c r="I2" s="1294"/>
      <c r="J2" s="1294"/>
      <c r="K2" s="1294"/>
      <c r="L2" s="1294"/>
      <c r="M2" s="1294"/>
      <c r="N2" s="1294"/>
      <c r="O2" s="1294"/>
      <c r="P2" s="1294"/>
      <c r="Q2" s="1281"/>
      <c r="R2" s="1281"/>
      <c r="S2" s="1281"/>
      <c r="T2" s="1282"/>
      <c r="U2" s="1281"/>
      <c r="V2" s="1281"/>
    </row>
    <row r="3" spans="1:26" s="3" customFormat="1" ht="15.75" thickBot="1" x14ac:dyDescent="0.3">
      <c r="A3" s="5"/>
      <c r="B3" s="334" t="s">
        <v>0</v>
      </c>
      <c r="C3" s="1608" t="s">
        <v>1</v>
      </c>
      <c r="D3" s="333" t="s">
        <v>12</v>
      </c>
      <c r="E3" s="333" t="s">
        <v>13</v>
      </c>
      <c r="F3" s="333" t="s">
        <v>1975</v>
      </c>
      <c r="G3" s="359" t="s">
        <v>1213</v>
      </c>
      <c r="H3" s="333" t="s">
        <v>1178</v>
      </c>
      <c r="I3" s="336" t="s">
        <v>1608</v>
      </c>
      <c r="J3" s="336" t="s">
        <v>3170</v>
      </c>
      <c r="K3" s="2289" t="s">
        <v>4752</v>
      </c>
      <c r="L3" s="2289" t="s">
        <v>4753</v>
      </c>
      <c r="M3" s="607" t="s">
        <v>470</v>
      </c>
      <c r="N3" s="607" t="s">
        <v>471</v>
      </c>
      <c r="O3" s="335" t="s">
        <v>2</v>
      </c>
      <c r="P3" s="335" t="s">
        <v>298</v>
      </c>
      <c r="Q3" s="335" t="s">
        <v>14</v>
      </c>
      <c r="R3" s="335" t="s">
        <v>841</v>
      </c>
      <c r="S3" s="335" t="s">
        <v>3</v>
      </c>
      <c r="T3" s="1670" t="s">
        <v>4557</v>
      </c>
      <c r="U3" s="335" t="s">
        <v>116</v>
      </c>
      <c r="V3" s="337" t="s">
        <v>7</v>
      </c>
    </row>
    <row r="4" spans="1:26" ht="18" x14ac:dyDescent="0.25">
      <c r="A4" s="78"/>
      <c r="B4" s="2453" t="s">
        <v>803</v>
      </c>
      <c r="C4" s="2454" t="s">
        <v>2966</v>
      </c>
      <c r="D4" s="1610">
        <v>20</v>
      </c>
      <c r="E4" s="1610">
        <v>0.01</v>
      </c>
      <c r="F4" s="1610">
        <v>0.01</v>
      </c>
      <c r="G4" s="1610">
        <v>100</v>
      </c>
      <c r="H4" s="1610">
        <v>0.01</v>
      </c>
      <c r="I4" s="1610">
        <v>1E-3</v>
      </c>
      <c r="J4" s="1610">
        <v>0.01</v>
      </c>
      <c r="K4" s="1610">
        <v>0.16527800000000001</v>
      </c>
      <c r="L4" s="1610">
        <v>46.764600000000002</v>
      </c>
      <c r="M4" s="2455" t="s">
        <v>3168</v>
      </c>
      <c r="N4" s="2455" t="s">
        <v>3169</v>
      </c>
      <c r="O4" s="2456" t="s">
        <v>319</v>
      </c>
      <c r="P4" s="2456">
        <v>1</v>
      </c>
      <c r="Q4" s="2456" t="s">
        <v>256</v>
      </c>
      <c r="R4" s="2456" t="s">
        <v>257</v>
      </c>
      <c r="S4" s="2456" t="s">
        <v>260</v>
      </c>
      <c r="T4" s="2456" t="s">
        <v>148</v>
      </c>
      <c r="U4" s="2457"/>
      <c r="V4" s="1988"/>
      <c r="Z4" s="362"/>
    </row>
    <row r="5" spans="1:26" ht="18" x14ac:dyDescent="0.25">
      <c r="A5" s="78"/>
      <c r="B5" s="2458" t="s">
        <v>804</v>
      </c>
      <c r="C5" s="2459" t="s">
        <v>290</v>
      </c>
      <c r="D5" s="1609">
        <v>45</v>
      </c>
      <c r="E5" s="1609">
        <v>1</v>
      </c>
      <c r="F5" s="1609">
        <v>1</v>
      </c>
      <c r="G5" s="1609">
        <v>0.1</v>
      </c>
      <c r="H5" s="1609">
        <v>1</v>
      </c>
      <c r="I5" s="1609">
        <v>1</v>
      </c>
      <c r="J5" s="1610">
        <v>1</v>
      </c>
      <c r="K5" s="1610">
        <v>1.8964799999999999</v>
      </c>
      <c r="L5" s="1610">
        <v>4.2870100000000001E-2</v>
      </c>
      <c r="M5" s="1611" t="s">
        <v>3168</v>
      </c>
      <c r="N5" s="1611" t="s">
        <v>3169</v>
      </c>
      <c r="O5" s="2460" t="s">
        <v>319</v>
      </c>
      <c r="P5" s="2460">
        <v>1</v>
      </c>
      <c r="Q5" s="2460" t="s">
        <v>256</v>
      </c>
      <c r="R5" s="2460" t="s">
        <v>257</v>
      </c>
      <c r="S5" s="2460" t="s">
        <v>260</v>
      </c>
      <c r="T5" s="2456" t="s">
        <v>148</v>
      </c>
      <c r="U5" s="1320"/>
      <c r="V5" s="1989"/>
      <c r="Z5" s="362"/>
    </row>
    <row r="6" spans="1:26" ht="18" x14ac:dyDescent="0.25">
      <c r="A6" s="78"/>
      <c r="B6" s="2458" t="s">
        <v>805</v>
      </c>
      <c r="C6" s="2459" t="s">
        <v>2967</v>
      </c>
      <c r="D6" s="1609" t="s">
        <v>1214</v>
      </c>
      <c r="E6" s="2461">
        <v>1E-50</v>
      </c>
      <c r="F6" s="1609" t="s">
        <v>1214</v>
      </c>
      <c r="G6" s="1609" t="s">
        <v>1214</v>
      </c>
      <c r="H6" s="1609" t="s">
        <v>1214</v>
      </c>
      <c r="I6" s="1609">
        <v>0.01</v>
      </c>
      <c r="J6" s="1610" t="s">
        <v>1214</v>
      </c>
      <c r="K6" s="1610" t="s">
        <v>1214</v>
      </c>
      <c r="L6" s="1610" t="s">
        <v>1214</v>
      </c>
      <c r="M6" s="1611" t="s">
        <v>3168</v>
      </c>
      <c r="N6" s="1611" t="s">
        <v>3169</v>
      </c>
      <c r="O6" s="2460" t="s">
        <v>319</v>
      </c>
      <c r="P6" s="2460">
        <v>1</v>
      </c>
      <c r="Q6" s="2460" t="s">
        <v>256</v>
      </c>
      <c r="R6" s="2460" t="s">
        <v>257</v>
      </c>
      <c r="S6" s="2460" t="s">
        <v>260</v>
      </c>
      <c r="T6" s="2456" t="s">
        <v>148</v>
      </c>
      <c r="U6" s="1320"/>
      <c r="V6" s="1989"/>
      <c r="Z6" s="362"/>
    </row>
    <row r="7" spans="1:26" ht="18" x14ac:dyDescent="0.25">
      <c r="A7" s="78"/>
      <c r="B7" s="2458" t="s">
        <v>806</v>
      </c>
      <c r="C7" s="2459" t="s">
        <v>214</v>
      </c>
      <c r="D7" s="1609">
        <v>68</v>
      </c>
      <c r="E7" s="1609">
        <v>0.01</v>
      </c>
      <c r="F7" s="1609">
        <v>0.01</v>
      </c>
      <c r="G7" s="1609">
        <v>0.01</v>
      </c>
      <c r="H7" s="1609">
        <v>0.01</v>
      </c>
      <c r="I7" s="1609" t="s">
        <v>1214</v>
      </c>
      <c r="J7" s="1610">
        <v>0.01</v>
      </c>
      <c r="K7" s="1610" t="s">
        <v>1214</v>
      </c>
      <c r="L7" s="1610" t="s">
        <v>1214</v>
      </c>
      <c r="M7" s="1611" t="s">
        <v>3168</v>
      </c>
      <c r="N7" s="1611" t="s">
        <v>3169</v>
      </c>
      <c r="O7" s="2460" t="s">
        <v>319</v>
      </c>
      <c r="P7" s="2460">
        <v>1</v>
      </c>
      <c r="Q7" s="2460" t="s">
        <v>256</v>
      </c>
      <c r="R7" s="2460" t="s">
        <v>258</v>
      </c>
      <c r="S7" s="2460" t="s">
        <v>260</v>
      </c>
      <c r="T7" s="2456" t="s">
        <v>148</v>
      </c>
      <c r="U7" s="1320"/>
      <c r="V7" s="1989"/>
      <c r="Z7" s="362"/>
    </row>
    <row r="8" spans="1:26" ht="18" x14ac:dyDescent="0.25">
      <c r="A8" s="78"/>
      <c r="B8" s="2458" t="s">
        <v>807</v>
      </c>
      <c r="C8" s="2459" t="s">
        <v>215</v>
      </c>
      <c r="D8" s="1609">
        <v>165.2</v>
      </c>
      <c r="E8" s="1609">
        <v>14</v>
      </c>
      <c r="F8" s="1609">
        <v>14</v>
      </c>
      <c r="G8" s="1609">
        <v>85</v>
      </c>
      <c r="H8" s="1609">
        <v>40</v>
      </c>
      <c r="I8" s="1609">
        <v>100</v>
      </c>
      <c r="J8" s="1610">
        <v>5.6000000000000005</v>
      </c>
      <c r="K8" s="1610">
        <v>11.2575</v>
      </c>
      <c r="L8" s="1610">
        <v>5.4608400000000001</v>
      </c>
      <c r="M8" s="1611" t="s">
        <v>3168</v>
      </c>
      <c r="N8" s="1611" t="s">
        <v>3169</v>
      </c>
      <c r="O8" s="2460" t="s">
        <v>319</v>
      </c>
      <c r="P8" s="2460">
        <v>1</v>
      </c>
      <c r="Q8" s="2460" t="s">
        <v>256</v>
      </c>
      <c r="R8" s="2460" t="s">
        <v>259</v>
      </c>
      <c r="S8" s="2460" t="s">
        <v>260</v>
      </c>
      <c r="T8" s="2456" t="s">
        <v>148</v>
      </c>
      <c r="U8" s="1320" t="s">
        <v>1895</v>
      </c>
      <c r="V8" s="1989"/>
      <c r="Z8" s="362"/>
    </row>
    <row r="9" spans="1:26" ht="18" x14ac:dyDescent="0.25">
      <c r="A9" s="78"/>
      <c r="B9" s="2458" t="s">
        <v>808</v>
      </c>
      <c r="C9" s="2459" t="s">
        <v>216</v>
      </c>
      <c r="D9" s="1609">
        <v>20</v>
      </c>
      <c r="E9" s="1609">
        <v>7</v>
      </c>
      <c r="F9" s="1609">
        <v>7</v>
      </c>
      <c r="G9" s="1609">
        <v>300</v>
      </c>
      <c r="H9" s="1609">
        <v>7</v>
      </c>
      <c r="I9" s="1609">
        <v>7</v>
      </c>
      <c r="J9" s="1610">
        <v>7</v>
      </c>
      <c r="K9" s="1610">
        <v>20</v>
      </c>
      <c r="L9" s="1610">
        <v>20</v>
      </c>
      <c r="M9" s="1611" t="s">
        <v>3168</v>
      </c>
      <c r="N9" s="1611" t="s">
        <v>3169</v>
      </c>
      <c r="O9" s="2460" t="s">
        <v>319</v>
      </c>
      <c r="P9" s="2460">
        <v>1</v>
      </c>
      <c r="Q9" s="2460" t="s">
        <v>256</v>
      </c>
      <c r="R9" s="2460" t="s">
        <v>257</v>
      </c>
      <c r="S9" s="2460" t="s">
        <v>260</v>
      </c>
      <c r="T9" s="2456" t="s">
        <v>148</v>
      </c>
      <c r="U9" s="1320"/>
      <c r="V9" s="1989"/>
      <c r="Z9" s="362"/>
    </row>
    <row r="10" spans="1:26" ht="18" x14ac:dyDescent="0.25">
      <c r="A10" s="78"/>
      <c r="B10" s="2458" t="s">
        <v>809</v>
      </c>
      <c r="C10" s="2459" t="s">
        <v>217</v>
      </c>
      <c r="D10" s="1609">
        <v>17</v>
      </c>
      <c r="E10" s="1609">
        <v>0.01</v>
      </c>
      <c r="F10" s="1609">
        <v>0.01</v>
      </c>
      <c r="G10" s="1609">
        <v>0.01</v>
      </c>
      <c r="H10" s="1609">
        <v>0.01</v>
      </c>
      <c r="I10" s="1609" t="s">
        <v>1214</v>
      </c>
      <c r="J10" s="1610">
        <v>0.01</v>
      </c>
      <c r="K10" s="1610" t="s">
        <v>1214</v>
      </c>
      <c r="L10" s="1610" t="s">
        <v>1214</v>
      </c>
      <c r="M10" s="1611" t="s">
        <v>3168</v>
      </c>
      <c r="N10" s="1611" t="s">
        <v>3169</v>
      </c>
      <c r="O10" s="2460" t="s">
        <v>319</v>
      </c>
      <c r="P10" s="2460">
        <v>1</v>
      </c>
      <c r="Q10" s="2460" t="s">
        <v>256</v>
      </c>
      <c r="R10" s="2460" t="s">
        <v>258</v>
      </c>
      <c r="S10" s="2460" t="s">
        <v>260</v>
      </c>
      <c r="T10" s="2456" t="s">
        <v>148</v>
      </c>
      <c r="U10" s="1320"/>
      <c r="V10" s="1989"/>
      <c r="Z10" s="362"/>
    </row>
    <row r="11" spans="1:26" ht="18" x14ac:dyDescent="0.25">
      <c r="A11" s="78"/>
      <c r="B11" s="2458" t="s">
        <v>810</v>
      </c>
      <c r="C11" s="2459" t="s">
        <v>218</v>
      </c>
      <c r="D11" s="1609">
        <v>58.8</v>
      </c>
      <c r="E11" s="1609">
        <v>1000</v>
      </c>
      <c r="F11" s="1609">
        <v>1000</v>
      </c>
      <c r="G11" s="1609">
        <v>15000</v>
      </c>
      <c r="H11" s="1609">
        <v>18000</v>
      </c>
      <c r="I11" s="1609">
        <v>1700</v>
      </c>
      <c r="J11" s="1610">
        <v>400</v>
      </c>
      <c r="K11" s="1610">
        <v>68.736199999999997</v>
      </c>
      <c r="L11" s="1610">
        <v>29740.3</v>
      </c>
      <c r="M11" s="1611" t="s">
        <v>3168</v>
      </c>
      <c r="N11" s="1611" t="s">
        <v>3169</v>
      </c>
      <c r="O11" s="2460" t="s">
        <v>319</v>
      </c>
      <c r="P11" s="2460">
        <v>1</v>
      </c>
      <c r="Q11" s="2460" t="s">
        <v>256</v>
      </c>
      <c r="R11" s="2460" t="s">
        <v>259</v>
      </c>
      <c r="S11" s="2460" t="s">
        <v>260</v>
      </c>
      <c r="T11" s="2456" t="s">
        <v>148</v>
      </c>
      <c r="U11" s="1320"/>
      <c r="V11" s="1989"/>
      <c r="Z11" s="362"/>
    </row>
    <row r="12" spans="1:26" ht="18" x14ac:dyDescent="0.25">
      <c r="A12" s="78"/>
      <c r="B12" s="2458" t="s">
        <v>811</v>
      </c>
      <c r="C12" s="2459" t="s">
        <v>2968</v>
      </c>
      <c r="D12" s="1617">
        <v>0.1</v>
      </c>
      <c r="E12" s="1613">
        <v>20</v>
      </c>
      <c r="F12" s="1613">
        <v>20</v>
      </c>
      <c r="G12" s="1613">
        <v>5</v>
      </c>
      <c r="H12" s="1618">
        <v>1.0000000000000001E-5</v>
      </c>
      <c r="I12" s="1614">
        <v>215</v>
      </c>
      <c r="J12" s="1615">
        <v>88.800000000000011</v>
      </c>
      <c r="K12" s="1615">
        <v>5.7214199999999996E-3</v>
      </c>
      <c r="L12" s="1615">
        <v>25.152000000000001</v>
      </c>
      <c r="M12" s="1611" t="s">
        <v>3168</v>
      </c>
      <c r="N12" s="1611" t="s">
        <v>3169</v>
      </c>
      <c r="O12" s="2460" t="s">
        <v>319</v>
      </c>
      <c r="P12" s="2460">
        <v>1</v>
      </c>
      <c r="Q12" s="2460" t="s">
        <v>256</v>
      </c>
      <c r="R12" s="2460" t="s">
        <v>259</v>
      </c>
      <c r="S12" s="2460" t="s">
        <v>260</v>
      </c>
      <c r="T12" s="2456" t="s">
        <v>148</v>
      </c>
      <c r="U12" s="1320" t="s">
        <v>1621</v>
      </c>
      <c r="V12" s="1989"/>
      <c r="Z12" s="362"/>
    </row>
    <row r="13" spans="1:26" ht="18" x14ac:dyDescent="0.25">
      <c r="A13" s="78"/>
      <c r="B13" s="2458" t="s">
        <v>2138</v>
      </c>
      <c r="C13" s="2459" t="s">
        <v>2969</v>
      </c>
      <c r="D13" s="1617">
        <v>0.1</v>
      </c>
      <c r="E13" s="1613">
        <v>3</v>
      </c>
      <c r="F13" s="1613">
        <v>3</v>
      </c>
      <c r="G13" s="1613">
        <v>0.1</v>
      </c>
      <c r="H13" s="1614">
        <v>0.1</v>
      </c>
      <c r="I13" s="1614">
        <v>75</v>
      </c>
      <c r="J13" s="1615">
        <v>12</v>
      </c>
      <c r="K13" s="1615">
        <v>1.0054499999999999E-2</v>
      </c>
      <c r="L13" s="1615">
        <v>1160.96</v>
      </c>
      <c r="M13" s="1611" t="s">
        <v>3168</v>
      </c>
      <c r="N13" s="1611" t="s">
        <v>3169</v>
      </c>
      <c r="O13" s="2460" t="s">
        <v>319</v>
      </c>
      <c r="P13" s="2460">
        <v>1</v>
      </c>
      <c r="Q13" s="2460" t="s">
        <v>256</v>
      </c>
      <c r="R13" s="2460" t="s">
        <v>259</v>
      </c>
      <c r="S13" s="2460" t="s">
        <v>260</v>
      </c>
      <c r="T13" s="2456" t="s">
        <v>148</v>
      </c>
      <c r="U13" s="1320" t="s">
        <v>1621</v>
      </c>
      <c r="V13" s="1989"/>
      <c r="Z13" s="362"/>
    </row>
    <row r="14" spans="1:26" ht="18" x14ac:dyDescent="0.25">
      <c r="A14" s="78"/>
      <c r="B14" s="2458" t="s">
        <v>812</v>
      </c>
      <c r="C14" s="2459" t="s">
        <v>219</v>
      </c>
      <c r="D14" s="1609">
        <v>4.2</v>
      </c>
      <c r="E14" s="1609">
        <v>300</v>
      </c>
      <c r="F14" s="1609">
        <v>300</v>
      </c>
      <c r="G14" s="1609">
        <v>3300</v>
      </c>
      <c r="H14" s="1609">
        <v>11000</v>
      </c>
      <c r="I14" s="1609">
        <v>800</v>
      </c>
      <c r="J14" s="1610">
        <v>120</v>
      </c>
      <c r="K14" s="1610">
        <v>9.2073900000000002</v>
      </c>
      <c r="L14" s="1610">
        <v>691.67600000000004</v>
      </c>
      <c r="M14" s="1611" t="s">
        <v>3168</v>
      </c>
      <c r="N14" s="1611" t="s">
        <v>3169</v>
      </c>
      <c r="O14" s="2460" t="s">
        <v>319</v>
      </c>
      <c r="P14" s="2460">
        <v>1</v>
      </c>
      <c r="Q14" s="2460" t="s">
        <v>256</v>
      </c>
      <c r="R14" s="2460" t="s">
        <v>259</v>
      </c>
      <c r="S14" s="2460" t="s">
        <v>260</v>
      </c>
      <c r="T14" s="2456" t="s">
        <v>148</v>
      </c>
      <c r="U14" s="1320"/>
      <c r="V14" s="1989"/>
      <c r="Z14" s="362"/>
    </row>
    <row r="15" spans="1:26" ht="18" x14ac:dyDescent="0.25">
      <c r="A15" s="78"/>
      <c r="B15" s="2458" t="s">
        <v>1743</v>
      </c>
      <c r="C15" s="2459" t="s">
        <v>1136</v>
      </c>
      <c r="D15" s="1609" t="s">
        <v>1214</v>
      </c>
      <c r="E15" s="1609">
        <v>0.1</v>
      </c>
      <c r="F15" s="1609">
        <v>0.1</v>
      </c>
      <c r="G15" s="1609">
        <v>720</v>
      </c>
      <c r="H15" s="1609">
        <v>0.01</v>
      </c>
      <c r="I15" s="1609">
        <v>2</v>
      </c>
      <c r="J15" s="1610">
        <v>4.0000000000000008E-2</v>
      </c>
      <c r="K15" s="1610">
        <v>9.3004500000000004E-2</v>
      </c>
      <c r="L15" s="1610">
        <v>5032.42</v>
      </c>
      <c r="M15" s="1611" t="s">
        <v>3168</v>
      </c>
      <c r="N15" s="1611" t="s">
        <v>3169</v>
      </c>
      <c r="O15" s="2460" t="s">
        <v>319</v>
      </c>
      <c r="P15" s="2460">
        <v>1</v>
      </c>
      <c r="Q15" s="2460" t="s">
        <v>256</v>
      </c>
      <c r="R15" s="2460" t="s">
        <v>259</v>
      </c>
      <c r="S15" s="2460" t="s">
        <v>260</v>
      </c>
      <c r="T15" s="2456" t="s">
        <v>148</v>
      </c>
      <c r="U15" s="1320"/>
      <c r="V15" s="1989"/>
      <c r="Z15" s="362"/>
    </row>
    <row r="16" spans="1:26" ht="18" x14ac:dyDescent="0.25">
      <c r="A16" s="78"/>
      <c r="B16" s="2458" t="s">
        <v>813</v>
      </c>
      <c r="C16" s="2459" t="s">
        <v>2970</v>
      </c>
      <c r="D16" s="1609">
        <v>21</v>
      </c>
      <c r="E16" s="1609">
        <v>500</v>
      </c>
      <c r="F16" s="1609">
        <v>500</v>
      </c>
      <c r="G16" s="1609">
        <v>3100</v>
      </c>
      <c r="H16" s="1609">
        <v>7700</v>
      </c>
      <c r="I16" s="1609">
        <v>3100</v>
      </c>
      <c r="J16" s="1610">
        <v>200</v>
      </c>
      <c r="K16" s="1610">
        <v>134.44999999999999</v>
      </c>
      <c r="L16" s="1610">
        <v>557.21500000000003</v>
      </c>
      <c r="M16" s="1611" t="s">
        <v>3168</v>
      </c>
      <c r="N16" s="1611" t="s">
        <v>3169</v>
      </c>
      <c r="O16" s="2460" t="s">
        <v>319</v>
      </c>
      <c r="P16" s="2460">
        <v>1</v>
      </c>
      <c r="Q16" s="2460" t="s">
        <v>256</v>
      </c>
      <c r="R16" s="2460" t="s">
        <v>259</v>
      </c>
      <c r="S16" s="2460" t="s">
        <v>260</v>
      </c>
      <c r="T16" s="2456" t="s">
        <v>4558</v>
      </c>
      <c r="U16" s="1320" t="s">
        <v>1890</v>
      </c>
      <c r="V16" s="1989"/>
      <c r="Z16" s="362"/>
    </row>
    <row r="17" spans="1:26" ht="18" x14ac:dyDescent="0.25">
      <c r="A17" s="78"/>
      <c r="B17" s="2458" t="s">
        <v>4244</v>
      </c>
      <c r="C17" s="2459" t="s">
        <v>4243</v>
      </c>
      <c r="D17" s="1609">
        <v>0.1</v>
      </c>
      <c r="E17" s="1612">
        <v>500</v>
      </c>
      <c r="F17" s="1612">
        <v>500</v>
      </c>
      <c r="G17" s="1612">
        <v>10</v>
      </c>
      <c r="H17" s="1609">
        <v>2</v>
      </c>
      <c r="I17" s="1609">
        <v>850</v>
      </c>
      <c r="J17" s="1610">
        <v>148</v>
      </c>
      <c r="K17" s="1610">
        <v>0.21495500000000001</v>
      </c>
      <c r="L17" s="1610">
        <v>2449.3000000000002</v>
      </c>
      <c r="M17" s="1611" t="s">
        <v>3168</v>
      </c>
      <c r="N17" s="1611" t="s">
        <v>3169</v>
      </c>
      <c r="O17" s="2460" t="s">
        <v>319</v>
      </c>
      <c r="P17" s="2460">
        <v>1</v>
      </c>
      <c r="Q17" s="2460" t="s">
        <v>256</v>
      </c>
      <c r="R17" s="2460" t="s">
        <v>259</v>
      </c>
      <c r="S17" s="2460" t="s">
        <v>260</v>
      </c>
      <c r="T17" s="2456" t="s">
        <v>4558</v>
      </c>
      <c r="U17" s="1320" t="s">
        <v>2173</v>
      </c>
      <c r="V17" s="1989"/>
      <c r="Z17" s="362"/>
    </row>
    <row r="18" spans="1:26" ht="18" x14ac:dyDescent="0.25">
      <c r="A18" s="78"/>
      <c r="B18" s="2458" t="s">
        <v>814</v>
      </c>
      <c r="C18" s="2459" t="s">
        <v>2971</v>
      </c>
      <c r="D18" s="1609">
        <v>0.1</v>
      </c>
      <c r="E18" s="1609">
        <v>1</v>
      </c>
      <c r="F18" s="1609">
        <v>1</v>
      </c>
      <c r="G18" s="1609">
        <v>15</v>
      </c>
      <c r="H18" s="1609">
        <v>6</v>
      </c>
      <c r="I18" s="1609">
        <v>3</v>
      </c>
      <c r="J18" s="1610">
        <v>0.4</v>
      </c>
      <c r="K18" s="1610">
        <v>8.2916900000000002E-2</v>
      </c>
      <c r="L18" s="1610">
        <v>3.80681</v>
      </c>
      <c r="M18" s="1611" t="s">
        <v>3168</v>
      </c>
      <c r="N18" s="1611" t="s">
        <v>3169</v>
      </c>
      <c r="O18" s="2460" t="s">
        <v>319</v>
      </c>
      <c r="P18" s="2460">
        <v>1</v>
      </c>
      <c r="Q18" s="2460" t="s">
        <v>256</v>
      </c>
      <c r="R18" s="2460" t="s">
        <v>259</v>
      </c>
      <c r="S18" s="2460" t="s">
        <v>260</v>
      </c>
      <c r="T18" s="2456" t="s">
        <v>4558</v>
      </c>
      <c r="U18" s="1320" t="s">
        <v>1890</v>
      </c>
      <c r="V18" s="1989"/>
      <c r="Z18" s="362"/>
    </row>
    <row r="19" spans="1:26" s="117" customFormat="1" ht="18" x14ac:dyDescent="0.25">
      <c r="B19" s="2458" t="s">
        <v>2245</v>
      </c>
      <c r="C19" s="2459" t="s">
        <v>2972</v>
      </c>
      <c r="D19" s="1609">
        <v>0.1</v>
      </c>
      <c r="E19" s="1609">
        <v>33</v>
      </c>
      <c r="F19" s="1609">
        <v>33</v>
      </c>
      <c r="G19" s="1609">
        <v>4</v>
      </c>
      <c r="H19" s="1609">
        <v>250</v>
      </c>
      <c r="I19" s="1609">
        <v>50</v>
      </c>
      <c r="J19" s="1610">
        <v>13.200000000000001</v>
      </c>
      <c r="K19" s="1609">
        <v>0.13059299999999999</v>
      </c>
      <c r="L19" s="1609">
        <v>1.9027000000000001</v>
      </c>
      <c r="M19" s="1611" t="s">
        <v>3168</v>
      </c>
      <c r="N19" s="1611" t="s">
        <v>3169</v>
      </c>
      <c r="O19" s="2460" t="s">
        <v>319</v>
      </c>
      <c r="P19" s="2460">
        <v>1</v>
      </c>
      <c r="Q19" s="2460" t="s">
        <v>256</v>
      </c>
      <c r="R19" s="2460" t="s">
        <v>259</v>
      </c>
      <c r="S19" s="2460" t="s">
        <v>260</v>
      </c>
      <c r="T19" s="2456" t="s">
        <v>4558</v>
      </c>
      <c r="U19" s="1320" t="s">
        <v>1890</v>
      </c>
      <c r="V19" s="1989"/>
    </row>
    <row r="20" spans="1:26" s="117" customFormat="1" ht="18" x14ac:dyDescent="0.25">
      <c r="B20" s="2458" t="s">
        <v>2246</v>
      </c>
      <c r="C20" s="2459" t="s">
        <v>2973</v>
      </c>
      <c r="D20" s="1609">
        <v>0.1</v>
      </c>
      <c r="E20" s="1609">
        <v>20</v>
      </c>
      <c r="F20" s="1609">
        <v>20</v>
      </c>
      <c r="G20" s="1609">
        <v>3</v>
      </c>
      <c r="H20" s="1609">
        <v>150</v>
      </c>
      <c r="I20" s="1609">
        <v>30</v>
      </c>
      <c r="J20" s="1610">
        <v>8</v>
      </c>
      <c r="K20" s="1609">
        <v>7.7665999999999999E-2</v>
      </c>
      <c r="L20" s="1609">
        <v>1.28176</v>
      </c>
      <c r="M20" s="1611" t="s">
        <v>3168</v>
      </c>
      <c r="N20" s="1611" t="s">
        <v>3169</v>
      </c>
      <c r="O20" s="2460" t="s">
        <v>319</v>
      </c>
      <c r="P20" s="2460">
        <v>1</v>
      </c>
      <c r="Q20" s="2460" t="s">
        <v>256</v>
      </c>
      <c r="R20" s="2460" t="s">
        <v>259</v>
      </c>
      <c r="S20" s="2460" t="s">
        <v>260</v>
      </c>
      <c r="T20" s="2456" t="s">
        <v>4558</v>
      </c>
      <c r="U20" s="1320" t="s">
        <v>1890</v>
      </c>
      <c r="V20" s="1989"/>
    </row>
    <row r="21" spans="1:26" s="117" customFormat="1" ht="18" x14ac:dyDescent="0.25">
      <c r="B21" s="2458" t="s">
        <v>2269</v>
      </c>
      <c r="C21" s="2459" t="s">
        <v>2974</v>
      </c>
      <c r="D21" s="1609">
        <v>0.1</v>
      </c>
      <c r="E21" s="1609">
        <v>1</v>
      </c>
      <c r="F21" s="1609">
        <v>1</v>
      </c>
      <c r="G21" s="1609">
        <v>17</v>
      </c>
      <c r="H21" s="1609">
        <v>10</v>
      </c>
      <c r="I21" s="1609">
        <v>50</v>
      </c>
      <c r="J21" s="1610">
        <v>0.4</v>
      </c>
      <c r="K21" s="1609">
        <v>8.8936600000000005E-2</v>
      </c>
      <c r="L21" s="1610">
        <v>9.1267999999999994</v>
      </c>
      <c r="M21" s="1611" t="s">
        <v>3168</v>
      </c>
      <c r="N21" s="1611" t="s">
        <v>3169</v>
      </c>
      <c r="O21" s="2460" t="s">
        <v>319</v>
      </c>
      <c r="P21" s="2460">
        <v>1</v>
      </c>
      <c r="Q21" s="2460" t="s">
        <v>256</v>
      </c>
      <c r="R21" s="2460" t="s">
        <v>259</v>
      </c>
      <c r="S21" s="2460" t="s">
        <v>260</v>
      </c>
      <c r="T21" s="2456" t="s">
        <v>4558</v>
      </c>
      <c r="U21" s="1320" t="s">
        <v>1890</v>
      </c>
      <c r="V21" s="1989"/>
    </row>
    <row r="22" spans="1:26" ht="18" x14ac:dyDescent="0.25">
      <c r="A22" s="78"/>
      <c r="B22" s="2458" t="s">
        <v>815</v>
      </c>
      <c r="C22" s="2459" t="s">
        <v>2975</v>
      </c>
      <c r="D22" s="1609">
        <v>0.1</v>
      </c>
      <c r="E22" s="1609">
        <v>0.3</v>
      </c>
      <c r="F22" s="1609">
        <v>0.3</v>
      </c>
      <c r="G22" s="1609">
        <v>760</v>
      </c>
      <c r="H22" s="1609">
        <v>2</v>
      </c>
      <c r="I22" s="1609">
        <v>50</v>
      </c>
      <c r="J22" s="1610">
        <v>0.12</v>
      </c>
      <c r="K22" s="1610">
        <v>6.0346200000000003E-2</v>
      </c>
      <c r="L22" s="1610">
        <v>249.392</v>
      </c>
      <c r="M22" s="1611" t="s">
        <v>3168</v>
      </c>
      <c r="N22" s="1611" t="s">
        <v>3169</v>
      </c>
      <c r="O22" s="2460" t="s">
        <v>319</v>
      </c>
      <c r="P22" s="2460">
        <v>1</v>
      </c>
      <c r="Q22" s="2460" t="s">
        <v>256</v>
      </c>
      <c r="R22" s="2460" t="s">
        <v>259</v>
      </c>
      <c r="S22" s="2460" t="s">
        <v>260</v>
      </c>
      <c r="T22" s="2456" t="s">
        <v>4558</v>
      </c>
      <c r="U22" s="1320" t="s">
        <v>1890</v>
      </c>
      <c r="V22" s="1989"/>
      <c r="Z22" s="362"/>
    </row>
    <row r="23" spans="1:26" ht="18" x14ac:dyDescent="0.25">
      <c r="A23" s="78"/>
      <c r="B23" s="2458" t="s">
        <v>816</v>
      </c>
      <c r="C23" s="2459" t="s">
        <v>2976</v>
      </c>
      <c r="D23" s="1609">
        <v>0.1</v>
      </c>
      <c r="E23" s="1609">
        <v>0.2</v>
      </c>
      <c r="F23" s="1609">
        <v>0.2</v>
      </c>
      <c r="G23" s="1609">
        <v>180</v>
      </c>
      <c r="H23" s="1609">
        <v>0.5</v>
      </c>
      <c r="I23" s="1609">
        <v>10</v>
      </c>
      <c r="J23" s="1610">
        <v>8.0000000000000016E-2</v>
      </c>
      <c r="K23" s="1610">
        <v>3.18272E-2</v>
      </c>
      <c r="L23" s="1610">
        <v>10.330500000000001</v>
      </c>
      <c r="M23" s="1611" t="s">
        <v>3168</v>
      </c>
      <c r="N23" s="1611" t="s">
        <v>3169</v>
      </c>
      <c r="O23" s="2460" t="s">
        <v>319</v>
      </c>
      <c r="P23" s="2460">
        <v>1</v>
      </c>
      <c r="Q23" s="2460" t="s">
        <v>256</v>
      </c>
      <c r="R23" s="2460" t="s">
        <v>259</v>
      </c>
      <c r="S23" s="2460" t="s">
        <v>260</v>
      </c>
      <c r="T23" s="2456" t="s">
        <v>4558</v>
      </c>
      <c r="U23" s="1320" t="s">
        <v>1890</v>
      </c>
      <c r="V23" s="1989"/>
      <c r="Z23" s="362"/>
    </row>
    <row r="24" spans="1:26" ht="18" x14ac:dyDescent="0.25">
      <c r="A24" s="78"/>
      <c r="B24" s="2458" t="s">
        <v>817</v>
      </c>
      <c r="C24" s="2459" t="s">
        <v>2977</v>
      </c>
      <c r="D24" s="1609">
        <v>24</v>
      </c>
      <c r="E24" s="1609">
        <v>1</v>
      </c>
      <c r="F24" s="1609">
        <v>1</v>
      </c>
      <c r="G24" s="1609">
        <v>800</v>
      </c>
      <c r="H24" s="1609">
        <v>1</v>
      </c>
      <c r="I24" s="1609">
        <v>30</v>
      </c>
      <c r="J24" s="1610">
        <v>1</v>
      </c>
      <c r="K24" s="1610">
        <v>22.2742</v>
      </c>
      <c r="L24" s="1610">
        <v>79.742599999999996</v>
      </c>
      <c r="M24" s="1611" t="s">
        <v>3168</v>
      </c>
      <c r="N24" s="1611" t="s">
        <v>3169</v>
      </c>
      <c r="O24" s="2460" t="s">
        <v>334</v>
      </c>
      <c r="P24" s="2460">
        <v>1</v>
      </c>
      <c r="Q24" s="2460" t="s">
        <v>256</v>
      </c>
      <c r="R24" s="2460" t="s">
        <v>257</v>
      </c>
      <c r="S24" s="2460" t="s">
        <v>260</v>
      </c>
      <c r="T24" s="2462" t="s">
        <v>254</v>
      </c>
      <c r="U24" s="1320"/>
      <c r="V24" s="1989"/>
      <c r="Z24" s="362"/>
    </row>
    <row r="25" spans="1:26" s="117" customFormat="1" ht="18" x14ac:dyDescent="0.25">
      <c r="B25" s="2458" t="s">
        <v>2242</v>
      </c>
      <c r="C25" s="2459" t="s">
        <v>2978</v>
      </c>
      <c r="D25" s="1609" t="s">
        <v>1214</v>
      </c>
      <c r="E25" s="1609">
        <v>0.1</v>
      </c>
      <c r="F25" s="1609">
        <v>0.1</v>
      </c>
      <c r="G25" s="1609">
        <v>1.0000000000000001E-5</v>
      </c>
      <c r="H25" s="1609">
        <v>0.1</v>
      </c>
      <c r="I25" s="1609">
        <v>5</v>
      </c>
      <c r="J25" s="1610">
        <v>0.1</v>
      </c>
      <c r="K25" s="1610" t="s">
        <v>1214</v>
      </c>
      <c r="L25" s="1610" t="s">
        <v>1214</v>
      </c>
      <c r="M25" s="1611" t="s">
        <v>3168</v>
      </c>
      <c r="N25" s="1611" t="s">
        <v>3169</v>
      </c>
      <c r="O25" s="2460" t="s">
        <v>334</v>
      </c>
      <c r="P25" s="2460">
        <v>1</v>
      </c>
      <c r="Q25" s="2460" t="s">
        <v>256</v>
      </c>
      <c r="R25" s="2460" t="s">
        <v>257</v>
      </c>
      <c r="S25" s="2460" t="s">
        <v>260</v>
      </c>
      <c r="T25" s="2462" t="s">
        <v>254</v>
      </c>
      <c r="U25" s="1320" t="s">
        <v>2243</v>
      </c>
      <c r="V25" s="1989"/>
    </row>
    <row r="26" spans="1:26" s="117" customFormat="1" ht="18" x14ac:dyDescent="0.25">
      <c r="B26" s="2458" t="s">
        <v>2244</v>
      </c>
      <c r="C26" s="2459" t="s">
        <v>2979</v>
      </c>
      <c r="D26" s="1609" t="s">
        <v>1214</v>
      </c>
      <c r="E26" s="1609">
        <v>5</v>
      </c>
      <c r="F26" s="1609">
        <v>5</v>
      </c>
      <c r="G26" s="1609">
        <v>1.0000000000000001E-5</v>
      </c>
      <c r="H26" s="1609">
        <v>25</v>
      </c>
      <c r="I26" s="1609">
        <v>30</v>
      </c>
      <c r="J26" s="1610">
        <v>5</v>
      </c>
      <c r="K26" s="1610" t="s">
        <v>1214</v>
      </c>
      <c r="L26" s="1610" t="s">
        <v>1214</v>
      </c>
      <c r="M26" s="1611" t="s">
        <v>3168</v>
      </c>
      <c r="N26" s="1611" t="s">
        <v>3169</v>
      </c>
      <c r="O26" s="2460" t="s">
        <v>334</v>
      </c>
      <c r="P26" s="2460">
        <v>1</v>
      </c>
      <c r="Q26" s="2460" t="s">
        <v>256</v>
      </c>
      <c r="R26" s="2460" t="s">
        <v>257</v>
      </c>
      <c r="S26" s="2460" t="s">
        <v>260</v>
      </c>
      <c r="T26" s="2462" t="s">
        <v>254</v>
      </c>
      <c r="U26" s="1320" t="s">
        <v>2243</v>
      </c>
      <c r="V26" s="1989"/>
    </row>
    <row r="27" spans="1:26" ht="18" x14ac:dyDescent="0.25">
      <c r="A27" s="78"/>
      <c r="B27" s="2458" t="s">
        <v>818</v>
      </c>
      <c r="C27" s="2459" t="s">
        <v>2980</v>
      </c>
      <c r="D27" s="1609">
        <v>16</v>
      </c>
      <c r="E27" s="1609">
        <v>18</v>
      </c>
      <c r="F27" s="1609">
        <v>18</v>
      </c>
      <c r="G27" s="1609">
        <v>0.1</v>
      </c>
      <c r="H27" s="1609">
        <v>18</v>
      </c>
      <c r="I27" s="1609">
        <v>18</v>
      </c>
      <c r="J27" s="1610">
        <v>18</v>
      </c>
      <c r="K27" s="1610">
        <v>16.721599999999999</v>
      </c>
      <c r="L27" s="1610">
        <v>18.270700000000001</v>
      </c>
      <c r="M27" s="1611" t="s">
        <v>3168</v>
      </c>
      <c r="N27" s="1611" t="s">
        <v>3169</v>
      </c>
      <c r="O27" s="2460" t="s">
        <v>334</v>
      </c>
      <c r="P27" s="2460">
        <v>1</v>
      </c>
      <c r="Q27" s="2460" t="s">
        <v>256</v>
      </c>
      <c r="R27" s="2460" t="s">
        <v>257</v>
      </c>
      <c r="S27" s="2460" t="s">
        <v>260</v>
      </c>
      <c r="T27" s="2462" t="s">
        <v>254</v>
      </c>
      <c r="U27" s="1320"/>
      <c r="V27" s="1989"/>
      <c r="Z27" s="362"/>
    </row>
    <row r="28" spans="1:26" ht="18" x14ac:dyDescent="0.25">
      <c r="A28" s="78"/>
      <c r="B28" s="2458" t="s">
        <v>819</v>
      </c>
      <c r="C28" s="2459" t="s">
        <v>820</v>
      </c>
      <c r="D28" s="1609">
        <v>1.8</v>
      </c>
      <c r="E28" s="1609">
        <v>0.5</v>
      </c>
      <c r="F28" s="1609">
        <v>0.5</v>
      </c>
      <c r="G28" s="1609">
        <v>0.5</v>
      </c>
      <c r="H28" s="1609">
        <v>1</v>
      </c>
      <c r="I28" s="1609">
        <v>1</v>
      </c>
      <c r="J28" s="1610">
        <v>0.5</v>
      </c>
      <c r="K28" s="1610">
        <v>0.70653500000000002</v>
      </c>
      <c r="L28" s="1610">
        <v>4.3696800000000001E-2</v>
      </c>
      <c r="M28" s="1611" t="s">
        <v>3168</v>
      </c>
      <c r="N28" s="1611" t="s">
        <v>3169</v>
      </c>
      <c r="O28" s="2460" t="s">
        <v>334</v>
      </c>
      <c r="P28" s="2460">
        <v>1</v>
      </c>
      <c r="Q28" s="2460" t="s">
        <v>256</v>
      </c>
      <c r="R28" s="2460" t="s">
        <v>257</v>
      </c>
      <c r="S28" s="2460" t="s">
        <v>260</v>
      </c>
      <c r="T28" s="2462" t="s">
        <v>254</v>
      </c>
      <c r="U28" s="1320"/>
      <c r="V28" s="1989"/>
      <c r="Z28" s="362"/>
    </row>
    <row r="29" spans="1:26" ht="18" x14ac:dyDescent="0.25">
      <c r="A29" s="78"/>
      <c r="B29" s="2458" t="s">
        <v>821</v>
      </c>
      <c r="C29" s="2459" t="s">
        <v>2981</v>
      </c>
      <c r="D29" s="1609">
        <v>3.0239999999999974</v>
      </c>
      <c r="E29" s="1609">
        <v>1</v>
      </c>
      <c r="F29" s="1609">
        <v>1</v>
      </c>
      <c r="G29" s="1609">
        <v>3</v>
      </c>
      <c r="H29" s="1609">
        <v>2</v>
      </c>
      <c r="I29" s="1609">
        <v>7</v>
      </c>
      <c r="J29" s="1610">
        <v>0.4</v>
      </c>
      <c r="K29" s="1610">
        <v>0.45262400000000003</v>
      </c>
      <c r="L29" s="1610">
        <v>0.36708000000000002</v>
      </c>
      <c r="M29" s="1611" t="s">
        <v>3168</v>
      </c>
      <c r="N29" s="1611" t="s">
        <v>3169</v>
      </c>
      <c r="O29" s="2460" t="s">
        <v>334</v>
      </c>
      <c r="P29" s="2460">
        <v>1</v>
      </c>
      <c r="Q29" s="2460" t="s">
        <v>256</v>
      </c>
      <c r="R29" s="2460" t="s">
        <v>259</v>
      </c>
      <c r="S29" s="2460" t="s">
        <v>260</v>
      </c>
      <c r="T29" s="2462" t="s">
        <v>254</v>
      </c>
      <c r="U29" s="1320" t="s">
        <v>1622</v>
      </c>
      <c r="V29" s="1989"/>
      <c r="Z29" s="362"/>
    </row>
    <row r="30" spans="1:26" ht="18" x14ac:dyDescent="0.25">
      <c r="A30" s="78"/>
      <c r="B30" s="2458" t="s">
        <v>822</v>
      </c>
      <c r="C30" s="2459" t="s">
        <v>273</v>
      </c>
      <c r="D30" s="1609">
        <v>0.59</v>
      </c>
      <c r="E30" s="1609">
        <v>10</v>
      </c>
      <c r="F30" s="1609">
        <v>10</v>
      </c>
      <c r="G30" s="1609">
        <v>150</v>
      </c>
      <c r="H30" s="1609">
        <v>180</v>
      </c>
      <c r="I30" s="1609">
        <v>17</v>
      </c>
      <c r="J30" s="1610">
        <v>4</v>
      </c>
      <c r="K30" s="1610">
        <v>0.68736200000000003</v>
      </c>
      <c r="L30" s="1610">
        <v>272.16199999999998</v>
      </c>
      <c r="M30" s="1611" t="s">
        <v>3168</v>
      </c>
      <c r="N30" s="1611" t="s">
        <v>3169</v>
      </c>
      <c r="O30" s="2460" t="s">
        <v>334</v>
      </c>
      <c r="P30" s="2460">
        <v>1</v>
      </c>
      <c r="Q30" s="2460" t="s">
        <v>256</v>
      </c>
      <c r="R30" s="2460" t="s">
        <v>259</v>
      </c>
      <c r="S30" s="2460" t="s">
        <v>260</v>
      </c>
      <c r="T30" s="2462" t="s">
        <v>254</v>
      </c>
      <c r="U30" s="1320"/>
      <c r="V30" s="1989"/>
      <c r="Z30" s="362"/>
    </row>
    <row r="31" spans="1:26" ht="18" x14ac:dyDescent="0.25">
      <c r="A31" s="78"/>
      <c r="B31" s="2458" t="s">
        <v>823</v>
      </c>
      <c r="C31" s="2459" t="s">
        <v>2982</v>
      </c>
      <c r="D31" s="1609">
        <v>2.5</v>
      </c>
      <c r="E31" s="1609">
        <v>0.5</v>
      </c>
      <c r="F31" s="1609">
        <v>0.5</v>
      </c>
      <c r="G31" s="1609">
        <v>550</v>
      </c>
      <c r="H31" s="1609">
        <v>2</v>
      </c>
      <c r="I31" s="1609">
        <v>0.5</v>
      </c>
      <c r="J31" s="1610">
        <v>0.5</v>
      </c>
      <c r="K31" s="1610">
        <v>2.4294899999999999</v>
      </c>
      <c r="L31" s="1610">
        <v>19.219000000000001</v>
      </c>
      <c r="M31" s="1611" t="s">
        <v>3168</v>
      </c>
      <c r="N31" s="1611" t="s">
        <v>3169</v>
      </c>
      <c r="O31" s="2460" t="s">
        <v>790</v>
      </c>
      <c r="P31" s="2460">
        <v>1</v>
      </c>
      <c r="Q31" s="2460" t="s">
        <v>256</v>
      </c>
      <c r="R31" s="2460" t="s">
        <v>257</v>
      </c>
      <c r="S31" s="2460" t="s">
        <v>260</v>
      </c>
      <c r="T31" s="2462" t="s">
        <v>255</v>
      </c>
      <c r="U31" s="1320"/>
      <c r="V31" s="1989"/>
      <c r="Z31" s="362"/>
    </row>
    <row r="32" spans="1:26" ht="18" x14ac:dyDescent="0.25">
      <c r="A32" s="78"/>
      <c r="B32" s="2458" t="s">
        <v>2137</v>
      </c>
      <c r="C32" s="2459" t="s">
        <v>2983</v>
      </c>
      <c r="D32" s="1614">
        <v>0.1</v>
      </c>
      <c r="E32" s="1613">
        <v>60</v>
      </c>
      <c r="F32" s="1613">
        <v>60</v>
      </c>
      <c r="G32" s="1613">
        <v>0.1</v>
      </c>
      <c r="H32" s="1609">
        <v>0.01</v>
      </c>
      <c r="I32" s="1614">
        <v>370</v>
      </c>
      <c r="J32" s="1615">
        <v>88.800000000000011</v>
      </c>
      <c r="K32" s="1615">
        <v>8.2460699999999998E-2</v>
      </c>
      <c r="L32" s="1615" t="s">
        <v>1214</v>
      </c>
      <c r="M32" s="1611" t="s">
        <v>3168</v>
      </c>
      <c r="N32" s="1611" t="s">
        <v>3169</v>
      </c>
      <c r="O32" s="2460" t="s">
        <v>790</v>
      </c>
      <c r="P32" s="2460">
        <v>1</v>
      </c>
      <c r="Q32" s="2460" t="s">
        <v>256</v>
      </c>
      <c r="R32" s="2460" t="s">
        <v>259</v>
      </c>
      <c r="S32" s="2460" t="s">
        <v>260</v>
      </c>
      <c r="T32" s="2462" t="s">
        <v>255</v>
      </c>
      <c r="U32" s="1320" t="s">
        <v>1621</v>
      </c>
      <c r="V32" s="1989"/>
      <c r="Z32" s="362"/>
    </row>
    <row r="33" spans="1:26" ht="18" x14ac:dyDescent="0.25">
      <c r="A33" s="78"/>
      <c r="B33" s="2458" t="s">
        <v>824</v>
      </c>
      <c r="C33" s="2459" t="s">
        <v>2984</v>
      </c>
      <c r="D33" s="1609">
        <v>0.45</v>
      </c>
      <c r="E33" s="1609">
        <v>0.01</v>
      </c>
      <c r="F33" s="1609">
        <v>0.01</v>
      </c>
      <c r="G33" s="1609">
        <v>0.01</v>
      </c>
      <c r="H33" s="1609">
        <v>0.03</v>
      </c>
      <c r="I33" s="1609">
        <v>0.03</v>
      </c>
      <c r="J33" s="1610">
        <v>0.01</v>
      </c>
      <c r="K33" s="1610">
        <v>1.58154E-2</v>
      </c>
      <c r="L33" s="1610">
        <v>1.2296200000000001E-3</v>
      </c>
      <c r="M33" s="1611" t="s">
        <v>3168</v>
      </c>
      <c r="N33" s="1611" t="s">
        <v>3169</v>
      </c>
      <c r="O33" s="2460" t="s">
        <v>790</v>
      </c>
      <c r="P33" s="2460">
        <v>1</v>
      </c>
      <c r="Q33" s="2460" t="s">
        <v>256</v>
      </c>
      <c r="R33" s="2460" t="s">
        <v>257</v>
      </c>
      <c r="S33" s="2460" t="s">
        <v>260</v>
      </c>
      <c r="T33" s="2462" t="s">
        <v>255</v>
      </c>
      <c r="U33" s="1320"/>
      <c r="V33" s="1989"/>
      <c r="Z33" s="362"/>
    </row>
    <row r="34" spans="1:26" ht="18" x14ac:dyDescent="0.25">
      <c r="A34" s="78"/>
      <c r="B34" s="2458" t="s">
        <v>825</v>
      </c>
      <c r="C34" s="2459" t="s">
        <v>2985</v>
      </c>
      <c r="D34" s="1609">
        <v>0.30619999999999914</v>
      </c>
      <c r="E34" s="1609">
        <v>0.5</v>
      </c>
      <c r="F34" s="1609">
        <v>0.5</v>
      </c>
      <c r="G34" s="1609">
        <v>0.5</v>
      </c>
      <c r="H34" s="1609">
        <v>0.5</v>
      </c>
      <c r="I34" s="1609">
        <v>2</v>
      </c>
      <c r="J34" s="1610">
        <v>0.2</v>
      </c>
      <c r="K34" s="1610">
        <v>9.4416E-2</v>
      </c>
      <c r="L34" s="1610">
        <v>0.104183</v>
      </c>
      <c r="M34" s="1611" t="s">
        <v>3168</v>
      </c>
      <c r="N34" s="1611" t="s">
        <v>3169</v>
      </c>
      <c r="O34" s="2460" t="s">
        <v>790</v>
      </c>
      <c r="P34" s="2460">
        <v>1</v>
      </c>
      <c r="Q34" s="2460" t="s">
        <v>256</v>
      </c>
      <c r="R34" s="2460" t="s">
        <v>259</v>
      </c>
      <c r="S34" s="2460" t="s">
        <v>260</v>
      </c>
      <c r="T34" s="2462" t="s">
        <v>255</v>
      </c>
      <c r="U34" s="1320" t="s">
        <v>1622</v>
      </c>
      <c r="V34" s="1989"/>
      <c r="Z34" s="362"/>
    </row>
    <row r="35" spans="1:26" ht="18" x14ac:dyDescent="0.25">
      <c r="A35" s="78"/>
      <c r="B35" s="2458" t="s">
        <v>826</v>
      </c>
      <c r="C35" s="2459" t="s">
        <v>2986</v>
      </c>
      <c r="D35" s="1609">
        <v>5.8999999999999997E-2</v>
      </c>
      <c r="E35" s="1609">
        <v>2</v>
      </c>
      <c r="F35" s="1609">
        <v>2</v>
      </c>
      <c r="G35" s="1609">
        <v>25</v>
      </c>
      <c r="H35" s="1609">
        <v>45</v>
      </c>
      <c r="I35" s="1609">
        <v>3</v>
      </c>
      <c r="J35" s="1610">
        <v>0.8</v>
      </c>
      <c r="K35" s="1610">
        <v>8.4211599999999998E-2</v>
      </c>
      <c r="L35" s="1610">
        <v>33.600200000000001</v>
      </c>
      <c r="M35" s="1611" t="s">
        <v>3168</v>
      </c>
      <c r="N35" s="1611" t="s">
        <v>3169</v>
      </c>
      <c r="O35" s="2460" t="s">
        <v>790</v>
      </c>
      <c r="P35" s="2460">
        <v>1</v>
      </c>
      <c r="Q35" s="2460" t="s">
        <v>256</v>
      </c>
      <c r="R35" s="2460" t="s">
        <v>259</v>
      </c>
      <c r="S35" s="2460" t="s">
        <v>260</v>
      </c>
      <c r="T35" s="2462" t="s">
        <v>255</v>
      </c>
      <c r="U35" s="1320"/>
      <c r="V35" s="1989"/>
      <c r="Z35" s="362"/>
    </row>
    <row r="36" spans="1:26" ht="18" x14ac:dyDescent="0.25">
      <c r="A36" s="78"/>
      <c r="B36" s="2458" t="s">
        <v>827</v>
      </c>
      <c r="C36" s="2459" t="s">
        <v>2987</v>
      </c>
      <c r="D36" s="1609" t="s">
        <v>1214</v>
      </c>
      <c r="E36" s="1609">
        <v>2</v>
      </c>
      <c r="F36" s="1609">
        <v>2</v>
      </c>
      <c r="G36" s="1609" t="s">
        <v>1214</v>
      </c>
      <c r="H36" s="1609">
        <v>2</v>
      </c>
      <c r="I36" s="1609">
        <v>2</v>
      </c>
      <c r="J36" s="1610" t="s">
        <v>1214</v>
      </c>
      <c r="K36" s="1610">
        <v>6.5832799999999997E-2</v>
      </c>
      <c r="L36" s="1610" t="s">
        <v>1214</v>
      </c>
      <c r="M36" s="1611" t="s">
        <v>3168</v>
      </c>
      <c r="N36" s="1611" t="s">
        <v>3169</v>
      </c>
      <c r="O36" s="2460" t="s">
        <v>828</v>
      </c>
      <c r="P36" s="2460">
        <v>1</v>
      </c>
      <c r="Q36" s="2460" t="s">
        <v>256</v>
      </c>
      <c r="R36" s="2460" t="s">
        <v>257</v>
      </c>
      <c r="S36" s="2460" t="s">
        <v>800</v>
      </c>
      <c r="T36" s="2462" t="s">
        <v>4559</v>
      </c>
      <c r="U36" s="1320"/>
      <c r="V36" s="1989"/>
      <c r="Z36" s="362"/>
    </row>
    <row r="37" spans="1:26" ht="18" x14ac:dyDescent="0.25">
      <c r="A37" s="78"/>
      <c r="B37" s="2458" t="s">
        <v>829</v>
      </c>
      <c r="C37" s="2459" t="s">
        <v>2988</v>
      </c>
      <c r="D37" s="1609" t="s">
        <v>1214</v>
      </c>
      <c r="E37" s="1609">
        <v>0.01</v>
      </c>
      <c r="F37" s="1609">
        <v>0.01</v>
      </c>
      <c r="G37" s="1609">
        <v>10</v>
      </c>
      <c r="H37" s="1609">
        <v>2.5</v>
      </c>
      <c r="I37" s="1609">
        <v>0.5</v>
      </c>
      <c r="J37" s="1610">
        <v>0.01</v>
      </c>
      <c r="K37" s="1610">
        <v>4.4120499999999998E-3</v>
      </c>
      <c r="L37" s="1610">
        <v>19.578700000000001</v>
      </c>
      <c r="M37" s="1611" t="s">
        <v>3168</v>
      </c>
      <c r="N37" s="1611" t="s">
        <v>3169</v>
      </c>
      <c r="O37" s="2460" t="s">
        <v>319</v>
      </c>
      <c r="P37" s="2460">
        <v>1</v>
      </c>
      <c r="Q37" s="2460" t="s">
        <v>256</v>
      </c>
      <c r="R37" s="2460" t="s">
        <v>257</v>
      </c>
      <c r="S37" s="2460" t="s">
        <v>260</v>
      </c>
      <c r="T37" s="2462" t="s">
        <v>148</v>
      </c>
      <c r="U37" s="1320"/>
      <c r="V37" s="1989"/>
      <c r="Z37" s="362"/>
    </row>
    <row r="38" spans="1:26" ht="18" x14ac:dyDescent="0.25">
      <c r="A38" s="78"/>
      <c r="B38" s="2458" t="s">
        <v>830</v>
      </c>
      <c r="C38" s="2459" t="s">
        <v>2989</v>
      </c>
      <c r="D38" s="1609" t="s">
        <v>1214</v>
      </c>
      <c r="E38" s="1609">
        <v>0.01</v>
      </c>
      <c r="F38" s="1609">
        <v>0.01</v>
      </c>
      <c r="G38" s="1609">
        <v>10</v>
      </c>
      <c r="H38" s="1609">
        <v>0.01</v>
      </c>
      <c r="I38" s="1609">
        <v>1</v>
      </c>
      <c r="J38" s="1610">
        <v>0.01</v>
      </c>
      <c r="K38" s="1610">
        <v>2.79767E-2</v>
      </c>
      <c r="L38" s="1610">
        <v>1.12587E-2</v>
      </c>
      <c r="M38" s="1611" t="s">
        <v>3168</v>
      </c>
      <c r="N38" s="1611" t="s">
        <v>3169</v>
      </c>
      <c r="O38" s="2460" t="s">
        <v>319</v>
      </c>
      <c r="P38" s="2460">
        <v>1</v>
      </c>
      <c r="Q38" s="2460" t="s">
        <v>256</v>
      </c>
      <c r="R38" s="2460" t="s">
        <v>257</v>
      </c>
      <c r="S38" s="2460" t="s">
        <v>260</v>
      </c>
      <c r="T38" s="2462" t="s">
        <v>148</v>
      </c>
      <c r="U38" s="1320"/>
      <c r="V38" s="1989"/>
      <c r="Z38" s="362"/>
    </row>
    <row r="39" spans="1:26" ht="18" x14ac:dyDescent="0.25">
      <c r="A39" s="78"/>
      <c r="B39" s="2458" t="s">
        <v>831</v>
      </c>
      <c r="C39" s="2463" t="s">
        <v>2990</v>
      </c>
      <c r="D39" s="2464">
        <v>90</v>
      </c>
      <c r="E39" s="2464">
        <v>74</v>
      </c>
      <c r="F39" s="2464">
        <v>74</v>
      </c>
      <c r="G39" s="2464">
        <v>136</v>
      </c>
      <c r="H39" s="2464">
        <v>123</v>
      </c>
      <c r="I39" s="2464">
        <v>55</v>
      </c>
      <c r="J39" s="1610">
        <v>74</v>
      </c>
      <c r="K39" s="1610">
        <v>50.839700000000001</v>
      </c>
      <c r="L39" s="1610">
        <v>82.4131</v>
      </c>
      <c r="M39" s="1611" t="s">
        <v>3168</v>
      </c>
      <c r="N39" s="1611" t="s">
        <v>3169</v>
      </c>
      <c r="O39" s="2460" t="s">
        <v>1135</v>
      </c>
      <c r="P39" s="2460">
        <v>1</v>
      </c>
      <c r="Q39" s="2460" t="s">
        <v>256</v>
      </c>
      <c r="R39" s="2460" t="s">
        <v>257</v>
      </c>
      <c r="S39" s="2460" t="s">
        <v>260</v>
      </c>
      <c r="T39" s="2462" t="s">
        <v>4560</v>
      </c>
      <c r="U39" s="1320"/>
      <c r="V39" s="1989"/>
      <c r="Z39" s="362"/>
    </row>
    <row r="40" spans="1:26" ht="18" x14ac:dyDescent="0.25">
      <c r="A40" s="78"/>
      <c r="B40" s="2458" t="s">
        <v>832</v>
      </c>
      <c r="C40" s="2459" t="s">
        <v>2504</v>
      </c>
      <c r="D40" s="1609">
        <v>27.7</v>
      </c>
      <c r="E40" s="1609">
        <v>460</v>
      </c>
      <c r="F40" s="1609">
        <v>460</v>
      </c>
      <c r="G40" s="1609">
        <v>6000</v>
      </c>
      <c r="H40" s="1609">
        <v>6500</v>
      </c>
      <c r="I40" s="1609">
        <v>1100</v>
      </c>
      <c r="J40" s="1610">
        <v>184</v>
      </c>
      <c r="K40" s="1610">
        <v>37.444000000000003</v>
      </c>
      <c r="L40" s="1610">
        <v>9762.5400000000009</v>
      </c>
      <c r="M40" s="1611" t="s">
        <v>3168</v>
      </c>
      <c r="N40" s="1611" t="s">
        <v>3169</v>
      </c>
      <c r="O40" s="2460" t="s">
        <v>358</v>
      </c>
      <c r="P40" s="2460">
        <v>1</v>
      </c>
      <c r="Q40" s="2460" t="s">
        <v>256</v>
      </c>
      <c r="R40" s="2460" t="s">
        <v>259</v>
      </c>
      <c r="S40" s="2460" t="s">
        <v>260</v>
      </c>
      <c r="T40" s="2462" t="s">
        <v>4561</v>
      </c>
      <c r="U40" s="1320"/>
      <c r="V40" s="1989"/>
      <c r="Z40" s="362"/>
    </row>
    <row r="41" spans="1:26" ht="18" x14ac:dyDescent="0.25">
      <c r="A41" s="78"/>
      <c r="B41" s="2458" t="s">
        <v>1161</v>
      </c>
      <c r="C41" s="2459" t="s">
        <v>2991</v>
      </c>
      <c r="D41" s="1609">
        <v>109.9</v>
      </c>
      <c r="E41" s="1609">
        <v>35</v>
      </c>
      <c r="F41" s="1609">
        <v>35</v>
      </c>
      <c r="G41" s="1609">
        <v>300</v>
      </c>
      <c r="H41" s="1609">
        <v>130</v>
      </c>
      <c r="I41" s="1609">
        <v>120</v>
      </c>
      <c r="J41" s="1610">
        <v>35</v>
      </c>
      <c r="K41" s="1610">
        <v>108.55200000000001</v>
      </c>
      <c r="L41" s="1610">
        <v>131.96799999999999</v>
      </c>
      <c r="M41" s="1611" t="s">
        <v>3168</v>
      </c>
      <c r="N41" s="1611" t="s">
        <v>3169</v>
      </c>
      <c r="O41" s="2460" t="s">
        <v>1047</v>
      </c>
      <c r="P41" s="2460">
        <v>1</v>
      </c>
      <c r="Q41" s="2460" t="s">
        <v>256</v>
      </c>
      <c r="R41" s="2460" t="s">
        <v>257</v>
      </c>
      <c r="S41" s="2460" t="s">
        <v>260</v>
      </c>
      <c r="T41" s="2462" t="s">
        <v>1114</v>
      </c>
      <c r="U41" s="1320"/>
      <c r="V41" s="1989" t="s">
        <v>1063</v>
      </c>
      <c r="Z41" s="362"/>
    </row>
    <row r="42" spans="1:26" ht="18" x14ac:dyDescent="0.25">
      <c r="A42" s="78"/>
      <c r="B42" s="2458" t="s">
        <v>1162</v>
      </c>
      <c r="C42" s="2459" t="s">
        <v>2992</v>
      </c>
      <c r="D42" s="1609">
        <v>300</v>
      </c>
      <c r="E42" s="1609">
        <v>150</v>
      </c>
      <c r="F42" s="1609">
        <v>150</v>
      </c>
      <c r="G42" s="1609">
        <v>580</v>
      </c>
      <c r="H42" s="1609">
        <v>300</v>
      </c>
      <c r="I42" s="1609">
        <v>300</v>
      </c>
      <c r="J42" s="1610">
        <v>150</v>
      </c>
      <c r="K42" s="1610">
        <v>296.71600000000001</v>
      </c>
      <c r="L42" s="1610">
        <v>353.779</v>
      </c>
      <c r="M42" s="1611" t="s">
        <v>3168</v>
      </c>
      <c r="N42" s="1611" t="s">
        <v>3169</v>
      </c>
      <c r="O42" s="2460" t="s">
        <v>1049</v>
      </c>
      <c r="P42" s="2460">
        <v>1</v>
      </c>
      <c r="Q42" s="2460" t="s">
        <v>256</v>
      </c>
      <c r="R42" s="2460" t="s">
        <v>257</v>
      </c>
      <c r="S42" s="2460" t="s">
        <v>260</v>
      </c>
      <c r="T42" s="2462" t="s">
        <v>142</v>
      </c>
      <c r="U42" s="1320"/>
      <c r="V42" s="1989" t="s">
        <v>1064</v>
      </c>
      <c r="Z42" s="362"/>
    </row>
    <row r="43" spans="1:26" ht="18" x14ac:dyDescent="0.25">
      <c r="A43" s="78"/>
      <c r="B43" s="2458" t="s">
        <v>999</v>
      </c>
      <c r="C43" s="2459" t="s">
        <v>985</v>
      </c>
      <c r="D43" s="1609">
        <v>150</v>
      </c>
      <c r="E43" s="1609">
        <v>150</v>
      </c>
      <c r="F43" s="1609">
        <v>150</v>
      </c>
      <c r="G43" s="1609">
        <v>200</v>
      </c>
      <c r="H43" s="1609">
        <v>150</v>
      </c>
      <c r="I43" s="1609">
        <v>150</v>
      </c>
      <c r="J43" s="1610">
        <v>150</v>
      </c>
      <c r="K43" s="1610">
        <v>149.751</v>
      </c>
      <c r="L43" s="1610">
        <v>154.29</v>
      </c>
      <c r="M43" s="1611" t="s">
        <v>3168</v>
      </c>
      <c r="N43" s="1611" t="s">
        <v>3169</v>
      </c>
      <c r="O43" s="2460" t="s">
        <v>986</v>
      </c>
      <c r="P43" s="2460">
        <v>1</v>
      </c>
      <c r="Q43" s="2460" t="s">
        <v>256</v>
      </c>
      <c r="R43" s="2460" t="s">
        <v>257</v>
      </c>
      <c r="S43" s="2460" t="s">
        <v>260</v>
      </c>
      <c r="T43" s="2462" t="s">
        <v>987</v>
      </c>
      <c r="U43" s="1320"/>
      <c r="V43" s="1989"/>
      <c r="Z43" s="362"/>
    </row>
    <row r="44" spans="1:26" ht="18" x14ac:dyDescent="0.25">
      <c r="A44" s="78"/>
      <c r="B44" s="2458" t="s">
        <v>833</v>
      </c>
      <c r="C44" s="2459" t="s">
        <v>353</v>
      </c>
      <c r="D44" s="1609">
        <v>15</v>
      </c>
      <c r="E44" s="1609">
        <v>15</v>
      </c>
      <c r="F44" s="1609">
        <v>15</v>
      </c>
      <c r="G44" s="1609">
        <v>120</v>
      </c>
      <c r="H44" s="1609">
        <v>15</v>
      </c>
      <c r="I44" s="1609">
        <v>7</v>
      </c>
      <c r="J44" s="1610">
        <v>15</v>
      </c>
      <c r="K44" s="1610">
        <v>14.759499999999999</v>
      </c>
      <c r="L44" s="1610">
        <v>19.3764</v>
      </c>
      <c r="M44" s="1611" t="s">
        <v>3168</v>
      </c>
      <c r="N44" s="1611" t="s">
        <v>3169</v>
      </c>
      <c r="O44" s="2460" t="s">
        <v>834</v>
      </c>
      <c r="P44" s="2460">
        <v>1</v>
      </c>
      <c r="Q44" s="2460" t="s">
        <v>256</v>
      </c>
      <c r="R44" s="2460" t="s">
        <v>257</v>
      </c>
      <c r="S44" s="2460" t="s">
        <v>260</v>
      </c>
      <c r="T44" s="2462" t="s">
        <v>988</v>
      </c>
      <c r="U44" s="1320"/>
      <c r="V44" s="1989"/>
      <c r="Z44" s="362"/>
    </row>
    <row r="45" spans="1:26" ht="18" x14ac:dyDescent="0.25">
      <c r="A45" s="78"/>
      <c r="B45" s="2458" t="s">
        <v>1045</v>
      </c>
      <c r="C45" s="2459" t="s">
        <v>1046</v>
      </c>
      <c r="D45" s="1609">
        <v>16</v>
      </c>
      <c r="E45" s="1609">
        <v>15</v>
      </c>
      <c r="F45" s="1609">
        <v>15</v>
      </c>
      <c r="G45" s="1609">
        <v>170</v>
      </c>
      <c r="H45" s="1609">
        <v>16</v>
      </c>
      <c r="I45" s="1609">
        <v>5</v>
      </c>
      <c r="J45" s="1610">
        <v>15</v>
      </c>
      <c r="K45" s="1610">
        <v>16.0077</v>
      </c>
      <c r="L45" s="1610">
        <v>16.0748</v>
      </c>
      <c r="M45" s="1611" t="s">
        <v>3168</v>
      </c>
      <c r="N45" s="1611" t="s">
        <v>3169</v>
      </c>
      <c r="O45" s="2460" t="s">
        <v>1048</v>
      </c>
      <c r="P45" s="2460">
        <v>1</v>
      </c>
      <c r="Q45" s="2460" t="s">
        <v>256</v>
      </c>
      <c r="R45" s="2460" t="s">
        <v>257</v>
      </c>
      <c r="S45" s="2460" t="s">
        <v>260</v>
      </c>
      <c r="T45" s="2462" t="s">
        <v>474</v>
      </c>
      <c r="U45" s="1320"/>
      <c r="V45" s="1989"/>
      <c r="Z45" s="362"/>
    </row>
    <row r="46" spans="1:26" ht="18.75" customHeight="1" x14ac:dyDescent="0.25">
      <c r="B46" s="2465" t="s">
        <v>1601</v>
      </c>
      <c r="C46" s="2459" t="s">
        <v>2993</v>
      </c>
      <c r="D46" s="1609" t="s">
        <v>1214</v>
      </c>
      <c r="E46" s="2461">
        <v>1E-50</v>
      </c>
      <c r="F46" s="2461" t="s">
        <v>1214</v>
      </c>
      <c r="G46" s="2461" t="s">
        <v>1214</v>
      </c>
      <c r="H46" s="2461" t="s">
        <v>1214</v>
      </c>
      <c r="I46" s="2461" t="s">
        <v>1214</v>
      </c>
      <c r="J46" s="1610" t="s">
        <v>1214</v>
      </c>
      <c r="K46" s="1610">
        <v>4.1250599999999998E-3</v>
      </c>
      <c r="L46" s="1610">
        <v>8.43005E-2</v>
      </c>
      <c r="M46" s="1611" t="s">
        <v>3168</v>
      </c>
      <c r="N46" s="1611" t="s">
        <v>3169</v>
      </c>
      <c r="O46" s="2460" t="s">
        <v>836</v>
      </c>
      <c r="P46" s="2460">
        <v>1</v>
      </c>
      <c r="Q46" s="2460" t="s">
        <v>256</v>
      </c>
      <c r="R46" s="2460" t="s">
        <v>257</v>
      </c>
      <c r="S46" s="2460" t="s">
        <v>260</v>
      </c>
      <c r="T46" s="2462" t="s">
        <v>3060</v>
      </c>
      <c r="U46" s="1320"/>
      <c r="V46" s="1989"/>
      <c r="Z46" s="362"/>
    </row>
    <row r="47" spans="1:26" ht="18" x14ac:dyDescent="0.25">
      <c r="B47" s="2458" t="s">
        <v>838</v>
      </c>
      <c r="C47" s="2459" t="s">
        <v>2994</v>
      </c>
      <c r="D47" s="1609" t="s">
        <v>1214</v>
      </c>
      <c r="E47" s="2461">
        <v>1E-50</v>
      </c>
      <c r="F47" s="1609" t="s">
        <v>1214</v>
      </c>
      <c r="G47" s="1609" t="s">
        <v>1214</v>
      </c>
      <c r="H47" s="1609" t="s">
        <v>1214</v>
      </c>
      <c r="I47" s="2461" t="s">
        <v>1214</v>
      </c>
      <c r="J47" s="1610" t="s">
        <v>1214</v>
      </c>
      <c r="K47" s="1610" t="s">
        <v>1214</v>
      </c>
      <c r="L47" s="1610" t="s">
        <v>1214</v>
      </c>
      <c r="M47" s="1611" t="s">
        <v>3168</v>
      </c>
      <c r="N47" s="1611" t="s">
        <v>3169</v>
      </c>
      <c r="O47" s="2460" t="s">
        <v>836</v>
      </c>
      <c r="P47" s="2460">
        <v>1</v>
      </c>
      <c r="Q47" s="2460" t="s">
        <v>256</v>
      </c>
      <c r="R47" s="2460" t="s">
        <v>259</v>
      </c>
      <c r="S47" s="2460" t="s">
        <v>260</v>
      </c>
      <c r="T47" s="2462" t="s">
        <v>3060</v>
      </c>
      <c r="U47" s="1320"/>
      <c r="V47" s="1989"/>
      <c r="Z47" s="362"/>
    </row>
    <row r="48" spans="1:26" ht="18" x14ac:dyDescent="0.25">
      <c r="B48" s="2458" t="s">
        <v>837</v>
      </c>
      <c r="C48" s="2459" t="s">
        <v>2995</v>
      </c>
      <c r="D48" s="1609" t="s">
        <v>1214</v>
      </c>
      <c r="E48" s="2461">
        <v>1E-50</v>
      </c>
      <c r="F48" s="1609" t="s">
        <v>1214</v>
      </c>
      <c r="G48" s="1609" t="s">
        <v>1214</v>
      </c>
      <c r="H48" s="1609" t="s">
        <v>1214</v>
      </c>
      <c r="I48" s="2461" t="s">
        <v>1214</v>
      </c>
      <c r="J48" s="1610" t="s">
        <v>1214</v>
      </c>
      <c r="K48" s="1610" t="s">
        <v>1214</v>
      </c>
      <c r="L48" s="1610" t="s">
        <v>1214</v>
      </c>
      <c r="M48" s="1611" t="s">
        <v>3168</v>
      </c>
      <c r="N48" s="1611" t="s">
        <v>3169</v>
      </c>
      <c r="O48" s="2460" t="s">
        <v>836</v>
      </c>
      <c r="P48" s="2460">
        <v>1</v>
      </c>
      <c r="Q48" s="2460" t="s">
        <v>256</v>
      </c>
      <c r="R48" s="2460" t="s">
        <v>259</v>
      </c>
      <c r="S48" s="2460" t="s">
        <v>260</v>
      </c>
      <c r="T48" s="2462" t="s">
        <v>3060</v>
      </c>
      <c r="U48" s="1320"/>
      <c r="V48" s="1989"/>
      <c r="Z48" s="362"/>
    </row>
    <row r="49" spans="1:26" ht="18.75" customHeight="1" x14ac:dyDescent="0.25">
      <c r="B49" s="2465" t="s">
        <v>463</v>
      </c>
      <c r="C49" s="2459" t="s">
        <v>2996</v>
      </c>
      <c r="D49" s="1616">
        <v>0.01</v>
      </c>
      <c r="E49" s="1616">
        <v>0.01</v>
      </c>
      <c r="F49" s="1609" t="s">
        <v>1214</v>
      </c>
      <c r="G49" s="1609" t="s">
        <v>1214</v>
      </c>
      <c r="H49" s="1609" t="s">
        <v>1214</v>
      </c>
      <c r="I49" s="2461" t="s">
        <v>1214</v>
      </c>
      <c r="J49" s="1610" t="s">
        <v>1214</v>
      </c>
      <c r="K49" s="1610">
        <v>9.2871700000000008E-3</v>
      </c>
      <c r="L49" s="1610">
        <v>2.9915300000000001E-3</v>
      </c>
      <c r="M49" s="1611" t="s">
        <v>3168</v>
      </c>
      <c r="N49" s="1611" t="s">
        <v>3169</v>
      </c>
      <c r="O49" s="2460" t="s">
        <v>836</v>
      </c>
      <c r="P49" s="2460">
        <v>1</v>
      </c>
      <c r="Q49" s="2460" t="s">
        <v>256</v>
      </c>
      <c r="R49" s="2460" t="s">
        <v>259</v>
      </c>
      <c r="S49" s="2460" t="s">
        <v>260</v>
      </c>
      <c r="T49" s="2462" t="s">
        <v>3060</v>
      </c>
      <c r="U49" s="1320"/>
      <c r="V49" s="1989"/>
      <c r="Z49" s="362"/>
    </row>
    <row r="50" spans="1:26" ht="18" x14ac:dyDescent="0.25">
      <c r="B50" s="2458" t="s">
        <v>462</v>
      </c>
      <c r="C50" s="2459" t="s">
        <v>2997</v>
      </c>
      <c r="D50" s="1609" t="s">
        <v>1214</v>
      </c>
      <c r="E50" s="2461">
        <v>1E-50</v>
      </c>
      <c r="F50" s="1609" t="s">
        <v>1214</v>
      </c>
      <c r="G50" s="1609" t="s">
        <v>1214</v>
      </c>
      <c r="H50" s="1609" t="s">
        <v>1214</v>
      </c>
      <c r="I50" s="2461" t="s">
        <v>1214</v>
      </c>
      <c r="J50" s="1610" t="s">
        <v>1214</v>
      </c>
      <c r="K50" s="1610" t="s">
        <v>1214</v>
      </c>
      <c r="L50" s="1610" t="s">
        <v>1214</v>
      </c>
      <c r="M50" s="1611" t="s">
        <v>3168</v>
      </c>
      <c r="N50" s="1611" t="s">
        <v>3169</v>
      </c>
      <c r="O50" s="2460" t="s">
        <v>836</v>
      </c>
      <c r="P50" s="2460">
        <v>1</v>
      </c>
      <c r="Q50" s="2460" t="s">
        <v>256</v>
      </c>
      <c r="R50" s="2460" t="s">
        <v>259</v>
      </c>
      <c r="S50" s="2460" t="s">
        <v>260</v>
      </c>
      <c r="T50" s="2462" t="s">
        <v>3060</v>
      </c>
      <c r="U50" s="1320"/>
      <c r="V50" s="1989"/>
      <c r="Z50" s="362"/>
    </row>
    <row r="51" spans="1:26" ht="18" x14ac:dyDescent="0.25">
      <c r="B51" s="2458" t="s">
        <v>461</v>
      </c>
      <c r="C51" s="2459" t="s">
        <v>2998</v>
      </c>
      <c r="D51" s="1609" t="s">
        <v>1214</v>
      </c>
      <c r="E51" s="2461">
        <v>1E-50</v>
      </c>
      <c r="F51" s="1609" t="s">
        <v>1214</v>
      </c>
      <c r="G51" s="1609" t="s">
        <v>1214</v>
      </c>
      <c r="H51" s="1609" t="s">
        <v>1214</v>
      </c>
      <c r="I51" s="2461" t="s">
        <v>1214</v>
      </c>
      <c r="J51" s="1610" t="s">
        <v>1214</v>
      </c>
      <c r="K51" s="1610" t="s">
        <v>1214</v>
      </c>
      <c r="L51" s="1610" t="s">
        <v>1214</v>
      </c>
      <c r="M51" s="1611" t="s">
        <v>3168</v>
      </c>
      <c r="N51" s="1611" t="s">
        <v>3169</v>
      </c>
      <c r="O51" s="2460" t="s">
        <v>836</v>
      </c>
      <c r="P51" s="2460">
        <v>1</v>
      </c>
      <c r="Q51" s="2460" t="s">
        <v>256</v>
      </c>
      <c r="R51" s="2460" t="s">
        <v>259</v>
      </c>
      <c r="S51" s="2460" t="s">
        <v>260</v>
      </c>
      <c r="T51" s="2462" t="s">
        <v>3060</v>
      </c>
      <c r="U51" s="1320"/>
      <c r="V51" s="1989"/>
      <c r="Z51" s="362"/>
    </row>
    <row r="52" spans="1:26" s="3" customFormat="1" ht="18" x14ac:dyDescent="0.25">
      <c r="A52" s="5"/>
      <c r="B52" s="2466" t="s">
        <v>845</v>
      </c>
      <c r="C52" s="2459" t="s">
        <v>2999</v>
      </c>
      <c r="D52" s="1609" t="s">
        <v>1214</v>
      </c>
      <c r="E52" s="2461">
        <v>1E-50</v>
      </c>
      <c r="F52" s="2461" t="s">
        <v>1214</v>
      </c>
      <c r="G52" s="2461" t="s">
        <v>1214</v>
      </c>
      <c r="H52" s="2461" t="s">
        <v>1214</v>
      </c>
      <c r="I52" s="2461" t="s">
        <v>1214</v>
      </c>
      <c r="J52" s="1610" t="s">
        <v>1214</v>
      </c>
      <c r="K52" s="1610" t="s">
        <v>1214</v>
      </c>
      <c r="L52" s="1610" t="s">
        <v>1214</v>
      </c>
      <c r="M52" s="1611" t="s">
        <v>3168</v>
      </c>
      <c r="N52" s="1611" t="s">
        <v>3169</v>
      </c>
      <c r="O52" s="2460" t="s">
        <v>468</v>
      </c>
      <c r="P52" s="2460">
        <v>1</v>
      </c>
      <c r="Q52" s="2460" t="s">
        <v>256</v>
      </c>
      <c r="R52" s="2460" t="s">
        <v>259</v>
      </c>
      <c r="S52" s="2460" t="s">
        <v>260</v>
      </c>
      <c r="T52" s="2462" t="s">
        <v>3060</v>
      </c>
      <c r="U52" s="1320"/>
      <c r="V52" s="1989"/>
      <c r="Z52" s="363"/>
    </row>
    <row r="53" spans="1:26" s="3" customFormat="1" ht="18" x14ac:dyDescent="0.25">
      <c r="A53" s="5"/>
      <c r="B53" s="2466" t="s">
        <v>846</v>
      </c>
      <c r="C53" s="2459" t="s">
        <v>3000</v>
      </c>
      <c r="D53" s="1609" t="s">
        <v>1214</v>
      </c>
      <c r="E53" s="2461">
        <v>1E-50</v>
      </c>
      <c r="F53" s="2461" t="s">
        <v>1214</v>
      </c>
      <c r="G53" s="2461" t="s">
        <v>1214</v>
      </c>
      <c r="H53" s="2461" t="s">
        <v>1214</v>
      </c>
      <c r="I53" s="2461" t="s">
        <v>1214</v>
      </c>
      <c r="J53" s="1610" t="s">
        <v>1214</v>
      </c>
      <c r="K53" s="1610" t="s">
        <v>1214</v>
      </c>
      <c r="L53" s="1610" t="s">
        <v>1214</v>
      </c>
      <c r="M53" s="1611" t="s">
        <v>3168</v>
      </c>
      <c r="N53" s="1611" t="s">
        <v>3169</v>
      </c>
      <c r="O53" s="2460" t="s">
        <v>468</v>
      </c>
      <c r="P53" s="2460">
        <v>1</v>
      </c>
      <c r="Q53" s="2460" t="s">
        <v>256</v>
      </c>
      <c r="R53" s="2460" t="s">
        <v>259</v>
      </c>
      <c r="S53" s="2460" t="s">
        <v>260</v>
      </c>
      <c r="T53" s="2462" t="s">
        <v>3060</v>
      </c>
      <c r="U53" s="1320"/>
      <c r="V53" s="1989"/>
      <c r="Z53" s="363"/>
    </row>
    <row r="54" spans="1:26" s="69" customFormat="1" ht="18" x14ac:dyDescent="0.25">
      <c r="B54" s="2467" t="s">
        <v>3859</v>
      </c>
      <c r="C54" s="2468" t="s">
        <v>3860</v>
      </c>
      <c r="D54" s="2469" t="s">
        <v>1214</v>
      </c>
      <c r="E54" s="2461">
        <v>1E-50</v>
      </c>
      <c r="F54" s="2470" t="s">
        <v>1214</v>
      </c>
      <c r="G54" s="2470" t="s">
        <v>1214</v>
      </c>
      <c r="H54" s="2470" t="s">
        <v>1214</v>
      </c>
      <c r="I54" s="1620" t="s">
        <v>1214</v>
      </c>
      <c r="J54" s="2471" t="s">
        <v>1214</v>
      </c>
      <c r="K54" s="1610" t="s">
        <v>1214</v>
      </c>
      <c r="L54" s="1610" t="s">
        <v>1214</v>
      </c>
      <c r="M54" s="2472" t="s">
        <v>3168</v>
      </c>
      <c r="N54" s="2472" t="s">
        <v>3169</v>
      </c>
      <c r="O54" s="2472" t="s">
        <v>3861</v>
      </c>
      <c r="P54" s="2472">
        <v>1</v>
      </c>
      <c r="Q54" s="2472" t="s">
        <v>256</v>
      </c>
      <c r="R54" s="2472" t="s">
        <v>259</v>
      </c>
      <c r="S54" s="2472" t="s">
        <v>260</v>
      </c>
      <c r="T54" s="2462" t="s">
        <v>3061</v>
      </c>
      <c r="U54" s="1318"/>
      <c r="V54" s="1985"/>
    </row>
    <row r="55" spans="1:26" s="69" customFormat="1" ht="18" x14ac:dyDescent="0.25">
      <c r="B55" s="2467" t="s">
        <v>3862</v>
      </c>
      <c r="C55" s="2468" t="s">
        <v>3863</v>
      </c>
      <c r="D55" s="2469" t="s">
        <v>1214</v>
      </c>
      <c r="E55" s="2461">
        <v>1E-50</v>
      </c>
      <c r="F55" s="2470" t="s">
        <v>1214</v>
      </c>
      <c r="G55" s="2470" t="s">
        <v>1214</v>
      </c>
      <c r="H55" s="2470" t="s">
        <v>1214</v>
      </c>
      <c r="I55" s="1620" t="s">
        <v>1214</v>
      </c>
      <c r="J55" s="2471" t="s">
        <v>1214</v>
      </c>
      <c r="K55" s="1610" t="s">
        <v>1214</v>
      </c>
      <c r="L55" s="1610" t="s">
        <v>1214</v>
      </c>
      <c r="M55" s="2472" t="s">
        <v>3168</v>
      </c>
      <c r="N55" s="2472" t="s">
        <v>3169</v>
      </c>
      <c r="O55" s="2472" t="s">
        <v>3861</v>
      </c>
      <c r="P55" s="2472">
        <v>1</v>
      </c>
      <c r="Q55" s="2472" t="s">
        <v>256</v>
      </c>
      <c r="R55" s="2472" t="s">
        <v>259</v>
      </c>
      <c r="S55" s="2472" t="s">
        <v>260</v>
      </c>
      <c r="T55" s="2462" t="s">
        <v>3061</v>
      </c>
      <c r="U55" s="1318"/>
      <c r="V55" s="1985"/>
    </row>
    <row r="56" spans="1:26" s="69" customFormat="1" ht="18" x14ac:dyDescent="0.25">
      <c r="B56" s="2467" t="s">
        <v>3864</v>
      </c>
      <c r="C56" s="2468" t="s">
        <v>3865</v>
      </c>
      <c r="D56" s="1616">
        <v>0.01</v>
      </c>
      <c r="E56" s="1616">
        <v>0.01</v>
      </c>
      <c r="F56" s="2470" t="s">
        <v>1214</v>
      </c>
      <c r="G56" s="2470" t="s">
        <v>1214</v>
      </c>
      <c r="H56" s="2470" t="s">
        <v>1214</v>
      </c>
      <c r="I56" s="1620" t="s">
        <v>1214</v>
      </c>
      <c r="J56" s="2471" t="s">
        <v>1214</v>
      </c>
      <c r="K56" s="1610">
        <v>9.0579500000000004E-3</v>
      </c>
      <c r="L56" s="1610">
        <v>3.5952799999999998</v>
      </c>
      <c r="M56" s="2472" t="s">
        <v>3168</v>
      </c>
      <c r="N56" s="2472" t="s">
        <v>3169</v>
      </c>
      <c r="O56" s="2472" t="s">
        <v>3861</v>
      </c>
      <c r="P56" s="2472">
        <v>1</v>
      </c>
      <c r="Q56" s="2472" t="s">
        <v>256</v>
      </c>
      <c r="R56" s="2472" t="s">
        <v>259</v>
      </c>
      <c r="S56" s="2472" t="s">
        <v>260</v>
      </c>
      <c r="T56" s="2462" t="s">
        <v>3061</v>
      </c>
      <c r="U56" s="1318"/>
      <c r="V56" s="1985"/>
    </row>
    <row r="57" spans="1:26" s="69" customFormat="1" ht="18" x14ac:dyDescent="0.25">
      <c r="B57" s="2467" t="s">
        <v>3866</v>
      </c>
      <c r="C57" s="2468" t="s">
        <v>3867</v>
      </c>
      <c r="D57" s="2469" t="s">
        <v>1214</v>
      </c>
      <c r="E57" s="2461">
        <v>1E-50</v>
      </c>
      <c r="F57" s="2470" t="s">
        <v>1214</v>
      </c>
      <c r="G57" s="2470" t="s">
        <v>1214</v>
      </c>
      <c r="H57" s="2470" t="s">
        <v>1214</v>
      </c>
      <c r="I57" s="1620" t="s">
        <v>1214</v>
      </c>
      <c r="J57" s="2471" t="s">
        <v>1214</v>
      </c>
      <c r="K57" s="1610" t="s">
        <v>1214</v>
      </c>
      <c r="L57" s="1610" t="s">
        <v>1214</v>
      </c>
      <c r="M57" s="2472" t="s">
        <v>3168</v>
      </c>
      <c r="N57" s="2472" t="s">
        <v>3169</v>
      </c>
      <c r="O57" s="2472" t="s">
        <v>3861</v>
      </c>
      <c r="P57" s="2472">
        <v>1</v>
      </c>
      <c r="Q57" s="2472" t="s">
        <v>256</v>
      </c>
      <c r="R57" s="2472" t="s">
        <v>259</v>
      </c>
      <c r="S57" s="2472" t="s">
        <v>260</v>
      </c>
      <c r="T57" s="2462" t="s">
        <v>3061</v>
      </c>
      <c r="U57" s="1318"/>
      <c r="V57" s="1985"/>
    </row>
    <row r="58" spans="1:26" s="69" customFormat="1" ht="18" x14ac:dyDescent="0.25">
      <c r="B58" s="2467" t="s">
        <v>3868</v>
      </c>
      <c r="C58" s="2468" t="s">
        <v>3869</v>
      </c>
      <c r="D58" s="2469" t="s">
        <v>1214</v>
      </c>
      <c r="E58" s="2461">
        <v>1E-50</v>
      </c>
      <c r="F58" s="2470" t="s">
        <v>1214</v>
      </c>
      <c r="G58" s="2470" t="s">
        <v>1214</v>
      </c>
      <c r="H58" s="2470" t="s">
        <v>1214</v>
      </c>
      <c r="I58" s="1620" t="s">
        <v>1214</v>
      </c>
      <c r="J58" s="2471" t="s">
        <v>1214</v>
      </c>
      <c r="K58" s="1610" t="s">
        <v>1214</v>
      </c>
      <c r="L58" s="1610" t="s">
        <v>1214</v>
      </c>
      <c r="M58" s="2472" t="s">
        <v>3168</v>
      </c>
      <c r="N58" s="2472" t="s">
        <v>3169</v>
      </c>
      <c r="O58" s="2472" t="s">
        <v>3861</v>
      </c>
      <c r="P58" s="2472">
        <v>1</v>
      </c>
      <c r="Q58" s="2472" t="s">
        <v>256</v>
      </c>
      <c r="R58" s="2472" t="s">
        <v>259</v>
      </c>
      <c r="S58" s="2472" t="s">
        <v>260</v>
      </c>
      <c r="T58" s="2462" t="s">
        <v>3061</v>
      </c>
      <c r="U58" s="1318"/>
      <c r="V58" s="1985"/>
    </row>
    <row r="59" spans="1:26" s="69" customFormat="1" ht="18" x14ac:dyDescent="0.25">
      <c r="B59" s="2467" t="s">
        <v>3870</v>
      </c>
      <c r="C59" s="2468" t="s">
        <v>3871</v>
      </c>
      <c r="D59" s="2469" t="s">
        <v>1214</v>
      </c>
      <c r="E59" s="2461">
        <v>1E-50</v>
      </c>
      <c r="F59" s="2470" t="s">
        <v>1214</v>
      </c>
      <c r="G59" s="2470" t="s">
        <v>1214</v>
      </c>
      <c r="H59" s="2470" t="s">
        <v>1214</v>
      </c>
      <c r="I59" s="1621" t="s">
        <v>1214</v>
      </c>
      <c r="J59" s="2471" t="s">
        <v>1214</v>
      </c>
      <c r="K59" s="1610" t="s">
        <v>1214</v>
      </c>
      <c r="L59" s="1610" t="s">
        <v>1214</v>
      </c>
      <c r="M59" s="2472" t="s">
        <v>3168</v>
      </c>
      <c r="N59" s="2472" t="s">
        <v>3169</v>
      </c>
      <c r="O59" s="2472" t="s">
        <v>3861</v>
      </c>
      <c r="P59" s="2472">
        <v>1</v>
      </c>
      <c r="Q59" s="2472" t="s">
        <v>256</v>
      </c>
      <c r="R59" s="2472" t="s">
        <v>259</v>
      </c>
      <c r="S59" s="2472" t="s">
        <v>260</v>
      </c>
      <c r="T59" s="2462" t="s">
        <v>3061</v>
      </c>
      <c r="U59" s="1318"/>
      <c r="V59" s="1985"/>
    </row>
    <row r="60" spans="1:26" s="69" customFormat="1" ht="18" x14ac:dyDescent="0.25">
      <c r="B60" s="2467" t="s">
        <v>3872</v>
      </c>
      <c r="C60" s="2468" t="s">
        <v>3873</v>
      </c>
      <c r="D60" s="2469" t="s">
        <v>1214</v>
      </c>
      <c r="E60" s="2461">
        <v>1E-50</v>
      </c>
      <c r="F60" s="2470" t="s">
        <v>1214</v>
      </c>
      <c r="G60" s="2470" t="s">
        <v>1214</v>
      </c>
      <c r="H60" s="2470" t="s">
        <v>1214</v>
      </c>
      <c r="I60" s="1621" t="s">
        <v>1214</v>
      </c>
      <c r="J60" s="2471" t="s">
        <v>1214</v>
      </c>
      <c r="K60" s="1610" t="s">
        <v>1214</v>
      </c>
      <c r="L60" s="1610" t="s">
        <v>1214</v>
      </c>
      <c r="M60" s="2472" t="s">
        <v>3168</v>
      </c>
      <c r="N60" s="2472" t="s">
        <v>3169</v>
      </c>
      <c r="O60" s="2472" t="s">
        <v>3861</v>
      </c>
      <c r="P60" s="2472">
        <v>1</v>
      </c>
      <c r="Q60" s="2472" t="s">
        <v>256</v>
      </c>
      <c r="R60" s="2472" t="s">
        <v>259</v>
      </c>
      <c r="S60" s="2472" t="s">
        <v>260</v>
      </c>
      <c r="T60" s="2462" t="s">
        <v>3061</v>
      </c>
      <c r="U60" s="1318"/>
      <c r="V60" s="1985"/>
    </row>
    <row r="61" spans="1:26" ht="18.75" customHeight="1" x14ac:dyDescent="0.25">
      <c r="B61" s="2465" t="s">
        <v>1000</v>
      </c>
      <c r="C61" s="2459" t="s">
        <v>3001</v>
      </c>
      <c r="D61" s="1609" t="s">
        <v>1214</v>
      </c>
      <c r="E61" s="2461">
        <v>1E-50</v>
      </c>
      <c r="F61" s="2461" t="s">
        <v>1214</v>
      </c>
      <c r="G61" s="2461" t="s">
        <v>1214</v>
      </c>
      <c r="H61" s="2461" t="s">
        <v>1214</v>
      </c>
      <c r="I61" s="2461" t="s">
        <v>1214</v>
      </c>
      <c r="J61" s="1610" t="s">
        <v>1214</v>
      </c>
      <c r="K61" s="1610" t="s">
        <v>1214</v>
      </c>
      <c r="L61" s="1610" t="s">
        <v>1214</v>
      </c>
      <c r="M61" s="1611" t="s">
        <v>3168</v>
      </c>
      <c r="N61" s="1611" t="s">
        <v>3169</v>
      </c>
      <c r="O61" s="2460" t="s">
        <v>358</v>
      </c>
      <c r="P61" s="2460">
        <v>1</v>
      </c>
      <c r="Q61" s="2460" t="s">
        <v>256</v>
      </c>
      <c r="R61" s="2460" t="s">
        <v>259</v>
      </c>
      <c r="S61" s="2460" t="s">
        <v>260</v>
      </c>
      <c r="T61" s="2462" t="s">
        <v>4561</v>
      </c>
      <c r="U61" s="1320"/>
      <c r="V61" s="1989"/>
      <c r="Z61" s="362"/>
    </row>
    <row r="62" spans="1:26" ht="18.75" customHeight="1" x14ac:dyDescent="0.25">
      <c r="B62" s="2465" t="s">
        <v>1134</v>
      </c>
      <c r="C62" s="2459" t="s">
        <v>3002</v>
      </c>
      <c r="D62" s="1609" t="s">
        <v>1214</v>
      </c>
      <c r="E62" s="2461">
        <v>1E-50</v>
      </c>
      <c r="F62" s="2461" t="s">
        <v>1214</v>
      </c>
      <c r="G62" s="2461" t="s">
        <v>1214</v>
      </c>
      <c r="H62" s="2461" t="s">
        <v>1214</v>
      </c>
      <c r="I62" s="2461" t="s">
        <v>1214</v>
      </c>
      <c r="J62" s="1610" t="s">
        <v>1214</v>
      </c>
      <c r="K62" s="1610" t="s">
        <v>1214</v>
      </c>
      <c r="L62" s="1610" t="s">
        <v>1214</v>
      </c>
      <c r="M62" s="1611" t="s">
        <v>3168</v>
      </c>
      <c r="N62" s="1611" t="s">
        <v>3169</v>
      </c>
      <c r="O62" s="2460" t="s">
        <v>358</v>
      </c>
      <c r="P62" s="2460">
        <v>1</v>
      </c>
      <c r="Q62" s="2460" t="s">
        <v>256</v>
      </c>
      <c r="R62" s="2460" t="s">
        <v>259</v>
      </c>
      <c r="S62" s="2460" t="s">
        <v>260</v>
      </c>
      <c r="T62" s="2462" t="s">
        <v>4561</v>
      </c>
      <c r="U62" s="1320"/>
      <c r="V62" s="1989"/>
      <c r="Z62" s="362"/>
    </row>
    <row r="63" spans="1:26" s="69" customFormat="1" ht="18.75" customHeight="1" x14ac:dyDescent="0.25">
      <c r="B63" s="2465" t="s">
        <v>3874</v>
      </c>
      <c r="C63" s="2468" t="s">
        <v>3875</v>
      </c>
      <c r="D63" s="2473" t="s">
        <v>1214</v>
      </c>
      <c r="E63" s="2470">
        <v>1E-50</v>
      </c>
      <c r="F63" s="2470" t="s">
        <v>1214</v>
      </c>
      <c r="G63" s="2470" t="s">
        <v>1214</v>
      </c>
      <c r="H63" s="2470" t="s">
        <v>1214</v>
      </c>
      <c r="I63" s="2470" t="s">
        <v>1214</v>
      </c>
      <c r="J63" s="2471" t="s">
        <v>1214</v>
      </c>
      <c r="K63" s="1610" t="s">
        <v>1214</v>
      </c>
      <c r="L63" s="1610" t="s">
        <v>1214</v>
      </c>
      <c r="M63" s="2472" t="s">
        <v>3168</v>
      </c>
      <c r="N63" s="2472" t="s">
        <v>3169</v>
      </c>
      <c r="O63" s="2472" t="s">
        <v>358</v>
      </c>
      <c r="P63" s="2472">
        <v>1</v>
      </c>
      <c r="Q63" s="2472" t="s">
        <v>256</v>
      </c>
      <c r="R63" s="2472" t="s">
        <v>259</v>
      </c>
      <c r="S63" s="2472" t="s">
        <v>260</v>
      </c>
      <c r="T63" s="2462" t="s">
        <v>4561</v>
      </c>
      <c r="U63" s="1318"/>
      <c r="V63" s="1985"/>
      <c r="Z63" s="1074"/>
    </row>
    <row r="64" spans="1:26" ht="18.75" customHeight="1" x14ac:dyDescent="0.25">
      <c r="B64" s="2474" t="s">
        <v>354</v>
      </c>
      <c r="C64" s="2459" t="s">
        <v>3003</v>
      </c>
      <c r="D64" s="1609" t="s">
        <v>1214</v>
      </c>
      <c r="E64" s="2461">
        <v>1E-50</v>
      </c>
      <c r="F64" s="2461" t="s">
        <v>1214</v>
      </c>
      <c r="G64" s="2461" t="s">
        <v>1214</v>
      </c>
      <c r="H64" s="2461" t="s">
        <v>1214</v>
      </c>
      <c r="I64" s="2461" t="s">
        <v>1214</v>
      </c>
      <c r="J64" s="1610" t="s">
        <v>1214</v>
      </c>
      <c r="K64" s="1610" t="s">
        <v>1214</v>
      </c>
      <c r="L64" s="1610" t="s">
        <v>1214</v>
      </c>
      <c r="M64" s="1611" t="s">
        <v>3168</v>
      </c>
      <c r="N64" s="1611" t="s">
        <v>3169</v>
      </c>
      <c r="O64" s="2460" t="s">
        <v>358</v>
      </c>
      <c r="P64" s="2460">
        <v>1</v>
      </c>
      <c r="Q64" s="2460" t="s">
        <v>256</v>
      </c>
      <c r="R64" s="2460" t="s">
        <v>259</v>
      </c>
      <c r="S64" s="2460" t="s">
        <v>260</v>
      </c>
      <c r="T64" s="2462" t="s">
        <v>4561</v>
      </c>
      <c r="U64" s="1320"/>
      <c r="V64" s="1989"/>
      <c r="Z64" s="362"/>
    </row>
    <row r="65" spans="1:26" ht="18" x14ac:dyDescent="0.25">
      <c r="B65" s="2465" t="s">
        <v>1115</v>
      </c>
      <c r="C65" s="2459" t="s">
        <v>3004</v>
      </c>
      <c r="D65" s="1609" t="s">
        <v>1214</v>
      </c>
      <c r="E65" s="2461">
        <v>1E-50</v>
      </c>
      <c r="F65" s="2461" t="s">
        <v>1214</v>
      </c>
      <c r="G65" s="2461" t="s">
        <v>1214</v>
      </c>
      <c r="H65" s="2461" t="s">
        <v>1214</v>
      </c>
      <c r="I65" s="2461" t="s">
        <v>1214</v>
      </c>
      <c r="J65" s="1610" t="s">
        <v>1214</v>
      </c>
      <c r="K65" s="1610" t="s">
        <v>1214</v>
      </c>
      <c r="L65" s="1610" t="s">
        <v>1214</v>
      </c>
      <c r="M65" s="1611" t="s">
        <v>3168</v>
      </c>
      <c r="N65" s="1611" t="s">
        <v>3169</v>
      </c>
      <c r="O65" s="2460" t="s">
        <v>358</v>
      </c>
      <c r="P65" s="2460">
        <v>1</v>
      </c>
      <c r="Q65" s="2460" t="s">
        <v>256</v>
      </c>
      <c r="R65" s="2460" t="s">
        <v>259</v>
      </c>
      <c r="S65" s="2460" t="s">
        <v>260</v>
      </c>
      <c r="T65" s="2462" t="s">
        <v>4561</v>
      </c>
      <c r="U65" s="1320"/>
      <c r="V65" s="1989"/>
      <c r="Z65" s="362"/>
    </row>
    <row r="66" spans="1:26" ht="17.25" x14ac:dyDescent="0.25">
      <c r="B66" s="2474" t="s">
        <v>135</v>
      </c>
      <c r="C66" s="2459" t="s">
        <v>1290</v>
      </c>
      <c r="D66" s="1609">
        <v>83.626000000000005</v>
      </c>
      <c r="E66" s="1609">
        <v>83.626000000000005</v>
      </c>
      <c r="F66" s="1609">
        <v>83.626000000000005</v>
      </c>
      <c r="G66" s="1609">
        <v>146.34549999999999</v>
      </c>
      <c r="H66" s="1609">
        <v>83.626000000000005</v>
      </c>
      <c r="I66" s="1609">
        <v>83.626000000000005</v>
      </c>
      <c r="J66" s="1610">
        <v>83.626000000000005</v>
      </c>
      <c r="K66" s="1610">
        <v>83.626000000000005</v>
      </c>
      <c r="L66" s="1610">
        <v>83.626000000000005</v>
      </c>
      <c r="M66" s="1611" t="s">
        <v>3168</v>
      </c>
      <c r="N66" s="1611" t="s">
        <v>3169</v>
      </c>
      <c r="O66" s="2460" t="s">
        <v>3430</v>
      </c>
      <c r="P66" s="2460">
        <v>1</v>
      </c>
      <c r="Q66" s="2460" t="s">
        <v>256</v>
      </c>
      <c r="R66" s="2460" t="s">
        <v>257</v>
      </c>
      <c r="S66" s="2460" t="s">
        <v>260</v>
      </c>
      <c r="T66" s="2462" t="s">
        <v>4562</v>
      </c>
      <c r="U66" s="1320"/>
      <c r="V66" s="1989" t="s">
        <v>1291</v>
      </c>
      <c r="Z66" s="362"/>
    </row>
    <row r="67" spans="1:26" s="69" customFormat="1" ht="18" x14ac:dyDescent="0.25">
      <c r="B67" s="2475" t="s">
        <v>4239</v>
      </c>
      <c r="C67" s="1470" t="s">
        <v>4238</v>
      </c>
      <c r="D67" s="1612">
        <v>0.18</v>
      </c>
      <c r="E67" s="1612">
        <v>0.5</v>
      </c>
      <c r="F67" s="1612">
        <v>0.5</v>
      </c>
      <c r="G67" s="1612">
        <v>0.5</v>
      </c>
      <c r="H67" s="1612">
        <v>0.5</v>
      </c>
      <c r="I67" s="1612">
        <v>0.5</v>
      </c>
      <c r="J67" s="1612">
        <v>0.5</v>
      </c>
      <c r="K67" s="2476">
        <v>0.68469400000000002</v>
      </c>
      <c r="L67" s="2476">
        <v>0.99993900000000002</v>
      </c>
      <c r="M67" s="2477">
        <v>0</v>
      </c>
      <c r="N67" s="2477">
        <v>1</v>
      </c>
      <c r="O67" s="2477" t="s">
        <v>2018</v>
      </c>
      <c r="P67" s="2477">
        <v>2</v>
      </c>
      <c r="Q67" s="2477" t="s">
        <v>256</v>
      </c>
      <c r="R67" s="2477" t="s">
        <v>257</v>
      </c>
      <c r="S67" s="2477" t="s">
        <v>260</v>
      </c>
      <c r="T67" s="2462" t="s">
        <v>4563</v>
      </c>
      <c r="U67" s="1459"/>
      <c r="V67" s="1987"/>
      <c r="Z67" s="1074"/>
    </row>
    <row r="68" spans="1:26" ht="18" x14ac:dyDescent="0.25">
      <c r="A68" s="69"/>
      <c r="B68" s="2478" t="s">
        <v>4796</v>
      </c>
      <c r="C68" s="2479" t="s">
        <v>4797</v>
      </c>
      <c r="D68" s="2480">
        <v>900</v>
      </c>
      <c r="E68" s="2480">
        <v>1000</v>
      </c>
      <c r="F68" s="2480">
        <v>1000</v>
      </c>
      <c r="G68" s="2480">
        <v>700</v>
      </c>
      <c r="H68" s="2480">
        <v>1000</v>
      </c>
      <c r="I68" s="2480">
        <v>1000</v>
      </c>
      <c r="J68" s="2480">
        <v>1000</v>
      </c>
      <c r="K68" s="2480">
        <v>1000</v>
      </c>
      <c r="L68" s="2480">
        <v>800</v>
      </c>
      <c r="M68" s="2336" t="s">
        <v>3168</v>
      </c>
      <c r="N68" s="2336" t="s">
        <v>3169</v>
      </c>
      <c r="O68" s="2336" t="s">
        <v>2018</v>
      </c>
      <c r="P68" s="2336">
        <v>0</v>
      </c>
      <c r="Q68" s="2336" t="s">
        <v>506</v>
      </c>
      <c r="R68" s="2336" t="s">
        <v>257</v>
      </c>
      <c r="S68" s="2336" t="s">
        <v>260</v>
      </c>
      <c r="T68" s="2336" t="s">
        <v>2201</v>
      </c>
      <c r="U68" s="2481"/>
      <c r="V68" s="2482"/>
    </row>
    <row r="69" spans="1:26" ht="18" x14ac:dyDescent="0.25">
      <c r="B69" s="2483" t="s">
        <v>434</v>
      </c>
      <c r="C69" s="2484" t="s">
        <v>3174</v>
      </c>
      <c r="D69" s="2485">
        <v>0.1258</v>
      </c>
      <c r="E69" s="2485">
        <v>0.1258</v>
      </c>
      <c r="F69" s="2485">
        <v>0.1258</v>
      </c>
      <c r="G69" s="2485">
        <v>18.105699999999999</v>
      </c>
      <c r="H69" s="2485">
        <v>0.1258</v>
      </c>
      <c r="I69" s="2485">
        <v>0.1258</v>
      </c>
      <c r="J69" s="2485">
        <v>0.1258</v>
      </c>
      <c r="K69" s="2486">
        <v>0.1258</v>
      </c>
      <c r="L69" s="2486">
        <v>0.1258</v>
      </c>
      <c r="M69" s="1611" t="s">
        <v>3168</v>
      </c>
      <c r="N69" s="1611" t="s">
        <v>3169</v>
      </c>
      <c r="O69" s="2487" t="s">
        <v>3175</v>
      </c>
      <c r="P69" s="1611">
        <v>1</v>
      </c>
      <c r="Q69" s="1611" t="s">
        <v>435</v>
      </c>
      <c r="R69" s="1611" t="s">
        <v>257</v>
      </c>
      <c r="S69" s="1611" t="s">
        <v>800</v>
      </c>
      <c r="T69" s="2462" t="s">
        <v>4560</v>
      </c>
      <c r="U69" s="2484"/>
      <c r="V69" s="2002"/>
    </row>
    <row r="70" spans="1:26" ht="18" x14ac:dyDescent="0.25">
      <c r="B70" s="2483" t="s">
        <v>436</v>
      </c>
      <c r="C70" s="2488" t="s">
        <v>3176</v>
      </c>
      <c r="D70" s="2489">
        <v>5.3E-3</v>
      </c>
      <c r="E70" s="2489">
        <v>5.3E-3</v>
      </c>
      <c r="F70" s="2489">
        <v>5.3E-3</v>
      </c>
      <c r="G70" s="2489">
        <v>182.2063</v>
      </c>
      <c r="H70" s="2489">
        <v>5.3E-3</v>
      </c>
      <c r="I70" s="2489">
        <v>5.3E-3</v>
      </c>
      <c r="J70" s="2489">
        <v>5.3E-3</v>
      </c>
      <c r="K70" s="2336">
        <v>1.7299999999999999E-2</v>
      </c>
      <c r="L70" s="2336">
        <v>1.7299999999999999E-2</v>
      </c>
      <c r="M70" s="1611" t="s">
        <v>3168</v>
      </c>
      <c r="N70" s="1611" t="s">
        <v>3169</v>
      </c>
      <c r="O70" s="2490" t="s">
        <v>3177</v>
      </c>
      <c r="P70" s="1611">
        <v>1</v>
      </c>
      <c r="Q70" s="1611" t="s">
        <v>435</v>
      </c>
      <c r="R70" s="1611" t="s">
        <v>257</v>
      </c>
      <c r="S70" s="1611" t="s">
        <v>800</v>
      </c>
      <c r="T70" s="2462" t="s">
        <v>148</v>
      </c>
      <c r="U70" s="2484"/>
      <c r="V70" s="2002"/>
    </row>
    <row r="71" spans="1:26" ht="18" x14ac:dyDescent="0.25">
      <c r="B71" s="2483" t="s">
        <v>437</v>
      </c>
      <c r="C71" s="2488" t="s">
        <v>3178</v>
      </c>
      <c r="D71" s="2489">
        <v>5.4999999999999997E-3</v>
      </c>
      <c r="E71" s="2489">
        <v>5.4999999999999997E-3</v>
      </c>
      <c r="F71" s="2489">
        <v>5.4999999999999997E-3</v>
      </c>
      <c r="G71" s="2489">
        <v>0.108</v>
      </c>
      <c r="H71" s="2489">
        <v>5.4999999999999997E-3</v>
      </c>
      <c r="I71" s="2489">
        <v>5.4999999999999997E-3</v>
      </c>
      <c r="J71" s="2489">
        <v>5.4999999999999997E-3</v>
      </c>
      <c r="K71" s="2336">
        <v>7.9000000000000008E-3</v>
      </c>
      <c r="L71" s="2336">
        <v>7.9000000000000008E-3</v>
      </c>
      <c r="M71" s="1611" t="s">
        <v>3168</v>
      </c>
      <c r="N71" s="1611" t="s">
        <v>3169</v>
      </c>
      <c r="O71" s="2491" t="s">
        <v>3177</v>
      </c>
      <c r="P71" s="1611">
        <v>1</v>
      </c>
      <c r="Q71" s="1611" t="s">
        <v>435</v>
      </c>
      <c r="R71" s="1611" t="s">
        <v>257</v>
      </c>
      <c r="S71" s="1611" t="s">
        <v>800</v>
      </c>
      <c r="T71" s="2462" t="s">
        <v>148</v>
      </c>
      <c r="U71" s="2484"/>
      <c r="V71" s="2002"/>
    </row>
    <row r="72" spans="1:26" ht="18" x14ac:dyDescent="0.25">
      <c r="B72" s="2483" t="s">
        <v>438</v>
      </c>
      <c r="C72" s="2484" t="s">
        <v>3179</v>
      </c>
      <c r="D72" s="2485">
        <v>3.0244</v>
      </c>
      <c r="E72" s="2485">
        <v>3.0244</v>
      </c>
      <c r="F72" s="2485">
        <v>3.0244</v>
      </c>
      <c r="G72" s="2492" t="s">
        <v>1214</v>
      </c>
      <c r="H72" s="2485">
        <v>3.0244</v>
      </c>
      <c r="I72" s="2485">
        <v>3.0244</v>
      </c>
      <c r="J72" s="2485">
        <v>3.0244</v>
      </c>
      <c r="K72" s="2486">
        <v>2.9916999999999998</v>
      </c>
      <c r="L72" s="2486">
        <v>2.9916999999999998</v>
      </c>
      <c r="M72" s="1611" t="s">
        <v>3168</v>
      </c>
      <c r="N72" s="1611" t="s">
        <v>3169</v>
      </c>
      <c r="O72" s="2493" t="s">
        <v>3180</v>
      </c>
      <c r="P72" s="2494">
        <v>1</v>
      </c>
      <c r="Q72" s="2494" t="s">
        <v>435</v>
      </c>
      <c r="R72" s="2494" t="s">
        <v>257</v>
      </c>
      <c r="S72" s="2494" t="s">
        <v>800</v>
      </c>
      <c r="T72" s="2495" t="s">
        <v>4559</v>
      </c>
      <c r="U72" s="2484"/>
      <c r="V72" s="2002"/>
    </row>
    <row r="73" spans="1:26" ht="18" x14ac:dyDescent="0.25">
      <c r="B73" s="2483" t="s">
        <v>1050</v>
      </c>
      <c r="C73" s="2496" t="s">
        <v>3181</v>
      </c>
      <c r="D73" s="2492" t="s">
        <v>1214</v>
      </c>
      <c r="E73" s="2461">
        <v>1E-50</v>
      </c>
      <c r="F73" s="2492" t="s">
        <v>1214</v>
      </c>
      <c r="G73" s="2492">
        <v>5.5999999999999999E-3</v>
      </c>
      <c r="H73" s="2492" t="s">
        <v>1214</v>
      </c>
      <c r="I73" s="2492" t="s">
        <v>1214</v>
      </c>
      <c r="J73" s="2492" t="s">
        <v>1214</v>
      </c>
      <c r="K73" s="2497" t="s">
        <v>1214</v>
      </c>
      <c r="L73" s="2497" t="s">
        <v>1214</v>
      </c>
      <c r="M73" s="1611" t="s">
        <v>3168</v>
      </c>
      <c r="N73" s="1611" t="s">
        <v>3169</v>
      </c>
      <c r="O73" s="2498" t="s">
        <v>3182</v>
      </c>
      <c r="P73" s="2494">
        <v>1</v>
      </c>
      <c r="Q73" s="2494" t="s">
        <v>435</v>
      </c>
      <c r="R73" s="2494" t="s">
        <v>257</v>
      </c>
      <c r="S73" s="2494" t="s">
        <v>800</v>
      </c>
      <c r="T73" s="2495" t="s">
        <v>254</v>
      </c>
      <c r="U73" s="2484"/>
      <c r="V73" s="2002"/>
    </row>
    <row r="74" spans="1:26" ht="18.75" thickBot="1" x14ac:dyDescent="0.3">
      <c r="B74" s="2499" t="s">
        <v>439</v>
      </c>
      <c r="C74" s="2500" t="s">
        <v>3183</v>
      </c>
      <c r="D74" s="2501">
        <v>11.542299999999999</v>
      </c>
      <c r="E74" s="2501">
        <v>11.542299999999999</v>
      </c>
      <c r="F74" s="2501">
        <v>11.542299999999999</v>
      </c>
      <c r="G74" s="2501">
        <v>0.14710000000000001</v>
      </c>
      <c r="H74" s="2501">
        <v>11.542299999999999</v>
      </c>
      <c r="I74" s="2501">
        <v>11.542299999999999</v>
      </c>
      <c r="J74" s="2501">
        <v>11.542299999999999</v>
      </c>
      <c r="K74" s="2502">
        <v>11.854799999999999</v>
      </c>
      <c r="L74" s="2502">
        <v>11.854799999999999</v>
      </c>
      <c r="M74" s="2503" t="s">
        <v>3168</v>
      </c>
      <c r="N74" s="2504" t="s">
        <v>3169</v>
      </c>
      <c r="O74" s="2505" t="s">
        <v>3184</v>
      </c>
      <c r="P74" s="2504">
        <v>1</v>
      </c>
      <c r="Q74" s="2504" t="s">
        <v>435</v>
      </c>
      <c r="R74" s="2504" t="s">
        <v>257</v>
      </c>
      <c r="S74" s="2504" t="s">
        <v>800</v>
      </c>
      <c r="T74" s="2506" t="s">
        <v>254</v>
      </c>
      <c r="U74" s="2500"/>
      <c r="V74" s="2507"/>
    </row>
    <row r="75" spans="1:26" ht="18" x14ac:dyDescent="0.25">
      <c r="B75" s="2508" t="s">
        <v>3185</v>
      </c>
      <c r="C75" s="2509" t="s">
        <v>3174</v>
      </c>
      <c r="D75" s="2510">
        <v>0.04</v>
      </c>
      <c r="E75" s="2510">
        <v>0.04</v>
      </c>
      <c r="F75" s="2510">
        <v>0.04</v>
      </c>
      <c r="G75" s="2510">
        <v>0.04</v>
      </c>
      <c r="H75" s="2510">
        <v>0.04</v>
      </c>
      <c r="I75" s="2510">
        <v>0.04</v>
      </c>
      <c r="J75" s="2510">
        <v>0.04</v>
      </c>
      <c r="K75" s="2511">
        <v>0.04</v>
      </c>
      <c r="L75" s="2511">
        <v>0.04</v>
      </c>
      <c r="M75" s="2510">
        <v>0</v>
      </c>
      <c r="N75" s="2512">
        <v>100</v>
      </c>
      <c r="O75" s="2513" t="s">
        <v>1887</v>
      </c>
      <c r="P75" s="2512">
        <v>2</v>
      </c>
      <c r="Q75" s="2512" t="s">
        <v>28</v>
      </c>
      <c r="R75" s="2512" t="s">
        <v>257</v>
      </c>
      <c r="S75" s="2512" t="s">
        <v>3186</v>
      </c>
      <c r="T75" s="2514" t="s">
        <v>4560</v>
      </c>
      <c r="U75" s="2509"/>
      <c r="V75" s="2515"/>
    </row>
    <row r="76" spans="1:26" ht="18" x14ac:dyDescent="0.25">
      <c r="B76" s="2483" t="s">
        <v>3187</v>
      </c>
      <c r="C76" s="2488" t="s">
        <v>3176</v>
      </c>
      <c r="D76" s="2516" t="s">
        <v>1214</v>
      </c>
      <c r="E76" s="2461">
        <v>1E-50</v>
      </c>
      <c r="F76" s="2516" t="s">
        <v>1214</v>
      </c>
      <c r="G76" s="2516" t="s">
        <v>1214</v>
      </c>
      <c r="H76" s="2516" t="s">
        <v>1214</v>
      </c>
      <c r="I76" s="2516" t="s">
        <v>1214</v>
      </c>
      <c r="J76" s="2516" t="s">
        <v>1214</v>
      </c>
      <c r="K76" s="2517" t="s">
        <v>1214</v>
      </c>
      <c r="L76" s="2517" t="s">
        <v>1214</v>
      </c>
      <c r="M76" s="2516">
        <v>0</v>
      </c>
      <c r="N76" s="1611">
        <v>100</v>
      </c>
      <c r="O76" s="2487" t="s">
        <v>1887</v>
      </c>
      <c r="P76" s="1611">
        <v>2</v>
      </c>
      <c r="Q76" s="1611" t="s">
        <v>28</v>
      </c>
      <c r="R76" s="1611" t="s">
        <v>257</v>
      </c>
      <c r="S76" s="1611" t="s">
        <v>3186</v>
      </c>
      <c r="T76" s="2462" t="s">
        <v>148</v>
      </c>
      <c r="U76" s="2484"/>
      <c r="V76" s="2002"/>
    </row>
    <row r="77" spans="1:26" ht="18" x14ac:dyDescent="0.25">
      <c r="B77" s="2483" t="s">
        <v>3188</v>
      </c>
      <c r="C77" s="2488" t="s">
        <v>3178</v>
      </c>
      <c r="D77" s="2516" t="s">
        <v>1214</v>
      </c>
      <c r="E77" s="2461">
        <v>1E-50</v>
      </c>
      <c r="F77" s="2516" t="s">
        <v>1214</v>
      </c>
      <c r="G77" s="2516" t="s">
        <v>1214</v>
      </c>
      <c r="H77" s="2516" t="s">
        <v>1214</v>
      </c>
      <c r="I77" s="2516" t="s">
        <v>1214</v>
      </c>
      <c r="J77" s="2516" t="s">
        <v>1214</v>
      </c>
      <c r="K77" s="2517" t="s">
        <v>1214</v>
      </c>
      <c r="L77" s="2517" t="s">
        <v>1214</v>
      </c>
      <c r="M77" s="2516">
        <v>0</v>
      </c>
      <c r="N77" s="1611">
        <v>100</v>
      </c>
      <c r="O77" s="2487" t="s">
        <v>1887</v>
      </c>
      <c r="P77" s="1611">
        <v>2</v>
      </c>
      <c r="Q77" s="1611" t="s">
        <v>28</v>
      </c>
      <c r="R77" s="1611" t="s">
        <v>257</v>
      </c>
      <c r="S77" s="1611" t="s">
        <v>3186</v>
      </c>
      <c r="T77" s="2462" t="s">
        <v>148</v>
      </c>
      <c r="U77" s="2484"/>
      <c r="V77" s="2002"/>
    </row>
    <row r="78" spans="1:26" ht="18" x14ac:dyDescent="0.25">
      <c r="B78" s="2483" t="s">
        <v>3189</v>
      </c>
      <c r="C78" s="2484" t="s">
        <v>3179</v>
      </c>
      <c r="D78" s="2516">
        <v>20.95</v>
      </c>
      <c r="E78" s="2516">
        <v>20.95</v>
      </c>
      <c r="F78" s="2516">
        <v>20.95</v>
      </c>
      <c r="G78" s="2516">
        <v>20.95</v>
      </c>
      <c r="H78" s="2516">
        <v>20.95</v>
      </c>
      <c r="I78" s="2516">
        <v>20.95</v>
      </c>
      <c r="J78" s="2516">
        <v>20.95</v>
      </c>
      <c r="K78" s="2517">
        <v>20.95</v>
      </c>
      <c r="L78" s="2517">
        <v>20.95</v>
      </c>
      <c r="M78" s="2516">
        <v>0</v>
      </c>
      <c r="N78" s="1611">
        <v>100</v>
      </c>
      <c r="O78" s="2487" t="s">
        <v>1887</v>
      </c>
      <c r="P78" s="1611">
        <v>2</v>
      </c>
      <c r="Q78" s="2494" t="s">
        <v>28</v>
      </c>
      <c r="R78" s="2494" t="s">
        <v>257</v>
      </c>
      <c r="S78" s="2494" t="s">
        <v>3186</v>
      </c>
      <c r="T78" s="2495" t="s">
        <v>4559</v>
      </c>
      <c r="U78" s="2484"/>
      <c r="V78" s="2002"/>
    </row>
    <row r="79" spans="1:26" ht="18" x14ac:dyDescent="0.25">
      <c r="B79" s="2483" t="s">
        <v>3190</v>
      </c>
      <c r="C79" s="2496" t="s">
        <v>3181</v>
      </c>
      <c r="D79" s="2516" t="s">
        <v>1214</v>
      </c>
      <c r="E79" s="2461">
        <v>1E-50</v>
      </c>
      <c r="F79" s="2516" t="s">
        <v>1214</v>
      </c>
      <c r="G79" s="2516" t="s">
        <v>1214</v>
      </c>
      <c r="H79" s="2516" t="s">
        <v>1214</v>
      </c>
      <c r="I79" s="2516" t="s">
        <v>1214</v>
      </c>
      <c r="J79" s="2516" t="s">
        <v>1214</v>
      </c>
      <c r="K79" s="2517" t="s">
        <v>1214</v>
      </c>
      <c r="L79" s="2517" t="s">
        <v>1214</v>
      </c>
      <c r="M79" s="2516">
        <v>0</v>
      </c>
      <c r="N79" s="1611">
        <v>100</v>
      </c>
      <c r="O79" s="2487" t="s">
        <v>1887</v>
      </c>
      <c r="P79" s="1611">
        <v>2</v>
      </c>
      <c r="Q79" s="2494" t="s">
        <v>28</v>
      </c>
      <c r="R79" s="2494" t="s">
        <v>257</v>
      </c>
      <c r="S79" s="2494" t="s">
        <v>3186</v>
      </c>
      <c r="T79" s="2495" t="s">
        <v>254</v>
      </c>
      <c r="U79" s="2484"/>
      <c r="V79" s="2002"/>
    </row>
    <row r="80" spans="1:26" ht="18.75" thickBot="1" x14ac:dyDescent="0.3">
      <c r="B80" s="2499" t="s">
        <v>3191</v>
      </c>
      <c r="C80" s="2500" t="s">
        <v>3183</v>
      </c>
      <c r="D80" s="2518">
        <v>79.010000000000005</v>
      </c>
      <c r="E80" s="2518">
        <v>79.010000000000005</v>
      </c>
      <c r="F80" s="2518">
        <v>79.010000000000005</v>
      </c>
      <c r="G80" s="2518">
        <v>79.010000000000005</v>
      </c>
      <c r="H80" s="2518">
        <v>79.010000000000005</v>
      </c>
      <c r="I80" s="2518">
        <v>79.010000000000005</v>
      </c>
      <c r="J80" s="2518">
        <v>79.010000000000005</v>
      </c>
      <c r="K80" s="2519">
        <v>79.010000000000005</v>
      </c>
      <c r="L80" s="2519">
        <v>79.010000000000005</v>
      </c>
      <c r="M80" s="2518">
        <v>0</v>
      </c>
      <c r="N80" s="2504">
        <v>100</v>
      </c>
      <c r="O80" s="2520" t="s">
        <v>1887</v>
      </c>
      <c r="P80" s="2504">
        <v>2</v>
      </c>
      <c r="Q80" s="2504" t="s">
        <v>28</v>
      </c>
      <c r="R80" s="2504" t="s">
        <v>257</v>
      </c>
      <c r="S80" s="2504" t="s">
        <v>3186</v>
      </c>
      <c r="T80" s="2506" t="s">
        <v>254</v>
      </c>
      <c r="U80" s="2500"/>
      <c r="V80" s="2507"/>
    </row>
  </sheetData>
  <phoneticPr fontId="31" type="noConversion"/>
  <conditionalFormatting sqref="C54 C56 C58 C60">
    <cfRule type="cellIs" dxfId="133" priority="2" operator="equal">
      <formula>0</formula>
    </cfRule>
  </conditionalFormatting>
  <conditionalFormatting sqref="C55 C57 C59">
    <cfRule type="cellIs" dxfId="132" priority="1" operator="equal">
      <formula>0</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42578125" customWidth="1"/>
  </cols>
  <sheetData>
    <row r="1" spans="2:7" s="47" customFormat="1" ht="57.75" customHeight="1" thickBot="1" x14ac:dyDescent="0.3"/>
    <row r="2" spans="2:7" ht="15.75" thickBot="1" x14ac:dyDescent="0.3">
      <c r="B2" s="4"/>
      <c r="C2" s="61" t="s">
        <v>115</v>
      </c>
      <c r="D2" s="62" t="s">
        <v>118</v>
      </c>
      <c r="E2" s="4"/>
      <c r="F2" s="4"/>
      <c r="G2" s="4"/>
    </row>
    <row r="3" spans="2:7" x14ac:dyDescent="0.25">
      <c r="B3" s="56" t="s">
        <v>0</v>
      </c>
      <c r="C3" s="57" t="s">
        <v>1</v>
      </c>
      <c r="D3" s="57" t="s">
        <v>5</v>
      </c>
      <c r="E3" s="58" t="s">
        <v>2</v>
      </c>
      <c r="F3" s="59" t="s">
        <v>116</v>
      </c>
      <c r="G3" s="60" t="s">
        <v>117</v>
      </c>
    </row>
    <row r="4" spans="2:7" x14ac:dyDescent="0.25">
      <c r="B4" s="6"/>
      <c r="C4" s="6"/>
      <c r="D4" s="6"/>
      <c r="E4" s="6"/>
      <c r="F4" s="6"/>
      <c r="G4" s="6"/>
    </row>
  </sheetData>
  <phoneticPr fontId="3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7" customFormat="1" ht="43.5" customHeight="1" thickBot="1" x14ac:dyDescent="0.3"/>
    <row r="2" spans="2:7" ht="15.75" thickBot="1" x14ac:dyDescent="0.3">
      <c r="B2" s="4"/>
      <c r="C2" s="2" t="s">
        <v>115</v>
      </c>
      <c r="D2" s="14"/>
      <c r="E2" s="4"/>
      <c r="F2" s="4"/>
      <c r="G2" s="4"/>
    </row>
    <row r="3" spans="2:7" x14ac:dyDescent="0.25">
      <c r="B3" s="15" t="s">
        <v>0</v>
      </c>
      <c r="C3" s="16" t="s">
        <v>1</v>
      </c>
      <c r="D3" s="16" t="s">
        <v>5</v>
      </c>
      <c r="E3" s="17" t="s">
        <v>2</v>
      </c>
      <c r="F3" s="18" t="s">
        <v>116</v>
      </c>
      <c r="G3" s="19" t="s">
        <v>117</v>
      </c>
    </row>
    <row r="4" spans="2:7" x14ac:dyDescent="0.25">
      <c r="B4" s="6"/>
      <c r="C4" s="6"/>
      <c r="D4" s="6"/>
      <c r="E4" s="6"/>
      <c r="F4" s="6"/>
      <c r="G4" s="6"/>
    </row>
  </sheetData>
  <phoneticPr fontId="3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9"/>
  <dimension ref="A1:N630"/>
  <sheetViews>
    <sheetView showGridLines="0" zoomScale="85" zoomScaleNormal="85" workbookViewId="0">
      <pane ySplit="1" topLeftCell="A2" activePane="bottomLeft" state="frozen"/>
      <selection pane="bottomLeft"/>
    </sheetView>
  </sheetViews>
  <sheetFormatPr defaultColWidth="9.140625" defaultRowHeight="18" customHeight="1" outlineLevelRow="1" x14ac:dyDescent="0.25"/>
  <cols>
    <col min="1" max="1" width="3.5703125" style="113" customWidth="1"/>
    <col min="2" max="2" width="23.28515625" style="113" customWidth="1"/>
    <col min="3" max="3" width="71.7109375" style="113" customWidth="1"/>
    <col min="4" max="4" width="78.85546875" style="113" customWidth="1"/>
    <col min="5" max="5" width="13.85546875" style="247" bestFit="1" customWidth="1"/>
    <col min="6" max="6" width="14.140625" style="113" bestFit="1" customWidth="1"/>
    <col min="7" max="7" width="10" style="113" bestFit="1" customWidth="1"/>
    <col min="8" max="8" width="58.140625" style="113" bestFit="1" customWidth="1"/>
    <col min="9" max="9" width="55.140625" style="113" bestFit="1" customWidth="1"/>
    <col min="10" max="10" width="33.140625" style="113" bestFit="1" customWidth="1"/>
    <col min="11" max="11" width="29.28515625" style="113" bestFit="1" customWidth="1"/>
    <col min="12" max="12" width="26.42578125" style="113" customWidth="1"/>
    <col min="13" max="48" width="9.140625" style="113"/>
    <col min="49" max="49" width="12.85546875" style="113" customWidth="1"/>
    <col min="50" max="51" width="9.140625" style="113"/>
    <col min="52" max="52" width="9.28515625" style="113" customWidth="1"/>
    <col min="53" max="16384" width="9.140625" style="113"/>
  </cols>
  <sheetData>
    <row r="1" spans="1:11" s="141" customFormat="1" ht="62.25" customHeight="1" thickBot="1" x14ac:dyDescent="0.3">
      <c r="A1" s="141" t="s">
        <v>1221</v>
      </c>
      <c r="E1" s="367"/>
    </row>
    <row r="2" spans="1:11" customFormat="1" ht="18" customHeight="1" thickBot="1" x14ac:dyDescent="0.3">
      <c r="A2" s="1281"/>
      <c r="B2" s="1187"/>
      <c r="C2" s="1390" t="s">
        <v>318</v>
      </c>
      <c r="D2" s="1335" t="s">
        <v>315</v>
      </c>
      <c r="E2" s="1335"/>
      <c r="F2" s="1187"/>
      <c r="G2" s="1187"/>
      <c r="H2" s="1187"/>
      <c r="I2" s="1187"/>
      <c r="J2" s="1281"/>
      <c r="K2" s="1281"/>
    </row>
    <row r="3" spans="1:11" customFormat="1" ht="18" customHeight="1" thickBot="1" x14ac:dyDescent="0.3">
      <c r="A3" s="1281"/>
      <c r="B3" s="2532" t="s">
        <v>0</v>
      </c>
      <c r="C3" s="2535" t="s">
        <v>1</v>
      </c>
      <c r="D3" s="2538" t="s">
        <v>5</v>
      </c>
      <c r="E3" s="2538" t="s">
        <v>152</v>
      </c>
      <c r="F3" s="2538" t="s">
        <v>2</v>
      </c>
      <c r="G3" s="2538" t="s">
        <v>298</v>
      </c>
      <c r="H3" s="2538" t="s">
        <v>116</v>
      </c>
      <c r="I3" s="2541" t="s">
        <v>117</v>
      </c>
      <c r="J3" s="1281"/>
      <c r="K3" s="1281"/>
    </row>
    <row r="4" spans="1:11" hidden="1" outlineLevel="1" x14ac:dyDescent="0.25">
      <c r="A4" s="1187"/>
      <c r="B4" s="1299" t="s">
        <v>1758</v>
      </c>
      <c r="C4" s="1325" t="s">
        <v>281</v>
      </c>
      <c r="D4" s="1325" t="s">
        <v>4246</v>
      </c>
      <c r="E4" s="1339">
        <f>X_OHO+X_CASTO+X_MEOLO+X_AOB+X_NOB+X_AMX+X_AMETO+X_HMETO</f>
        <v>1055.5</v>
      </c>
      <c r="F4" s="1313" t="s">
        <v>1183</v>
      </c>
      <c r="G4" s="1313">
        <v>1</v>
      </c>
      <c r="H4" s="1313"/>
      <c r="I4" s="1373"/>
      <c r="J4" s="1187"/>
      <c r="K4" s="1187"/>
    </row>
    <row r="5" spans="1:11" hidden="1" outlineLevel="1" x14ac:dyDescent="0.25">
      <c r="A5" s="1187"/>
      <c r="B5" s="1300" t="s">
        <v>1759</v>
      </c>
      <c r="C5" s="1333" t="s">
        <v>2709</v>
      </c>
      <c r="D5" s="1333" t="s">
        <v>2151</v>
      </c>
      <c r="E5" s="1340">
        <f>X_BIO+X_B+X_U+X_PHA+X_GLY+X_E_ana+X_E</f>
        <v>2392.6</v>
      </c>
      <c r="F5" s="1214" t="s">
        <v>1183</v>
      </c>
      <c r="G5" s="1214">
        <v>1</v>
      </c>
      <c r="H5" s="1214"/>
      <c r="I5" s="1374"/>
      <c r="J5" s="1187"/>
      <c r="K5" s="1187"/>
    </row>
    <row r="6" spans="1:11" customFormat="1" hidden="1" outlineLevel="1" x14ac:dyDescent="0.25">
      <c r="A6" s="1281"/>
      <c r="B6" s="1301" t="s">
        <v>3033</v>
      </c>
      <c r="C6" s="1482" t="s">
        <v>3034</v>
      </c>
      <c r="D6" s="1481" t="s">
        <v>4530</v>
      </c>
      <c r="E6" s="1341">
        <f>S_B+S_VFA+S_MEOL</f>
        <v>1.01</v>
      </c>
      <c r="F6" s="1214" t="s">
        <v>1183</v>
      </c>
      <c r="G6" s="1314">
        <v>1</v>
      </c>
      <c r="H6" s="1314"/>
      <c r="I6" s="2002"/>
      <c r="J6" s="1281"/>
      <c r="K6" s="1281"/>
    </row>
    <row r="7" spans="1:11" customFormat="1" hidden="1" outlineLevel="1" x14ac:dyDescent="0.25">
      <c r="A7" s="1281"/>
      <c r="B7" s="1301" t="s">
        <v>3035</v>
      </c>
      <c r="C7" s="1482" t="s">
        <v>3036</v>
      </c>
      <c r="D7" s="1482" t="s">
        <v>3037</v>
      </c>
      <c r="E7" s="1341">
        <f>X_B+C_B</f>
        <v>14.01</v>
      </c>
      <c r="F7" s="1214" t="s">
        <v>1183</v>
      </c>
      <c r="G7" s="1314">
        <v>1</v>
      </c>
      <c r="H7" s="1314"/>
      <c r="I7" s="2002"/>
      <c r="J7" s="1281"/>
      <c r="K7" s="1281"/>
    </row>
    <row r="8" spans="1:11" hidden="1" outlineLevel="1" x14ac:dyDescent="0.25">
      <c r="A8" s="1187"/>
      <c r="B8" s="1300" t="s">
        <v>1760</v>
      </c>
      <c r="C8" s="1333" t="s">
        <v>2710</v>
      </c>
      <c r="D8" s="1333" t="s">
        <v>1761</v>
      </c>
      <c r="E8" s="1340">
        <f>X_BIO/i_CV_BIO</f>
        <v>743.30985915492965</v>
      </c>
      <c r="F8" s="1214" t="s">
        <v>1762</v>
      </c>
      <c r="G8" s="1214">
        <v>1</v>
      </c>
      <c r="H8" s="1214"/>
      <c r="I8" s="1374"/>
      <c r="J8" s="1187"/>
      <c r="K8" s="1187"/>
    </row>
    <row r="9" spans="1:11" ht="36" hidden="1" outlineLevel="1" x14ac:dyDescent="0.25">
      <c r="A9" s="1187"/>
      <c r="B9" s="1300" t="s">
        <v>1763</v>
      </c>
      <c r="C9" s="1333" t="s">
        <v>2124</v>
      </c>
      <c r="D9" s="1483" t="s">
        <v>4814</v>
      </c>
      <c r="E9" s="1340">
        <f>X_VSS_BIO+X_B/i_CV_XB+X_U/i_CV_XU+X_PHA/i_CV_PHA+X_GLY/i_CV_GLY+X_E_ana/i_CV_XE+X_E/i_CV_XE+f_H2O_HFO_VSS*X_HFO*M_MFeOH3/A_MFe+f_H2O_HAO_VSS*X_HAO*M_MAlOH3/A_MAl</f>
        <v>1746.1683449061561</v>
      </c>
      <c r="F9" s="1214" t="s">
        <v>1762</v>
      </c>
      <c r="G9" s="1214">
        <v>1</v>
      </c>
      <c r="H9" s="1214"/>
      <c r="I9" s="1374"/>
      <c r="J9" s="1187"/>
      <c r="K9" s="1187"/>
    </row>
    <row r="10" spans="1:11" hidden="1" outlineLevel="1" x14ac:dyDescent="0.25">
      <c r="A10" s="1187"/>
      <c r="B10" s="1300" t="s">
        <v>1766</v>
      </c>
      <c r="C10" s="1333" t="s">
        <v>2123</v>
      </c>
      <c r="D10" s="1333" t="s">
        <v>1767</v>
      </c>
      <c r="E10" s="1340">
        <f>X_VSS+S_U/i_CV_SU+S_B/i_CV_SB+S_VFA/i_CV_VFA+S_MEOL/i_CV_MEOL+C_B/i_CV_CB+C_U/i_CV_CU</f>
        <v>1754.6884551847634</v>
      </c>
      <c r="F10" s="1214" t="s">
        <v>1768</v>
      </c>
      <c r="G10" s="1214">
        <v>1</v>
      </c>
      <c r="H10" s="1214"/>
      <c r="I10" s="1374"/>
      <c r="J10" s="1187"/>
      <c r="K10" s="1187"/>
    </row>
    <row r="11" spans="1:11" hidden="1" outlineLevel="1" x14ac:dyDescent="0.25">
      <c r="A11" s="1187"/>
      <c r="B11" s="1300" t="s">
        <v>2125</v>
      </c>
      <c r="C11" s="1333" t="s">
        <v>2711</v>
      </c>
      <c r="D11" s="1333" t="s">
        <v>2701</v>
      </c>
      <c r="E11" s="1340">
        <f>X_U/i_CV_XU+S_U/i_CV_SU+C_U/i_CV_CU</f>
        <v>776.79785678684163</v>
      </c>
      <c r="F11" s="1214" t="s">
        <v>1768</v>
      </c>
      <c r="G11" s="1214">
        <v>1</v>
      </c>
      <c r="H11" s="1214"/>
      <c r="I11" s="1374"/>
      <c r="J11" s="1187"/>
      <c r="K11" s="1187"/>
    </row>
    <row r="12" spans="1:11" hidden="1" outlineLevel="1" x14ac:dyDescent="0.25">
      <c r="A12" s="1187"/>
      <c r="B12" s="1300" t="s">
        <v>2031</v>
      </c>
      <c r="C12" s="1333" t="s">
        <v>2185</v>
      </c>
      <c r="D12" s="1333" t="s">
        <v>3921</v>
      </c>
      <c r="E12" s="1340">
        <f>X_CaCO3+X_ACP+X_STR+X_Vivi+X_BSH</f>
        <v>4.9999999999999997E-50</v>
      </c>
      <c r="F12" s="1214" t="s">
        <v>1765</v>
      </c>
      <c r="G12" s="1214">
        <v>1</v>
      </c>
      <c r="H12" s="1214"/>
      <c r="I12" s="1374"/>
      <c r="J12" s="1187"/>
      <c r="K12" s="1187"/>
    </row>
    <row r="13" spans="1:11" ht="54" hidden="1" outlineLevel="1" x14ac:dyDescent="0.25">
      <c r="A13" s="1187"/>
      <c r="B13" s="2428" t="s">
        <v>4815</v>
      </c>
      <c r="C13" s="2429" t="s">
        <v>4816</v>
      </c>
      <c r="D13" s="2429" t="s">
        <v>4817</v>
      </c>
      <c r="E13" s="2525">
        <f>(1-f_H2O_HFO_VSS)*X_HFO*M_MFeOH3/A_MFe+(X_HFO_L_P+X_HFO_L_P_old)*A_SFHFO_L*(M_MPO4/A_MFe)+(X_HFO_H_P+X_HFO_H_P_old)*A_SFHFO_H*(M_MPO4/A_MFe)</f>
        <v>1.4297448294386249E-2</v>
      </c>
      <c r="F13" s="1214" t="s">
        <v>1765</v>
      </c>
      <c r="G13" s="2523">
        <v>1</v>
      </c>
      <c r="H13" s="2523"/>
      <c r="I13" s="2529"/>
      <c r="J13" s="1187"/>
      <c r="K13" s="1187"/>
    </row>
    <row r="14" spans="1:11" s="104" customFormat="1" ht="36" hidden="1" outlineLevel="1" x14ac:dyDescent="0.25">
      <c r="A14" s="1187"/>
      <c r="B14" s="2428" t="s">
        <v>4818</v>
      </c>
      <c r="C14" s="2429" t="s">
        <v>4819</v>
      </c>
      <c r="D14" s="2429" t="s">
        <v>4820</v>
      </c>
      <c r="E14" s="2525">
        <f>(1-f_H2O_HAO_VSS)*X_HAO*M_MAlOH3/A_MAl+(X_HAO_L_P+X_HAO_L_P_old)*A_SFHAO_L*(M_MPO4/A_MAl)+(X_HAO_H_P+X_HAO_H_P_old)*A_SFHAO_H*(M_MPO4/A_MAl)</f>
        <v>1.8894650037988993E-2</v>
      </c>
      <c r="F14" s="1214" t="s">
        <v>1765</v>
      </c>
      <c r="G14" s="2523">
        <v>1</v>
      </c>
      <c r="H14" s="2523"/>
      <c r="I14" s="2529"/>
      <c r="J14" s="1185"/>
      <c r="K14" s="1185"/>
    </row>
    <row r="15" spans="1:11" s="104" customFormat="1" hidden="1" outlineLevel="1" x14ac:dyDescent="0.25">
      <c r="A15" s="1187"/>
      <c r="B15" s="2428" t="s">
        <v>4821</v>
      </c>
      <c r="C15" s="2429" t="s">
        <v>4822</v>
      </c>
      <c r="D15" s="2429" t="s">
        <v>4823</v>
      </c>
      <c r="E15" s="2525">
        <f>X_HFO_ISS+X_HAO_ISS</f>
        <v>3.3192098332375242E-2</v>
      </c>
      <c r="F15" s="1214" t="s">
        <v>1765</v>
      </c>
      <c r="G15" s="2523">
        <v>1</v>
      </c>
      <c r="H15" s="2523"/>
      <c r="I15" s="2529"/>
      <c r="J15" s="1185"/>
      <c r="K15" s="1185"/>
    </row>
    <row r="16" spans="1:11" s="104" customFormat="1" ht="36" hidden="1" outlineLevel="1" x14ac:dyDescent="0.25">
      <c r="A16" s="1185"/>
      <c r="B16" s="2428" t="s">
        <v>4824</v>
      </c>
      <c r="C16" s="2523" t="s">
        <v>4825</v>
      </c>
      <c r="D16" s="2429" t="s">
        <v>4831</v>
      </c>
      <c r="E16" s="2525">
        <f>(f_H2O_HFO_VSS-f_H2O_HFO_TSS)*X_HFO*M_MFeOH3/A_MFe+(f_H2O_HAO_VSS-f_H2O_HAO_TSS)*X_HAO*M_MAlOH3/A_MAl</f>
        <v>9.9865764606091728E-3</v>
      </c>
      <c r="F16" s="2523" t="s">
        <v>1762</v>
      </c>
      <c r="G16" s="2443">
        <v>1</v>
      </c>
      <c r="H16" s="2443"/>
      <c r="I16" s="2530"/>
      <c r="J16" s="1185"/>
      <c r="K16" s="1185"/>
    </row>
    <row r="17" spans="1:11" ht="54" hidden="1" outlineLevel="1" x14ac:dyDescent="0.25">
      <c r="A17" s="1187"/>
      <c r="B17" s="1300" t="s">
        <v>2032</v>
      </c>
      <c r="C17" s="1333" t="s">
        <v>2033</v>
      </c>
      <c r="D17" s="1334" t="s">
        <v>3925</v>
      </c>
      <c r="E17" s="1340">
        <f>(1-f_H2O_HFO_TSS)*X_HFO*M_MFeOH3/A_MFe+(X_HFO_L_P+X_HFO_L_P_old)*A_SFHFO_L*(M_MPO4/A_MFe)+(X_HFO_H_P+X_HFO_H_P_old)*A_SFHFO_H*(M_MPO4/A_MFe)</f>
        <v>1.7549958643029814E-2</v>
      </c>
      <c r="F17" s="1214" t="s">
        <v>1765</v>
      </c>
      <c r="G17" s="1214">
        <v>1</v>
      </c>
      <c r="H17" s="1214"/>
      <c r="I17" s="1374"/>
      <c r="J17" s="1187"/>
      <c r="K17" s="1187"/>
    </row>
    <row r="18" spans="1:11" s="104" customFormat="1" ht="36" hidden="1" outlineLevel="1" x14ac:dyDescent="0.25">
      <c r="A18" s="1185"/>
      <c r="B18" s="1197" t="s">
        <v>3922</v>
      </c>
      <c r="C18" s="1334" t="s">
        <v>3923</v>
      </c>
      <c r="D18" s="1334" t="s">
        <v>3924</v>
      </c>
      <c r="E18" s="1342">
        <f>(1-f_H2O_HAO_TSS)*X_HAO*M_MAlOH3/A_MAl+(X_HAO_L_P+X_HAO_L_P_old)*A_SFHAO_L*(M_MPO4/A_MAl)+(X_HAO_H_P+X_HAO_H_P_old)*A_SFHAO_H*(M_MPO4/A_MAl)</f>
        <v>2.5628716149954593E-2</v>
      </c>
      <c r="F18" s="1315" t="s">
        <v>1765</v>
      </c>
      <c r="G18" s="1315">
        <v>1</v>
      </c>
      <c r="H18" s="1315"/>
      <c r="I18" s="1375"/>
      <c r="J18" s="1185"/>
      <c r="K18" s="1185"/>
    </row>
    <row r="19" spans="1:11" s="104" customFormat="1" hidden="1" outlineLevel="1" x14ac:dyDescent="0.25">
      <c r="A19" s="1185"/>
      <c r="B19" s="1300" t="s">
        <v>3066</v>
      </c>
      <c r="C19" s="1483" t="s">
        <v>3067</v>
      </c>
      <c r="D19" s="1334" t="s">
        <v>3926</v>
      </c>
      <c r="E19" s="1343">
        <f>X_HFO_TSS+X_HAO_TSS</f>
        <v>4.3178674792984408E-2</v>
      </c>
      <c r="F19" s="1225" t="s">
        <v>1765</v>
      </c>
      <c r="G19" s="1225">
        <v>1</v>
      </c>
      <c r="H19" s="1225"/>
      <c r="I19" s="1374"/>
      <c r="J19" s="1185"/>
      <c r="K19" s="1185"/>
    </row>
    <row r="20" spans="1:11" s="104" customFormat="1" hidden="1" outlineLevel="1" x14ac:dyDescent="0.25">
      <c r="A20" s="1185"/>
      <c r="B20" s="2428" t="s">
        <v>4828</v>
      </c>
      <c r="C20" s="2523" t="s">
        <v>4829</v>
      </c>
      <c r="D20" s="2429" t="s">
        <v>4830</v>
      </c>
      <c r="E20" s="2525">
        <f>f_H2O_HFO_TSS*X_HFO*M_MFeOH3/A_MFe+f_H2O_HAO_TSS*X_HAO*M_MAlOH3/A_MAl</f>
        <v>4.8676896521996213E-3</v>
      </c>
      <c r="F20" s="2523" t="s">
        <v>1762</v>
      </c>
      <c r="G20" s="2443">
        <v>1</v>
      </c>
      <c r="H20" s="2443"/>
      <c r="I20" s="2530"/>
      <c r="J20" s="1185"/>
      <c r="K20" s="1185"/>
    </row>
    <row r="21" spans="1:11" hidden="1" outlineLevel="1" x14ac:dyDescent="0.25">
      <c r="A21" s="1187"/>
      <c r="B21" s="1300" t="s">
        <v>2030</v>
      </c>
      <c r="C21" s="1333" t="s">
        <v>2712</v>
      </c>
      <c r="D21" s="1333" t="s">
        <v>4826</v>
      </c>
      <c r="E21" s="1340">
        <f>X_Me_ISS+X_precip+X_INORG+i_TSS_PP*X_PP</f>
        <v>671.00093403381629</v>
      </c>
      <c r="F21" s="1214" t="s">
        <v>1765</v>
      </c>
      <c r="G21" s="1214">
        <v>1</v>
      </c>
      <c r="H21" s="1214"/>
      <c r="I21" s="1374"/>
      <c r="J21" s="1187"/>
      <c r="K21" s="1187"/>
    </row>
    <row r="22" spans="1:11" hidden="1" outlineLevel="1" x14ac:dyDescent="0.25">
      <c r="A22" s="1187"/>
      <c r="B22" s="1300" t="s">
        <v>1764</v>
      </c>
      <c r="C22" s="1333" t="s">
        <v>2713</v>
      </c>
      <c r="D22" s="2429" t="s">
        <v>4827</v>
      </c>
      <c r="E22" s="1340">
        <f>X_VSS+X_ISS-X_Me_H2O_TSS</f>
        <v>2417.16441125032</v>
      </c>
      <c r="F22" s="1214" t="s">
        <v>1765</v>
      </c>
      <c r="G22" s="1214">
        <v>1</v>
      </c>
      <c r="H22" s="1214"/>
      <c r="I22" s="1374"/>
      <c r="J22" s="1187"/>
      <c r="K22" s="1187"/>
    </row>
    <row r="23" spans="1:11" ht="36" hidden="1" outlineLevel="1" x14ac:dyDescent="0.25">
      <c r="A23" s="1187"/>
      <c r="B23" s="1300" t="s">
        <v>2035</v>
      </c>
      <c r="C23" s="2058" t="s">
        <v>2034</v>
      </c>
      <c r="D23" s="1333" t="s">
        <v>3678</v>
      </c>
      <c r="E23" s="1340">
        <f>X_TSS+S_U/i_CV_SU+S_B/i_CV_SB+f_VFA_DM*S_VFA/i_CV_VFA+C_B/i_CV_CB+C_U/i_CV_CU+S_NO3*M_MNO3/A_MN+S_NO2*M_MNO2/A_MN+S_PO4*M_MPO4/A_MP+S_CAT+S_AN+S_Ca+S_Mg+S_K+S_Fe2</f>
        <v>2814.6753928045578</v>
      </c>
      <c r="F23" s="1214" t="s">
        <v>3733</v>
      </c>
      <c r="G23" s="1214">
        <v>1</v>
      </c>
      <c r="H23" s="1214"/>
      <c r="I23" s="1374"/>
      <c r="J23" s="1187"/>
      <c r="K23" s="1187"/>
    </row>
    <row r="24" spans="1:11" hidden="1" outlineLevel="1" x14ac:dyDescent="0.25">
      <c r="A24" s="1187"/>
      <c r="B24" s="1300" t="s">
        <v>2127</v>
      </c>
      <c r="C24" s="1333" t="s">
        <v>2714</v>
      </c>
      <c r="D24" s="1333" t="s">
        <v>2130</v>
      </c>
      <c r="E24" s="1340">
        <f>Y_BOD_ult*(S_VFA+S_B+S_MEOL+C_B)</f>
        <v>0.96899999999999997</v>
      </c>
      <c r="F24" s="1314" t="s">
        <v>828</v>
      </c>
      <c r="G24" s="1214">
        <v>1</v>
      </c>
      <c r="H24" s="1214"/>
      <c r="I24" s="1375" t="s">
        <v>3677</v>
      </c>
      <c r="J24" s="1187"/>
      <c r="K24" s="1187"/>
    </row>
    <row r="25" spans="1:11" hidden="1" outlineLevel="1" x14ac:dyDescent="0.25">
      <c r="A25" s="1187"/>
      <c r="B25" s="1300" t="s">
        <v>2128</v>
      </c>
      <c r="C25" s="1333" t="s">
        <v>320</v>
      </c>
      <c r="D25" s="1333" t="s">
        <v>2150</v>
      </c>
      <c r="E25" s="1340">
        <f>Y_BOD_ult*(X_BIO+X_B+X_PHA+X_GLY)</f>
        <v>1037.875</v>
      </c>
      <c r="F25" s="1314" t="s">
        <v>828</v>
      </c>
      <c r="G25" s="1214">
        <v>1</v>
      </c>
      <c r="H25" s="1214"/>
      <c r="I25" s="1374"/>
      <c r="J25" s="1187"/>
      <c r="K25" s="1187"/>
    </row>
    <row r="26" spans="1:11" hidden="1" outlineLevel="1" x14ac:dyDescent="0.25">
      <c r="A26" s="1187"/>
      <c r="B26" s="1300" t="s">
        <v>2129</v>
      </c>
      <c r="C26" s="1333" t="s">
        <v>321</v>
      </c>
      <c r="D26" s="1333" t="s">
        <v>2131</v>
      </c>
      <c r="E26" s="1340">
        <f>S_BOD_ult+X_BOD_ult</f>
        <v>1038.8440000000001</v>
      </c>
      <c r="F26" s="1314" t="s">
        <v>828</v>
      </c>
      <c r="G26" s="1214">
        <v>1</v>
      </c>
      <c r="H26" s="1214"/>
      <c r="I26" s="1374"/>
      <c r="J26" s="1187"/>
      <c r="K26" s="1187"/>
    </row>
    <row r="27" spans="1:11" hidden="1" outlineLevel="1" x14ac:dyDescent="0.25">
      <c r="A27" s="1187"/>
      <c r="B27" s="1300" t="s">
        <v>322</v>
      </c>
      <c r="C27" s="1333" t="s">
        <v>2715</v>
      </c>
      <c r="D27" s="1333" t="s">
        <v>3031</v>
      </c>
      <c r="E27" s="1340">
        <f>Y_BOD_ult*(S_VFA+S_B+S_MEOL)*f_S_BOD5_BODult+Y_BOD_ult*C_B*f_C_BOD5_BODult</f>
        <v>0.86924999999999997</v>
      </c>
      <c r="F27" s="1314" t="s">
        <v>828</v>
      </c>
      <c r="G27" s="1214">
        <v>1</v>
      </c>
      <c r="H27" s="1214"/>
      <c r="I27" s="1374"/>
      <c r="J27" s="1187"/>
      <c r="K27" s="1187"/>
    </row>
    <row r="28" spans="1:11" hidden="1" outlineLevel="1" x14ac:dyDescent="0.25">
      <c r="A28" s="1187"/>
      <c r="B28" s="1300" t="s">
        <v>323</v>
      </c>
      <c r="C28" s="1333" t="s">
        <v>347</v>
      </c>
      <c r="D28" s="1333" t="s">
        <v>3032</v>
      </c>
      <c r="E28" s="1340">
        <f>X_BOD_ult*f_X_BOD5_BODult</f>
        <v>518.9375</v>
      </c>
      <c r="F28" s="1314" t="s">
        <v>828</v>
      </c>
      <c r="G28" s="1214">
        <v>1</v>
      </c>
      <c r="H28" s="1214"/>
      <c r="I28" s="1374"/>
      <c r="J28" s="1187"/>
      <c r="K28" s="1187"/>
    </row>
    <row r="29" spans="1:11" hidden="1" outlineLevel="1" x14ac:dyDescent="0.25">
      <c r="A29" s="1187"/>
      <c r="B29" s="1300" t="s">
        <v>324</v>
      </c>
      <c r="C29" s="1333" t="s">
        <v>348</v>
      </c>
      <c r="D29" s="1333" t="s">
        <v>3053</v>
      </c>
      <c r="E29" s="1340">
        <f>S_BOD_5+X_BOD_5</f>
        <v>519.80674999999997</v>
      </c>
      <c r="F29" s="1314" t="s">
        <v>828</v>
      </c>
      <c r="G29" s="1214">
        <v>1</v>
      </c>
      <c r="H29" s="1214"/>
      <c r="I29" s="1374"/>
      <c r="J29" s="1187"/>
      <c r="K29" s="1187"/>
    </row>
    <row r="30" spans="1:11" hidden="1" outlineLevel="1" x14ac:dyDescent="0.25">
      <c r="A30" s="1187"/>
      <c r="B30" s="1300" t="s">
        <v>325</v>
      </c>
      <c r="C30" s="1333" t="s">
        <v>350</v>
      </c>
      <c r="D30" s="1333" t="s">
        <v>1716</v>
      </c>
      <c r="E30" s="1340">
        <f>S_U+S_B+S_VFA+S_MEOL</f>
        <v>8.01</v>
      </c>
      <c r="F30" s="1214" t="s">
        <v>1183</v>
      </c>
      <c r="G30" s="1214">
        <v>1</v>
      </c>
      <c r="H30" s="1214"/>
      <c r="I30" s="1374"/>
      <c r="J30" s="1187"/>
      <c r="K30" s="1187"/>
    </row>
    <row r="31" spans="1:11" hidden="1" outlineLevel="1" x14ac:dyDescent="0.25">
      <c r="A31" s="1187"/>
      <c r="B31" s="1300" t="s">
        <v>349</v>
      </c>
      <c r="C31" s="1333" t="s">
        <v>2716</v>
      </c>
      <c r="D31" s="1333" t="s">
        <v>944</v>
      </c>
      <c r="E31" s="1340">
        <f>S_COD+C_B+C_U</f>
        <v>8.0299999999999994</v>
      </c>
      <c r="F31" s="1214" t="s">
        <v>1183</v>
      </c>
      <c r="G31" s="1214">
        <v>1</v>
      </c>
      <c r="H31" s="1214"/>
      <c r="I31" s="1374"/>
      <c r="J31" s="1187"/>
      <c r="K31" s="1187"/>
    </row>
    <row r="32" spans="1:11" hidden="1" outlineLevel="1" x14ac:dyDescent="0.25">
      <c r="A32" s="1187"/>
      <c r="B32" s="1300" t="s">
        <v>1769</v>
      </c>
      <c r="C32" s="1333" t="s">
        <v>326</v>
      </c>
      <c r="D32" s="1333" t="s">
        <v>1770</v>
      </c>
      <c r="E32" s="1340">
        <f>S_CCOD+X_COD</f>
        <v>2400.63</v>
      </c>
      <c r="F32" s="1214" t="s">
        <v>1183</v>
      </c>
      <c r="G32" s="1214">
        <v>1</v>
      </c>
      <c r="H32" s="1214"/>
      <c r="I32" s="1374"/>
      <c r="J32" s="1187"/>
      <c r="K32" s="1187"/>
    </row>
    <row r="33" spans="1:11" s="104" customFormat="1" ht="36" hidden="1" outlineLevel="1" x14ac:dyDescent="0.25">
      <c r="A33" s="1185"/>
      <c r="B33" s="1300" t="s">
        <v>2496</v>
      </c>
      <c r="C33" s="1333" t="s">
        <v>2497</v>
      </c>
      <c r="D33" s="1333" t="s">
        <v>2703</v>
      </c>
      <c r="E33" s="1340">
        <f>T_COD+S_H2+S_CH4+E_EQFe2*S_Fe2+(3*A_MFe/M_MVivi*E_EQFe2)*X_Vivi-E_EQNO3*S_NO3-E_EQNO2*S_NO2-E_EQN2*S_N2-S_O2</f>
        <v>2344.6207411453097</v>
      </c>
      <c r="F33" s="1214" t="s">
        <v>1183</v>
      </c>
      <c r="G33" s="1214">
        <v>1</v>
      </c>
      <c r="H33" s="1214"/>
      <c r="I33" s="1374"/>
      <c r="J33" s="1185"/>
      <c r="K33" s="1185"/>
    </row>
    <row r="34" spans="1:11" ht="36" hidden="1" outlineLevel="1" x14ac:dyDescent="0.25">
      <c r="A34" s="1187"/>
      <c r="B34" s="1300" t="s">
        <v>1771</v>
      </c>
      <c r="C34" s="1333" t="s">
        <v>333</v>
      </c>
      <c r="D34" s="1333" t="s">
        <v>2184</v>
      </c>
      <c r="E34" s="1340">
        <f>S_NHx+S_N_B+i_N_CB*C_B+X_N_B+i_N_SU*S_U+i_N_CU*C_U+X_N_U+i_N_BIO*X_BIO+i_N_XE*(X_E_ana+X_E)+i_N_XSTR*X_STR</f>
        <v>104.46120000000001</v>
      </c>
      <c r="F34" s="1214" t="s">
        <v>886</v>
      </c>
      <c r="G34" s="1214">
        <v>1</v>
      </c>
      <c r="H34" s="1214"/>
      <c r="I34" s="1374"/>
      <c r="J34" s="1187"/>
      <c r="K34" s="1187"/>
    </row>
    <row r="35" spans="1:11" hidden="1" outlineLevel="1" x14ac:dyDescent="0.25">
      <c r="A35" s="1187"/>
      <c r="B35" s="1453" t="s">
        <v>4540</v>
      </c>
      <c r="C35" s="1455" t="s">
        <v>4538</v>
      </c>
      <c r="D35" s="1455" t="s">
        <v>4539</v>
      </c>
      <c r="E35" s="1456">
        <f>S_N_B+i_N_CB*C_B+X_N_B+i_N_BIO*X_BIO</f>
        <v>75.385100000000008</v>
      </c>
      <c r="F35" s="1454" t="s">
        <v>886</v>
      </c>
      <c r="G35" s="1454">
        <v>1</v>
      </c>
      <c r="H35" s="1454"/>
      <c r="I35" s="1457"/>
      <c r="J35" s="1187"/>
      <c r="K35" s="1187"/>
    </row>
    <row r="36" spans="1:11" s="69" customFormat="1" hidden="1" outlineLevel="1" x14ac:dyDescent="0.25">
      <c r="A36" s="1283"/>
      <c r="B36" s="1301" t="s">
        <v>2332</v>
      </c>
      <c r="C36" s="1333" t="s">
        <v>2717</v>
      </c>
      <c r="D36" s="1482" t="s">
        <v>4520</v>
      </c>
      <c r="E36" s="1341">
        <f>S_NO2+S_NO3</f>
        <v>5.0999999999999996</v>
      </c>
      <c r="F36" s="1314" t="s">
        <v>334</v>
      </c>
      <c r="G36" s="1314">
        <v>1</v>
      </c>
      <c r="H36" s="1314"/>
      <c r="I36" s="2002"/>
      <c r="J36" s="1283"/>
      <c r="K36" s="1283"/>
    </row>
    <row r="37" spans="1:11" s="69" customFormat="1" hidden="1" outlineLevel="1" x14ac:dyDescent="0.25">
      <c r="A37" s="1283"/>
      <c r="B37" s="1458" t="s">
        <v>4516</v>
      </c>
      <c r="C37" s="2061" t="s">
        <v>4517</v>
      </c>
      <c r="D37" s="1333" t="s">
        <v>4519</v>
      </c>
      <c r="E37" s="1460">
        <f>S_NHx+S_NOx</f>
        <v>6.1</v>
      </c>
      <c r="F37" s="1314" t="s">
        <v>334</v>
      </c>
      <c r="G37" s="1314">
        <v>1</v>
      </c>
      <c r="H37" s="1459"/>
      <c r="I37" s="1987"/>
      <c r="J37" s="1283"/>
      <c r="K37" s="1283"/>
    </row>
    <row r="38" spans="1:11" hidden="1" outlineLevel="1" x14ac:dyDescent="0.25">
      <c r="A38" s="1187"/>
      <c r="B38" s="1300" t="s">
        <v>1772</v>
      </c>
      <c r="C38" s="1333" t="s">
        <v>335</v>
      </c>
      <c r="D38" s="1333" t="s">
        <v>4518</v>
      </c>
      <c r="E38" s="1340">
        <f>T_KN+S_NOx</f>
        <v>109.5612</v>
      </c>
      <c r="F38" s="1214" t="s">
        <v>886</v>
      </c>
      <c r="G38" s="1214">
        <v>1</v>
      </c>
      <c r="H38" s="1214"/>
      <c r="I38" s="1374"/>
      <c r="J38" s="1187"/>
      <c r="K38" s="1187"/>
    </row>
    <row r="39" spans="1:11" ht="36" hidden="1" outlineLevel="1" x14ac:dyDescent="0.25">
      <c r="A39" s="1187"/>
      <c r="B39" s="1300" t="s">
        <v>1773</v>
      </c>
      <c r="C39" s="1333" t="s">
        <v>789</v>
      </c>
      <c r="D39" s="1231" t="s">
        <v>4531</v>
      </c>
      <c r="E39" s="1340">
        <f>i_P_BIO*(X_BIO+X_E_ana+X_E)+S_PO4+S_P_B+i_P_CB*C_B+X_P_B+i_P_SU*S_U+X_P_U+i_P_CU*C_U+X_PP+i_P_XSTR*X_STR+X_HFO_P+X_HAO_P+i_P_XACP*X_ACP+i_P_XVivi*X_Vivi+i_P_XBSH*X_BSH</f>
        <v>90.136039999999994</v>
      </c>
      <c r="F39" s="1214" t="s">
        <v>888</v>
      </c>
      <c r="G39" s="1214">
        <v>1</v>
      </c>
      <c r="H39" s="1214"/>
      <c r="I39" s="1374"/>
      <c r="J39" s="1187"/>
      <c r="K39" s="1187"/>
    </row>
    <row r="40" spans="1:11" hidden="1" outlineLevel="1" x14ac:dyDescent="0.25">
      <c r="A40" s="1187"/>
      <c r="B40" s="1197" t="s">
        <v>3578</v>
      </c>
      <c r="C40" s="1229" t="s">
        <v>3579</v>
      </c>
      <c r="D40" s="1229" t="s">
        <v>3580</v>
      </c>
      <c r="E40" s="1344">
        <f>S_NHx+S_N_B+i_N_CB*C_B+i_N_SU*S_U+i_N_CU*C_U</f>
        <v>1.5702</v>
      </c>
      <c r="F40" s="1316" t="s">
        <v>886</v>
      </c>
      <c r="G40" s="1316">
        <v>1</v>
      </c>
      <c r="H40" s="1316"/>
      <c r="I40" s="1375"/>
      <c r="J40" s="1187"/>
      <c r="K40" s="1187"/>
    </row>
    <row r="41" spans="1:11" hidden="1" outlineLevel="1" x14ac:dyDescent="0.25">
      <c r="A41" s="1187"/>
      <c r="B41" s="2522" t="s">
        <v>4587</v>
      </c>
      <c r="C41" s="2524" t="s">
        <v>4588</v>
      </c>
      <c r="D41" s="2524" t="s">
        <v>4589</v>
      </c>
      <c r="E41" s="2526">
        <f>S_U*i_N_SU</f>
        <v>7.0000000000000007E-2</v>
      </c>
      <c r="F41" s="2528" t="s">
        <v>886</v>
      </c>
      <c r="G41" s="2528">
        <v>1</v>
      </c>
      <c r="H41" s="2528" t="s">
        <v>3948</v>
      </c>
      <c r="I41" s="2531"/>
      <c r="J41" s="1187"/>
      <c r="K41" s="1187"/>
    </row>
    <row r="42" spans="1:11" hidden="1" outlineLevel="1" x14ac:dyDescent="0.25">
      <c r="A42" s="1187"/>
      <c r="B42" s="1197" t="s">
        <v>3581</v>
      </c>
      <c r="C42" s="1229" t="s">
        <v>3582</v>
      </c>
      <c r="D42" s="1231" t="s">
        <v>3583</v>
      </c>
      <c r="E42" s="1344">
        <f>S_PO4+S_P_B+i_P_CB*C_B+i_P_SU*S_U+i_P_CU*C_U</f>
        <v>0.52404000000000006</v>
      </c>
      <c r="F42" s="1316" t="s">
        <v>888</v>
      </c>
      <c r="G42" s="1316">
        <v>1</v>
      </c>
      <c r="H42" s="1316"/>
      <c r="I42" s="1375"/>
      <c r="J42" s="1187"/>
      <c r="K42" s="1187"/>
    </row>
    <row r="43" spans="1:11" hidden="1" outlineLevel="1" x14ac:dyDescent="0.25">
      <c r="A43" s="1187"/>
      <c r="B43" s="1300" t="s">
        <v>1774</v>
      </c>
      <c r="C43" s="1333" t="s">
        <v>467</v>
      </c>
      <c r="D43" s="1333" t="s">
        <v>1775</v>
      </c>
      <c r="E43" s="1360">
        <f>X_HFO_H+X_HFO_L+X_HFO_L_P+X_HFO_H_P+X_HFO_old+X_HFO_L_P_old+X_HFO_H_P_old</f>
        <v>0.01</v>
      </c>
      <c r="F43" s="1214" t="s">
        <v>1967</v>
      </c>
      <c r="G43" s="1214">
        <v>1</v>
      </c>
      <c r="H43" s="1214"/>
      <c r="I43" s="1374"/>
      <c r="J43" s="1187"/>
      <c r="K43" s="1187"/>
    </row>
    <row r="44" spans="1:11" hidden="1" outlineLevel="1" x14ac:dyDescent="0.25">
      <c r="A44" s="1187"/>
      <c r="B44" s="1197" t="s">
        <v>3927</v>
      </c>
      <c r="C44" s="1334" t="s">
        <v>3928</v>
      </c>
      <c r="D44" s="1334" t="s">
        <v>3929</v>
      </c>
      <c r="E44" s="1619">
        <f>X_HAO_H+X_HAO_L+X_HAO_L_P+X_HAO_H_P+X_HAO_old+X_HAO_L_P_old+X_HAO_H_P_old</f>
        <v>0.01</v>
      </c>
      <c r="F44" s="1315" t="s">
        <v>3930</v>
      </c>
      <c r="G44" s="1315">
        <v>1</v>
      </c>
      <c r="H44" s="1315"/>
      <c r="I44" s="1375"/>
      <c r="J44" s="1187"/>
      <c r="K44" s="1187"/>
    </row>
    <row r="45" spans="1:11" hidden="1" outlineLevel="1" x14ac:dyDescent="0.25">
      <c r="A45" s="1187"/>
      <c r="B45" s="1300" t="s">
        <v>1776</v>
      </c>
      <c r="C45" s="1333" t="s">
        <v>1603</v>
      </c>
      <c r="D45" s="1333" t="s">
        <v>1901</v>
      </c>
      <c r="E45" s="1340">
        <f>X_HFO+S_Fe2+X_Vivi*3*A_MFe/M_MVivi</f>
        <v>0.01</v>
      </c>
      <c r="F45" s="1214" t="s">
        <v>1967</v>
      </c>
      <c r="G45" s="1214">
        <v>1</v>
      </c>
      <c r="H45" s="1214"/>
      <c r="I45" s="1374"/>
      <c r="J45" s="1187"/>
      <c r="K45" s="1187"/>
    </row>
    <row r="46" spans="1:11" hidden="1" outlineLevel="1" x14ac:dyDescent="0.25">
      <c r="A46" s="1187"/>
      <c r="B46" s="1197" t="s">
        <v>3931</v>
      </c>
      <c r="C46" s="1334" t="s">
        <v>3932</v>
      </c>
      <c r="D46" s="1334" t="s">
        <v>3933</v>
      </c>
      <c r="E46" s="1342">
        <f>X_HAO</f>
        <v>0.01</v>
      </c>
      <c r="F46" s="1315" t="s">
        <v>3930</v>
      </c>
      <c r="G46" s="1315">
        <v>1</v>
      </c>
      <c r="H46" s="1315"/>
      <c r="I46" s="1375"/>
      <c r="J46" s="1187"/>
      <c r="K46" s="1187"/>
    </row>
    <row r="47" spans="1:11" ht="36" hidden="1" outlineLevel="1" x14ac:dyDescent="0.25">
      <c r="A47" s="1187"/>
      <c r="B47" s="1197" t="s">
        <v>3934</v>
      </c>
      <c r="C47" s="1334" t="s">
        <v>3935</v>
      </c>
      <c r="D47" s="1334" t="s">
        <v>3936</v>
      </c>
      <c r="E47" s="1342">
        <f>S_Ca+i_Ca_PP*A_MCa/A_MP*X_PP+i_Ca_INORG*X_INORG+X_ACP*3*A_MCa/M_MACP+X_CaCO3*A_MCa/M_MCaCO3+X_BSH*A_MCa/M_MBSH</f>
        <v>180.76360322156796</v>
      </c>
      <c r="F47" s="1320" t="s">
        <v>986</v>
      </c>
      <c r="G47" s="1320">
        <v>1</v>
      </c>
      <c r="H47" s="1315"/>
      <c r="I47" s="1375"/>
      <c r="J47" s="1187"/>
      <c r="K47" s="1187"/>
    </row>
    <row r="48" spans="1:11" hidden="1" outlineLevel="1" x14ac:dyDescent="0.25">
      <c r="A48" s="1187"/>
      <c r="B48" s="1197" t="s">
        <v>3937</v>
      </c>
      <c r="C48" s="1334" t="s">
        <v>3938</v>
      </c>
      <c r="D48" s="1334" t="s">
        <v>3939</v>
      </c>
      <c r="E48" s="1342">
        <f>S_Mg+i_Mg_PP*A_MMg/A_MP*X_PP+i_Mg_INORG*X_INORG+X_STR*A_MMg/M_MSTR</f>
        <v>54.478624608282161</v>
      </c>
      <c r="F48" s="1320" t="s">
        <v>834</v>
      </c>
      <c r="G48" s="1320">
        <v>1</v>
      </c>
      <c r="H48" s="1315"/>
      <c r="I48" s="1375"/>
      <c r="J48" s="1187"/>
      <c r="K48" s="1187"/>
    </row>
    <row r="49" spans="1:14" hidden="1" outlineLevel="1" x14ac:dyDescent="0.25">
      <c r="A49" s="1187"/>
      <c r="B49" s="1300" t="s">
        <v>1777</v>
      </c>
      <c r="C49" s="1333" t="s">
        <v>2718</v>
      </c>
      <c r="D49" s="1334" t="s">
        <v>3943</v>
      </c>
      <c r="E49" s="1340">
        <f>(X_HFO_L_P+X_HFO_L_P_old)*A_SFHFO_L*(A_MP/A_MFe)+(X_HFO_H_P+X_HFO_H_P_old)*A_SFHFO_H*(A_MP/A_MFe)</f>
        <v>1.5529865549288207E-50</v>
      </c>
      <c r="F49" s="1214" t="s">
        <v>888</v>
      </c>
      <c r="G49" s="1214">
        <v>1</v>
      </c>
      <c r="H49" s="1214"/>
      <c r="I49" s="1374"/>
      <c r="J49" s="1187"/>
      <c r="K49" s="1187"/>
    </row>
    <row r="50" spans="1:14" hidden="1" outlineLevel="1" x14ac:dyDescent="0.25">
      <c r="A50" s="1187"/>
      <c r="B50" s="1197" t="s">
        <v>3940</v>
      </c>
      <c r="C50" s="1334" t="s">
        <v>3941</v>
      </c>
      <c r="D50" s="1334" t="s">
        <v>3942</v>
      </c>
      <c r="E50" s="1342">
        <f>(X_HAO_L_P+X_HAO_L_P_old)*A_SFHAO_L*(A_MP/A_MAl)+(X_HAO_H_P+X_HAO_H_P_old)*A_SFHAO_H*(A_MP/A_MAl)</f>
        <v>2.5255184789578044E-50</v>
      </c>
      <c r="F50" s="1315" t="s">
        <v>888</v>
      </c>
      <c r="G50" s="1315">
        <v>1</v>
      </c>
      <c r="H50" s="1315"/>
      <c r="I50" s="1375"/>
      <c r="J50" s="1187"/>
      <c r="K50" s="1187"/>
    </row>
    <row r="51" spans="1:14" hidden="1" outlineLevel="1" x14ac:dyDescent="0.25">
      <c r="A51" s="1187"/>
      <c r="B51" s="1302" t="s">
        <v>3730</v>
      </c>
      <c r="C51" s="1484" t="s">
        <v>3731</v>
      </c>
      <c r="D51" s="1484" t="s">
        <v>3732</v>
      </c>
      <c r="E51" s="1345">
        <f>S_NHx-S_NOx</f>
        <v>-4.0999999999999996</v>
      </c>
      <c r="F51" s="1316" t="s">
        <v>886</v>
      </c>
      <c r="G51" s="1316">
        <v>1</v>
      </c>
      <c r="H51" s="1317"/>
      <c r="I51" s="1376"/>
      <c r="J51" s="1187"/>
      <c r="K51" s="1187"/>
    </row>
    <row r="52" spans="1:14" hidden="1" outlineLevel="1" x14ac:dyDescent="0.25">
      <c r="A52" s="1281"/>
      <c r="B52" s="1302" t="s">
        <v>2702</v>
      </c>
      <c r="C52" s="1484" t="s">
        <v>1976</v>
      </c>
      <c r="D52" s="1484" t="s">
        <v>1977</v>
      </c>
      <c r="E52" s="1345">
        <f>X_VSS/X_TSS</f>
        <v>0.72240362996364005</v>
      </c>
      <c r="F52" s="1316" t="s">
        <v>3737</v>
      </c>
      <c r="G52" s="1316">
        <v>2</v>
      </c>
      <c r="H52" s="1317"/>
      <c r="I52" s="1376"/>
      <c r="J52" s="1281"/>
      <c r="K52" s="1281"/>
      <c r="L52"/>
      <c r="M52"/>
      <c r="N52"/>
    </row>
    <row r="53" spans="1:14" hidden="1" outlineLevel="1" x14ac:dyDescent="0.25">
      <c r="A53" s="1281"/>
      <c r="B53" s="1302" t="s">
        <v>3738</v>
      </c>
      <c r="C53" s="1484" t="s">
        <v>3739</v>
      </c>
      <c r="D53" s="1484" t="s">
        <v>1284</v>
      </c>
      <c r="E53" s="1345">
        <f>S_ALK</f>
        <v>5.5299706224952441E-3</v>
      </c>
      <c r="F53" s="1316" t="s">
        <v>1904</v>
      </c>
      <c r="G53" s="1316">
        <v>1</v>
      </c>
      <c r="H53" s="1317" t="s">
        <v>11</v>
      </c>
      <c r="I53" s="1376"/>
      <c r="J53" s="1281"/>
      <c r="K53" s="1281"/>
      <c r="L53"/>
      <c r="M53"/>
      <c r="N53"/>
    </row>
    <row r="54" spans="1:14" s="3" customFormat="1" hidden="1" outlineLevel="1" x14ac:dyDescent="0.25">
      <c r="A54" s="1294"/>
      <c r="B54" s="1303" t="s">
        <v>3944</v>
      </c>
      <c r="C54" s="2059" t="s">
        <v>3945</v>
      </c>
      <c r="D54" s="1485" t="s">
        <v>3946</v>
      </c>
      <c r="E54" s="1346">
        <f>MAX(0,f_TOC_1*T_COD-f_TOC_2)</f>
        <v>800.46115224000005</v>
      </c>
      <c r="F54" s="1318" t="s">
        <v>3947</v>
      </c>
      <c r="G54" s="1318">
        <v>1</v>
      </c>
      <c r="H54" s="1318" t="s">
        <v>3948</v>
      </c>
      <c r="I54" s="1985"/>
      <c r="J54" s="1294"/>
      <c r="K54" s="1294"/>
    </row>
    <row r="55" spans="1:14" s="3" customFormat="1" ht="54.75" hidden="1" outlineLevel="1" thickBot="1" x14ac:dyDescent="0.3">
      <c r="A55" s="1294"/>
      <c r="B55" s="1304" t="s">
        <v>3801</v>
      </c>
      <c r="C55" s="2060" t="s">
        <v>3802</v>
      </c>
      <c r="D55" s="1486" t="s">
        <v>4754</v>
      </c>
      <c r="E55" s="1347">
        <f>(X_VSS_BIO*(i_vw_BIO+i_iw_BIO+i_wh_BIO)+X_VSS_BIO*(i_vw_EPS+i_wh_EPS)+X_E/i_CV_XE*(i_vw_XE+i_wh_XE)+X_E/i_CV_XE*(i_vw_EPS+i_wh_EPS)+X_B/i_CV_XB*(i_vw_XB+i_wh_XB)+X_U/i_CV_XU*(i_vw_XU+i_wh_XU)+X_PHA/i_CV_PHA*(i_vw_PHA+i_wh_PHA)+X_GLY/i_CV_GLY*(i_vw_GLY+i_wh_GLY)+C_B/i_CV_CB*i_vw_CB+C_U/i_CV_CU*i_vw_CU)/X_VSS</f>
        <v>1.3631540965819826</v>
      </c>
      <c r="F55" s="1319" t="s">
        <v>3761</v>
      </c>
      <c r="G55" s="1319">
        <v>1</v>
      </c>
      <c r="H55" s="1319"/>
      <c r="I55" s="1986"/>
      <c r="J55" s="1294"/>
      <c r="K55" s="1294"/>
    </row>
    <row r="56" spans="1:14" customFormat="1" ht="18" customHeight="1" collapsed="1" thickBot="1" x14ac:dyDescent="0.3">
      <c r="A56" s="1281"/>
      <c r="B56" s="1285"/>
      <c r="C56" s="1285"/>
      <c r="D56" s="1285"/>
      <c r="E56" s="2527"/>
      <c r="F56" s="1285"/>
      <c r="G56" s="1285"/>
      <c r="H56" s="1285"/>
      <c r="I56" s="1285"/>
      <c r="J56" s="1281"/>
      <c r="K56" s="1281"/>
    </row>
    <row r="57" spans="1:14" customFormat="1" ht="18" customHeight="1" thickBot="1" x14ac:dyDescent="0.3">
      <c r="A57" s="1281"/>
      <c r="B57" s="1187"/>
      <c r="C57" s="1390" t="s">
        <v>4307</v>
      </c>
      <c r="D57" s="1335" t="s">
        <v>299</v>
      </c>
      <c r="E57" s="1335"/>
      <c r="F57" s="1187"/>
      <c r="G57" s="1187"/>
      <c r="H57" s="1187"/>
      <c r="I57" s="1187"/>
      <c r="J57" s="1281"/>
      <c r="K57" s="1281"/>
    </row>
    <row r="58" spans="1:14" customFormat="1" ht="18" customHeight="1" thickBot="1" x14ac:dyDescent="0.3">
      <c r="A58" s="1281"/>
      <c r="B58" s="2532" t="s">
        <v>0</v>
      </c>
      <c r="C58" s="2535" t="s">
        <v>1</v>
      </c>
      <c r="D58" s="2538" t="s">
        <v>5</v>
      </c>
      <c r="E58" s="2538" t="s">
        <v>152</v>
      </c>
      <c r="F58" s="2538" t="s">
        <v>2</v>
      </c>
      <c r="G58" s="2538" t="s">
        <v>298</v>
      </c>
      <c r="H58" s="2538" t="s">
        <v>116</v>
      </c>
      <c r="I58" s="2541" t="s">
        <v>117</v>
      </c>
      <c r="J58" s="1281"/>
      <c r="K58" s="1281"/>
    </row>
    <row r="59" spans="1:14" ht="18" hidden="1" customHeight="1" outlineLevel="1" x14ac:dyDescent="0.25">
      <c r="A59" s="1294"/>
      <c r="B59" s="1453" t="s">
        <v>4308</v>
      </c>
      <c r="C59" s="1455" t="s">
        <v>4546</v>
      </c>
      <c r="D59" s="1455" t="s">
        <v>4309</v>
      </c>
      <c r="E59" s="1456">
        <f>X_PHA+X_GLY</f>
        <v>23</v>
      </c>
      <c r="F59" s="1454" t="s">
        <v>1183</v>
      </c>
      <c r="G59" s="1454">
        <v>1</v>
      </c>
      <c r="H59" s="1454"/>
      <c r="I59" s="1457"/>
      <c r="J59" s="1187"/>
      <c r="K59" s="1187"/>
    </row>
    <row r="60" spans="1:14" s="3" customFormat="1" ht="18" hidden="1" customHeight="1" outlineLevel="1" x14ac:dyDescent="0.25">
      <c r="A60" s="1294"/>
      <c r="B60" s="1458" t="s">
        <v>4310</v>
      </c>
      <c r="C60" s="2061" t="s">
        <v>4311</v>
      </c>
      <c r="D60" s="2062" t="s">
        <v>4312</v>
      </c>
      <c r="E60" s="1460">
        <f>X_PHA/X_STC</f>
        <v>0.86956521739130432</v>
      </c>
      <c r="F60" s="1454" t="s">
        <v>282</v>
      </c>
      <c r="G60" s="1459">
        <v>1</v>
      </c>
      <c r="H60" s="1459"/>
      <c r="I60" s="1987"/>
      <c r="J60" s="1294"/>
      <c r="K60" s="1294"/>
    </row>
    <row r="61" spans="1:14" s="3" customFormat="1" ht="18" hidden="1" customHeight="1" outlineLevel="1" x14ac:dyDescent="0.25">
      <c r="A61" s="1294"/>
      <c r="B61" s="1458" t="s">
        <v>4313</v>
      </c>
      <c r="C61" s="2061" t="s">
        <v>4314</v>
      </c>
      <c r="D61" s="2062" t="s">
        <v>4315</v>
      </c>
      <c r="E61" s="1460">
        <f>X_GLY/X_STC</f>
        <v>0.13043478260869565</v>
      </c>
      <c r="F61" s="1454" t="s">
        <v>282</v>
      </c>
      <c r="G61" s="1459">
        <v>1</v>
      </c>
      <c r="H61" s="1459"/>
      <c r="I61" s="1987"/>
      <c r="J61" s="1294"/>
      <c r="K61" s="1294"/>
    </row>
    <row r="62" spans="1:14" ht="18" hidden="1" customHeight="1" outlineLevel="1" x14ac:dyDescent="0.25">
      <c r="A62" s="1294"/>
      <c r="B62" s="1453" t="s">
        <v>4316</v>
      </c>
      <c r="C62" s="2063" t="s">
        <v>4555</v>
      </c>
      <c r="D62" s="1455" t="s">
        <v>4317</v>
      </c>
      <c r="E62" s="1456">
        <f>actPAO*X_CASTO</f>
        <v>434.78260869565219</v>
      </c>
      <c r="F62" s="1454" t="s">
        <v>1183</v>
      </c>
      <c r="G62" s="1454">
        <v>1</v>
      </c>
      <c r="H62" s="1454"/>
      <c r="I62" s="1457"/>
      <c r="J62" s="1187"/>
      <c r="K62" s="1187"/>
    </row>
    <row r="63" spans="1:14" ht="18" hidden="1" customHeight="1" outlineLevel="1" x14ac:dyDescent="0.25">
      <c r="A63" s="1294"/>
      <c r="B63" s="1453" t="s">
        <v>4318</v>
      </c>
      <c r="C63" s="2063" t="s">
        <v>4556</v>
      </c>
      <c r="D63" s="1455" t="s">
        <v>4319</v>
      </c>
      <c r="E63" s="1456">
        <f>actGAO*X_CASTO</f>
        <v>65.217391304347828</v>
      </c>
      <c r="F63" s="1454" t="s">
        <v>1183</v>
      </c>
      <c r="G63" s="1454">
        <v>1</v>
      </c>
      <c r="H63" s="1454"/>
      <c r="I63" s="1457"/>
      <c r="J63" s="1187"/>
      <c r="K63" s="1187"/>
    </row>
    <row r="64" spans="1:14" s="3" customFormat="1" ht="18" hidden="1" customHeight="1" outlineLevel="1" x14ac:dyDescent="0.25">
      <c r="A64" s="1294"/>
      <c r="B64" s="1458" t="s">
        <v>4320</v>
      </c>
      <c r="C64" s="2061" t="s">
        <v>4321</v>
      </c>
      <c r="D64" s="2062" t="s">
        <v>4322</v>
      </c>
      <c r="E64" s="1460">
        <f>L_ogsatORP_GAO_T</f>
        <v>0.92056145081602159</v>
      </c>
      <c r="F64" s="1454" t="s">
        <v>282</v>
      </c>
      <c r="G64" s="1459">
        <v>1</v>
      </c>
      <c r="H64" s="1459"/>
      <c r="I64" s="1987"/>
      <c r="J64" s="1294"/>
      <c r="K64" s="1294"/>
    </row>
    <row r="65" spans="1:11" s="3" customFormat="1" ht="18" hidden="1" customHeight="1" outlineLevel="1" x14ac:dyDescent="0.25">
      <c r="A65" s="1294"/>
      <c r="B65" s="1458" t="s">
        <v>4323</v>
      </c>
      <c r="C65" s="2061" t="s">
        <v>4324</v>
      </c>
      <c r="D65" s="2064" t="s">
        <v>4325</v>
      </c>
      <c r="E65" s="1460">
        <f>(1-L_ogsatORP_GAO_T)</f>
        <v>7.9438549183978413E-2</v>
      </c>
      <c r="F65" s="1454" t="s">
        <v>282</v>
      </c>
      <c r="G65" s="1459">
        <v>1</v>
      </c>
      <c r="H65" s="1459"/>
      <c r="I65" s="1987"/>
      <c r="J65" s="1294"/>
      <c r="K65" s="1294"/>
    </row>
    <row r="66" spans="1:11" s="3" customFormat="1" ht="18" hidden="1" customHeight="1" outlineLevel="1" x14ac:dyDescent="0.25">
      <c r="A66" s="1294"/>
      <c r="B66" s="1458" t="s">
        <v>4326</v>
      </c>
      <c r="C66" s="2061" t="s">
        <v>4327</v>
      </c>
      <c r="D66" s="2062" t="s">
        <v>4328</v>
      </c>
      <c r="E66" s="1460">
        <f>(1-L_ogsatORP_GAO_T)*L_oginhORP_PAO</f>
        <v>3.2887063247728351E-9</v>
      </c>
      <c r="F66" s="1454" t="s">
        <v>282</v>
      </c>
      <c r="G66" s="1459">
        <v>1</v>
      </c>
      <c r="H66" s="1459"/>
      <c r="I66" s="1987"/>
      <c r="J66" s="1294"/>
      <c r="K66" s="1294"/>
    </row>
    <row r="67" spans="1:11" s="233" customFormat="1" ht="18" hidden="1" customHeight="1" outlineLevel="1" x14ac:dyDescent="0.25">
      <c r="A67" s="1189"/>
      <c r="B67" s="1453" t="s">
        <v>4331</v>
      </c>
      <c r="C67" s="1455" t="s">
        <v>4332</v>
      </c>
      <c r="D67" s="1455" t="s">
        <v>4333</v>
      </c>
      <c r="E67" s="2003">
        <f>(Y_CASTO_PHA_ox*X_PHA+Y_CASTO_GLY_ox*X_GLY)/X_STC</f>
        <v>0.63391304347826094</v>
      </c>
      <c r="F67" s="1455" t="s">
        <v>4334</v>
      </c>
      <c r="G67" s="1461">
        <v>2</v>
      </c>
      <c r="H67" s="1454"/>
      <c r="I67" s="1457"/>
      <c r="J67" s="1296"/>
      <c r="K67" s="1296"/>
    </row>
    <row r="68" spans="1:11" s="233" customFormat="1" ht="18" hidden="1" customHeight="1" outlineLevel="1" x14ac:dyDescent="0.25">
      <c r="A68" s="1189"/>
      <c r="B68" s="1462" t="s">
        <v>4335</v>
      </c>
      <c r="C68" s="1455" t="s">
        <v>4336</v>
      </c>
      <c r="D68" s="1455" t="s">
        <v>4337</v>
      </c>
      <c r="E68" s="2003">
        <f>(Y_CASTO_PHA_anox*X_PHA+Y_CASTO_GLY_anox*X_GLY)/X_STC</f>
        <v>0.5173913043478261</v>
      </c>
      <c r="F68" s="1455" t="s">
        <v>4334</v>
      </c>
      <c r="G68" s="1461">
        <v>2</v>
      </c>
      <c r="H68" s="1454"/>
      <c r="I68" s="1457"/>
      <c r="J68" s="1296"/>
      <c r="K68" s="1296"/>
    </row>
    <row r="69" spans="1:11" s="233" customFormat="1" ht="18" hidden="1" customHeight="1" outlineLevel="1" thickBot="1" x14ac:dyDescent="0.3">
      <c r="A69" s="1189"/>
      <c r="B69" s="1463" t="s">
        <v>4338</v>
      </c>
      <c r="C69" s="2065" t="s">
        <v>4339</v>
      </c>
      <c r="D69" s="1464" t="s">
        <v>4340</v>
      </c>
      <c r="E69" s="2004">
        <f>(i_CIT_PHA*X_PHA+i_CIT_GLY*X_GLY)/X_STC</f>
        <v>0.33847826086956523</v>
      </c>
      <c r="F69" s="1467" t="s">
        <v>1918</v>
      </c>
      <c r="G69" s="1465">
        <v>2</v>
      </c>
      <c r="H69" s="1465"/>
      <c r="I69" s="2005"/>
      <c r="J69" s="1296"/>
      <c r="K69" s="1296"/>
    </row>
    <row r="70" spans="1:11" customFormat="1" ht="18" customHeight="1" collapsed="1" thickBot="1" x14ac:dyDescent="0.3">
      <c r="A70" s="1281"/>
      <c r="B70" s="1285"/>
      <c r="C70" s="1285"/>
      <c r="D70" s="1285"/>
      <c r="E70" s="2527"/>
      <c r="F70" s="1285"/>
      <c r="G70" s="1285"/>
      <c r="H70" s="1285"/>
      <c r="I70" s="1285"/>
      <c r="J70" s="1281"/>
      <c r="K70" s="1281"/>
    </row>
    <row r="71" spans="1:11" customFormat="1" ht="18" customHeight="1" thickBot="1" x14ac:dyDescent="0.3">
      <c r="A71" s="1281"/>
      <c r="B71" s="1187"/>
      <c r="C71" s="1390" t="s">
        <v>2198</v>
      </c>
      <c r="D71" s="1335" t="s">
        <v>299</v>
      </c>
      <c r="E71" s="1335"/>
      <c r="F71" s="1187"/>
      <c r="G71" s="1187"/>
      <c r="H71" s="1187"/>
      <c r="I71" s="1187"/>
      <c r="J71" s="1281"/>
      <c r="K71" s="1281"/>
    </row>
    <row r="72" spans="1:11" customFormat="1" ht="18" customHeight="1" thickBot="1" x14ac:dyDescent="0.3">
      <c r="A72" s="1281"/>
      <c r="B72" s="2532" t="s">
        <v>0</v>
      </c>
      <c r="C72" s="2535" t="s">
        <v>1</v>
      </c>
      <c r="D72" s="2538" t="s">
        <v>5</v>
      </c>
      <c r="E72" s="2538" t="s">
        <v>152</v>
      </c>
      <c r="F72" s="2538" t="s">
        <v>2</v>
      </c>
      <c r="G72" s="2538" t="s">
        <v>298</v>
      </c>
      <c r="H72" s="2538" t="s">
        <v>116</v>
      </c>
      <c r="I72" s="2541" t="s">
        <v>117</v>
      </c>
      <c r="J72" s="1281"/>
      <c r="K72" s="1281"/>
    </row>
    <row r="73" spans="1:11" s="3" customFormat="1" ht="18" hidden="1" customHeight="1" outlineLevel="1" x14ac:dyDescent="0.25">
      <c r="A73" s="1294"/>
      <c r="B73" s="1196" t="s">
        <v>2199</v>
      </c>
      <c r="C73" s="2066" t="s">
        <v>2231</v>
      </c>
      <c r="D73" s="2062" t="s">
        <v>4358</v>
      </c>
      <c r="E73" s="1348">
        <f>O_RPbase+(O_RPmax_SO2-O_RPbase)*S_O2/(K_ORP_SO2+S_O2)</f>
        <v>285.36585365853659</v>
      </c>
      <c r="F73" s="1361" t="s">
        <v>2193</v>
      </c>
      <c r="G73" s="1361">
        <v>1</v>
      </c>
      <c r="H73" s="1361"/>
      <c r="I73" s="1988"/>
      <c r="J73" s="1294"/>
      <c r="K73" s="1294"/>
    </row>
    <row r="74" spans="1:11" s="3" customFormat="1" ht="18" hidden="1" customHeight="1" outlineLevel="1" x14ac:dyDescent="0.25">
      <c r="A74" s="1294"/>
      <c r="B74" s="1305" t="s">
        <v>2200</v>
      </c>
      <c r="C74" s="2061" t="s">
        <v>4341</v>
      </c>
      <c r="D74" s="2062" t="s">
        <v>4359</v>
      </c>
      <c r="E74" s="1349">
        <f>O_RPbase+(O_RPmax_SNOx-O_RPbase)*S_NOx/(K_ORP_SNOx+S_NOx)</f>
        <v>62.884615384615415</v>
      </c>
      <c r="F74" s="1320" t="s">
        <v>2193</v>
      </c>
      <c r="G74" s="1320">
        <v>1</v>
      </c>
      <c r="H74" s="1320"/>
      <c r="I74" s="1989"/>
      <c r="J74" s="1294"/>
      <c r="K74" s="1294"/>
    </row>
    <row r="75" spans="1:11" s="3" customFormat="1" ht="18" hidden="1" customHeight="1" outlineLevel="1" x14ac:dyDescent="0.25">
      <c r="A75" s="1294"/>
      <c r="B75" s="1458" t="s">
        <v>4342</v>
      </c>
      <c r="C75" s="2061" t="s">
        <v>4343</v>
      </c>
      <c r="D75" s="2062" t="s">
        <v>4344</v>
      </c>
      <c r="E75" s="1460">
        <f>S_H2+S_CH4</f>
        <v>0.02</v>
      </c>
      <c r="F75" s="1454" t="s">
        <v>1183</v>
      </c>
      <c r="G75" s="1459"/>
      <c r="H75" s="1459"/>
      <c r="I75" s="1987"/>
      <c r="J75" s="1294"/>
      <c r="K75" s="1294"/>
    </row>
    <row r="76" spans="1:11" s="3" customFormat="1" ht="30" hidden="1" outlineLevel="1" x14ac:dyDescent="0.25">
      <c r="A76" s="1294"/>
      <c r="B76" s="1458" t="s">
        <v>4345</v>
      </c>
      <c r="C76" s="2061" t="s">
        <v>4346</v>
      </c>
      <c r="D76" s="2062" t="s">
        <v>4347</v>
      </c>
      <c r="E76" s="1460">
        <f>O_RPbase*(S_H2_CH4)/(K_ORP_H2_CH4+S_H2_CH4)</f>
        <v>-1.1952191235059761</v>
      </c>
      <c r="F76" s="1459" t="s">
        <v>2193</v>
      </c>
      <c r="G76" s="1459">
        <v>1</v>
      </c>
      <c r="H76" s="1459"/>
      <c r="I76" s="1987"/>
      <c r="J76" s="1294"/>
      <c r="K76" s="1294"/>
    </row>
    <row r="77" spans="1:11" s="3" customFormat="1" ht="18" hidden="1" customHeight="1" outlineLevel="1" thickBot="1" x14ac:dyDescent="0.3">
      <c r="A77" s="1294"/>
      <c r="B77" s="1466" t="s">
        <v>2201</v>
      </c>
      <c r="C77" s="2067" t="s">
        <v>2198</v>
      </c>
      <c r="D77" s="2068" t="s">
        <v>4348</v>
      </c>
      <c r="E77" s="1468">
        <f>MAX(O_RPO2,O_RPNOx,O_RPH2_CH4)</f>
        <v>285.36585365853659</v>
      </c>
      <c r="F77" s="1467" t="s">
        <v>2193</v>
      </c>
      <c r="G77" s="1467">
        <v>1</v>
      </c>
      <c r="H77" s="1467"/>
      <c r="I77" s="1990"/>
      <c r="J77" s="1294"/>
      <c r="K77" s="1294"/>
    </row>
    <row r="78" spans="1:11" customFormat="1" ht="18" customHeight="1" collapsed="1" thickBot="1" x14ac:dyDescent="0.3">
      <c r="A78" s="1281"/>
      <c r="B78" s="1285"/>
      <c r="C78" s="1285"/>
      <c r="D78" s="1285"/>
      <c r="E78" s="2527"/>
      <c r="F78" s="1285"/>
      <c r="G78" s="1285"/>
      <c r="H78" s="1285"/>
      <c r="I78" s="1285"/>
      <c r="J78" s="1281"/>
      <c r="K78" s="1281"/>
    </row>
    <row r="79" spans="1:11" customFormat="1" ht="18" customHeight="1" thickBot="1" x14ac:dyDescent="0.3">
      <c r="A79" s="1281"/>
      <c r="B79" s="1187"/>
      <c r="C79" s="1390" t="s">
        <v>4349</v>
      </c>
      <c r="D79" s="1335" t="s">
        <v>299</v>
      </c>
      <c r="E79" s="1335"/>
      <c r="F79" s="1187"/>
      <c r="G79" s="1187"/>
      <c r="H79" s="1187"/>
      <c r="I79" s="1187"/>
      <c r="J79" s="1281"/>
      <c r="K79" s="1281"/>
    </row>
    <row r="80" spans="1:11" customFormat="1" ht="18" customHeight="1" thickBot="1" x14ac:dyDescent="0.3">
      <c r="A80" s="1281"/>
      <c r="B80" s="2532" t="s">
        <v>0</v>
      </c>
      <c r="C80" s="2535" t="s">
        <v>1</v>
      </c>
      <c r="D80" s="2538" t="s">
        <v>5</v>
      </c>
      <c r="E80" s="2538" t="s">
        <v>152</v>
      </c>
      <c r="F80" s="2538" t="s">
        <v>2</v>
      </c>
      <c r="G80" s="2538" t="s">
        <v>298</v>
      </c>
      <c r="H80" s="2538" t="s">
        <v>116</v>
      </c>
      <c r="I80" s="2541" t="s">
        <v>117</v>
      </c>
      <c r="J80" s="1281"/>
      <c r="K80" s="1281"/>
    </row>
    <row r="81" spans="1:11" s="3" customFormat="1" ht="18" hidden="1" customHeight="1" outlineLevel="1" x14ac:dyDescent="0.25">
      <c r="A81" s="1281"/>
      <c r="B81" s="1196" t="s">
        <v>2806</v>
      </c>
      <c r="C81" s="2066" t="s">
        <v>2807</v>
      </c>
      <c r="D81" s="2062" t="s">
        <v>4798</v>
      </c>
      <c r="E81" s="1348">
        <f>(1/(1+EXP(((S_ORPswitch-o_ffsetORPswitch)-(L_ogsatORP_PAO_Half))*(L_ogsatORP_PAO_Slope))))</f>
        <v>4.1399375473943306E-8</v>
      </c>
      <c r="F81" s="1361" t="s">
        <v>282</v>
      </c>
      <c r="G81" s="1361">
        <v>2</v>
      </c>
      <c r="H81" s="1361"/>
      <c r="I81" s="1988"/>
      <c r="J81" s="1294"/>
      <c r="K81" s="1294"/>
    </row>
    <row r="82" spans="1:11" s="3" customFormat="1" ht="30" hidden="1" outlineLevel="1" x14ac:dyDescent="0.25">
      <c r="A82" s="1281"/>
      <c r="B82" s="1196" t="s">
        <v>4350</v>
      </c>
      <c r="C82" s="2066" t="s">
        <v>4351</v>
      </c>
      <c r="D82" s="2062" t="s">
        <v>4352</v>
      </c>
      <c r="E82" s="1348">
        <f>(L_ogsatORP_GAO_Half_25-L_ogsatORP_GAO_Half_15)/(25-15)</f>
        <v>-8</v>
      </c>
      <c r="F82" s="1361" t="s">
        <v>4353</v>
      </c>
      <c r="G82" s="1361">
        <v>1</v>
      </c>
      <c r="H82" s="1361"/>
      <c r="I82" s="1988"/>
      <c r="J82" s="1294"/>
      <c r="K82" s="1294"/>
    </row>
    <row r="83" spans="1:11" s="3" customFormat="1" ht="30" hidden="1" outlineLevel="1" x14ac:dyDescent="0.25">
      <c r="A83" s="1281"/>
      <c r="B83" s="1196" t="s">
        <v>4527</v>
      </c>
      <c r="C83" s="2066" t="s">
        <v>4528</v>
      </c>
      <c r="D83" s="2062" t="s">
        <v>4354</v>
      </c>
      <c r="E83" s="1348">
        <f>L_ogsatORP_GAO_Half_25-s_lORP_GAO_Half_T*25</f>
        <v>90</v>
      </c>
      <c r="F83" s="1361" t="s">
        <v>2193</v>
      </c>
      <c r="G83" s="1361">
        <v>1</v>
      </c>
      <c r="H83" s="1361"/>
      <c r="I83" s="1988"/>
      <c r="J83" s="1294"/>
      <c r="K83" s="1294"/>
    </row>
    <row r="84" spans="1:11" s="3" customFormat="1" ht="18" hidden="1" customHeight="1" outlineLevel="1" x14ac:dyDescent="0.25">
      <c r="A84" s="1281"/>
      <c r="B84" s="1458" t="s">
        <v>4355</v>
      </c>
      <c r="C84" s="2066" t="s">
        <v>4356</v>
      </c>
      <c r="D84" s="2069" t="s">
        <v>4529</v>
      </c>
      <c r="E84" s="1469">
        <f>s_lORP_GAO_Half_T*T__+y_ORP_GAO_Half_T</f>
        <v>-70</v>
      </c>
      <c r="F84" s="1469" t="s">
        <v>2193</v>
      </c>
      <c r="G84" s="1469">
        <v>2</v>
      </c>
      <c r="H84" s="1459"/>
      <c r="I84" s="1987"/>
      <c r="J84" s="1187"/>
      <c r="K84" s="1294"/>
    </row>
    <row r="85" spans="1:11" s="3" customFormat="1" ht="18" hidden="1" customHeight="1" outlineLevel="1" x14ac:dyDescent="0.25">
      <c r="A85" s="1281"/>
      <c r="B85" s="1458" t="s">
        <v>4357</v>
      </c>
      <c r="C85" s="2066" t="s">
        <v>2808</v>
      </c>
      <c r="D85" s="2338" t="s">
        <v>4799</v>
      </c>
      <c r="E85" s="1470">
        <f>(1/(1+EXP(((L_ogsatORP_GAO_Half_T)-(S_ORPswitch-o_ffsetORPswitch))*(L_ogsatORP_GAO_Slope))))</f>
        <v>0.92056145081602159</v>
      </c>
      <c r="F85" s="1469" t="s">
        <v>282</v>
      </c>
      <c r="G85" s="1469">
        <v>2</v>
      </c>
      <c r="H85" s="1459"/>
      <c r="I85" s="1987"/>
      <c r="J85" s="1187"/>
      <c r="K85" s="1294"/>
    </row>
    <row r="86" spans="1:11" s="3" customFormat="1" ht="18" hidden="1" customHeight="1" outlineLevel="1" thickBot="1" x14ac:dyDescent="0.3">
      <c r="A86" s="1281"/>
      <c r="B86" s="1466" t="s">
        <v>3166</v>
      </c>
      <c r="C86" s="2067" t="s">
        <v>3167</v>
      </c>
      <c r="D86" s="2070" t="s">
        <v>4590</v>
      </c>
      <c r="E86" s="1472">
        <f>(1/(1+EXP(((O_RP)-(L_ogsatORP_HFO_Half))*(L_ogsatORP_HFO_Slope))))</f>
        <v>1.8355812980967403E-17</v>
      </c>
      <c r="F86" s="1471" t="s">
        <v>282</v>
      </c>
      <c r="G86" s="1471">
        <v>2</v>
      </c>
      <c r="H86" s="1467"/>
      <c r="I86" s="1990"/>
      <c r="J86" s="1187"/>
      <c r="K86" s="1294"/>
    </row>
    <row r="87" spans="1:11" customFormat="1" ht="18" customHeight="1" collapsed="1" thickBot="1" x14ac:dyDescent="0.3">
      <c r="A87" s="1281"/>
      <c r="B87" s="1285"/>
      <c r="C87" s="1285"/>
      <c r="D87" s="1285"/>
      <c r="E87" s="2527"/>
      <c r="F87" s="1285"/>
      <c r="G87" s="1285"/>
      <c r="H87" s="1285"/>
      <c r="I87" s="1285"/>
      <c r="J87" s="1281"/>
      <c r="K87" s="1281"/>
    </row>
    <row r="88" spans="1:11" customFormat="1" ht="18" customHeight="1" thickBot="1" x14ac:dyDescent="0.3">
      <c r="A88" s="1281"/>
      <c r="B88" s="1187"/>
      <c r="C88" s="1390" t="s">
        <v>1212</v>
      </c>
      <c r="D88" s="1335" t="s">
        <v>299</v>
      </c>
      <c r="E88" s="1335"/>
      <c r="F88" s="1187"/>
      <c r="G88" s="1187"/>
      <c r="H88" s="1187"/>
      <c r="I88" s="1187"/>
      <c r="J88" s="1281"/>
      <c r="K88" s="1281"/>
    </row>
    <row r="89" spans="1:11" customFormat="1" ht="18" customHeight="1" thickBot="1" x14ac:dyDescent="0.3">
      <c r="A89" s="1281"/>
      <c r="B89" s="2532" t="s">
        <v>0</v>
      </c>
      <c r="C89" s="2535" t="s">
        <v>1</v>
      </c>
      <c r="D89" s="2538" t="s">
        <v>5</v>
      </c>
      <c r="E89" s="2538" t="s">
        <v>152</v>
      </c>
      <c r="F89" s="2538" t="s">
        <v>2</v>
      </c>
      <c r="G89" s="2538" t="s">
        <v>298</v>
      </c>
      <c r="H89" s="2538" t="s">
        <v>116</v>
      </c>
      <c r="I89" s="2541" t="s">
        <v>117</v>
      </c>
      <c r="J89" s="1281"/>
      <c r="K89" s="1281"/>
    </row>
    <row r="90" spans="1:11" s="137" customFormat="1" ht="18" hidden="1" customHeight="1" outlineLevel="1" x14ac:dyDescent="0.25">
      <c r="A90" s="1189"/>
      <c r="B90" s="1487" t="s">
        <v>1778</v>
      </c>
      <c r="C90" s="2071" t="s">
        <v>2719</v>
      </c>
      <c r="D90" s="2071" t="s">
        <v>1779</v>
      </c>
      <c r="E90" s="1488">
        <f>((conc_Mg2p_I^(1/3)*conc_NH4p_I^(1/3)*conc_PO43m_I^(1/3)-K_sp_STR^(1/3))/K_sp_STR^(1/3))</f>
        <v>-0.96443559715132532</v>
      </c>
      <c r="F90" s="2006" t="s">
        <v>1906</v>
      </c>
      <c r="G90" s="1363">
        <v>2</v>
      </c>
      <c r="H90" s="2007" t="s">
        <v>1606</v>
      </c>
      <c r="I90" s="2008"/>
      <c r="J90" s="1189"/>
      <c r="K90" s="1189"/>
    </row>
    <row r="91" spans="1:11" s="137" customFormat="1" ht="18" hidden="1" customHeight="1" outlineLevel="1" x14ac:dyDescent="0.25">
      <c r="A91" s="1189"/>
      <c r="B91" s="1306" t="s">
        <v>1778</v>
      </c>
      <c r="C91" s="1321" t="s">
        <v>2719</v>
      </c>
      <c r="D91" s="1321">
        <v>0</v>
      </c>
      <c r="E91" s="1489">
        <f>0</f>
        <v>0</v>
      </c>
      <c r="F91" s="2009" t="s">
        <v>1906</v>
      </c>
      <c r="G91" s="1350">
        <v>0</v>
      </c>
      <c r="H91" s="1489" t="s">
        <v>1607</v>
      </c>
      <c r="I91" s="2010"/>
      <c r="J91" s="1189"/>
      <c r="K91" s="1189"/>
    </row>
    <row r="92" spans="1:11" s="137" customFormat="1" ht="18" hidden="1" customHeight="1" outlineLevel="1" x14ac:dyDescent="0.25">
      <c r="A92" s="1189"/>
      <c r="B92" s="1306" t="s">
        <v>1778</v>
      </c>
      <c r="C92" s="1321" t="s">
        <v>2719</v>
      </c>
      <c r="D92" s="1321">
        <v>0</v>
      </c>
      <c r="E92" s="1489">
        <f>0</f>
        <v>0</v>
      </c>
      <c r="F92" s="2009" t="s">
        <v>1906</v>
      </c>
      <c r="G92" s="1350">
        <v>0</v>
      </c>
      <c r="H92" s="1489" t="s">
        <v>1623</v>
      </c>
      <c r="I92" s="2010"/>
      <c r="J92" s="1189"/>
      <c r="K92" s="1189"/>
    </row>
    <row r="93" spans="1:11" s="137" customFormat="1" ht="18" hidden="1" customHeight="1" outlineLevel="1" x14ac:dyDescent="0.25">
      <c r="A93" s="1189"/>
      <c r="B93" s="1306" t="s">
        <v>1371</v>
      </c>
      <c r="C93" s="1321" t="s">
        <v>2600</v>
      </c>
      <c r="D93" s="1321" t="s">
        <v>2720</v>
      </c>
      <c r="E93" s="1350">
        <f>IF(P_recipDrivingForceSTR&gt;0,q_STR_PREC,q_STR_DISS*M_satXSTR_KSTR_DISS)</f>
        <v>9.9999999999999997E-48</v>
      </c>
      <c r="F93" s="1350" t="s">
        <v>1318</v>
      </c>
      <c r="G93" s="1350">
        <v>0</v>
      </c>
      <c r="H93" s="1489"/>
      <c r="I93" s="2010"/>
      <c r="J93" s="1189"/>
      <c r="K93" s="1189"/>
    </row>
    <row r="94" spans="1:11" s="137" customFormat="1" ht="18" hidden="1" customHeight="1" outlineLevel="1" x14ac:dyDescent="0.25">
      <c r="A94" s="1189"/>
      <c r="B94" s="1307" t="s">
        <v>1604</v>
      </c>
      <c r="C94" s="2072" t="s">
        <v>2721</v>
      </c>
      <c r="D94" s="2072" t="s">
        <v>1780</v>
      </c>
      <c r="E94" s="1351">
        <f>(conc_Ca2p_I^(3/5)*conc_PO43m_I^(2/5)-K_sp_ACP^(1/5))/K_sp_ACP^(1/5)</f>
        <v>-0.58898459210680687</v>
      </c>
      <c r="F94" s="2009" t="s">
        <v>1906</v>
      </c>
      <c r="G94" s="1364">
        <v>2</v>
      </c>
      <c r="H94" s="2011" t="s">
        <v>1606</v>
      </c>
      <c r="I94" s="2012"/>
      <c r="J94" s="1189"/>
      <c r="K94" s="1189"/>
    </row>
    <row r="95" spans="1:11" s="137" customFormat="1" ht="18" hidden="1" customHeight="1" outlineLevel="1" x14ac:dyDescent="0.25">
      <c r="A95" s="1189"/>
      <c r="B95" s="1306" t="s">
        <v>1604</v>
      </c>
      <c r="C95" s="1321" t="s">
        <v>2721</v>
      </c>
      <c r="D95" s="1321">
        <v>0</v>
      </c>
      <c r="E95" s="1350">
        <f>0</f>
        <v>0</v>
      </c>
      <c r="F95" s="2009" t="s">
        <v>1906</v>
      </c>
      <c r="G95" s="1350">
        <v>0</v>
      </c>
      <c r="H95" s="1489" t="s">
        <v>1607</v>
      </c>
      <c r="I95" s="2010"/>
      <c r="J95" s="1189"/>
      <c r="K95" s="1189"/>
    </row>
    <row r="96" spans="1:11" s="137" customFormat="1" ht="18" hidden="1" customHeight="1" outlineLevel="1" x14ac:dyDescent="0.25">
      <c r="A96" s="1189"/>
      <c r="B96" s="1306" t="s">
        <v>1604</v>
      </c>
      <c r="C96" s="1321" t="s">
        <v>2721</v>
      </c>
      <c r="D96" s="1321">
        <v>0</v>
      </c>
      <c r="E96" s="1350">
        <f>0</f>
        <v>0</v>
      </c>
      <c r="F96" s="2009" t="s">
        <v>1906</v>
      </c>
      <c r="G96" s="1350">
        <v>0</v>
      </c>
      <c r="H96" s="1489" t="s">
        <v>1623</v>
      </c>
      <c r="I96" s="2010"/>
      <c r="J96" s="1189"/>
      <c r="K96" s="1189"/>
    </row>
    <row r="97" spans="1:11" s="137" customFormat="1" ht="18" hidden="1" customHeight="1" outlineLevel="1" x14ac:dyDescent="0.25">
      <c r="A97" s="1189"/>
      <c r="B97" s="1306" t="s">
        <v>1372</v>
      </c>
      <c r="C97" s="1321" t="s">
        <v>2602</v>
      </c>
      <c r="D97" s="1321" t="s">
        <v>2722</v>
      </c>
      <c r="E97" s="1350">
        <f>IF(P_recipDrivingForceACP&gt;0,q_ACP_PREC,-q_ACP_DISS*M_satXACP_KACP_DISS)</f>
        <v>-4.9999999999999999E-48</v>
      </c>
      <c r="F97" s="1350" t="s">
        <v>1318</v>
      </c>
      <c r="G97" s="1350">
        <v>0</v>
      </c>
      <c r="H97" s="1489"/>
      <c r="I97" s="2010"/>
      <c r="J97" s="1189"/>
      <c r="K97" s="1189"/>
    </row>
    <row r="98" spans="1:11" s="137" customFormat="1" ht="18" hidden="1" customHeight="1" outlineLevel="1" x14ac:dyDescent="0.25">
      <c r="A98" s="1189"/>
      <c r="B98" s="1308" t="s">
        <v>4060</v>
      </c>
      <c r="C98" s="1365" t="s">
        <v>4061</v>
      </c>
      <c r="D98" s="1365" t="s">
        <v>4062</v>
      </c>
      <c r="E98" s="1351">
        <f>(conc_Ca2p_I^(1/2)*conc_HPO42m_I^(1/2)-K_sp_BSH^(1/2))/K_sp_BSH^(1/2)</f>
        <v>-0.70194703022622273</v>
      </c>
      <c r="F98" s="2009" t="s">
        <v>1906</v>
      </c>
      <c r="G98" s="1364">
        <v>2</v>
      </c>
      <c r="H98" s="2011" t="s">
        <v>1606</v>
      </c>
      <c r="I98" s="2012"/>
      <c r="J98" s="1189"/>
      <c r="K98" s="1189"/>
    </row>
    <row r="99" spans="1:11" s="137" customFormat="1" ht="18" hidden="1" customHeight="1" outlineLevel="1" x14ac:dyDescent="0.25">
      <c r="A99" s="1189"/>
      <c r="B99" s="1309" t="s">
        <v>4060</v>
      </c>
      <c r="C99" s="1322" t="s">
        <v>4061</v>
      </c>
      <c r="D99" s="1322">
        <v>0</v>
      </c>
      <c r="E99" s="1350">
        <f>0</f>
        <v>0</v>
      </c>
      <c r="F99" s="2009" t="s">
        <v>1906</v>
      </c>
      <c r="G99" s="1350">
        <v>0</v>
      </c>
      <c r="H99" s="1489" t="s">
        <v>1607</v>
      </c>
      <c r="I99" s="2010"/>
      <c r="J99" s="1189"/>
      <c r="K99" s="1189"/>
    </row>
    <row r="100" spans="1:11" s="137" customFormat="1" ht="18" hidden="1" customHeight="1" outlineLevel="1" x14ac:dyDescent="0.25">
      <c r="A100" s="1189"/>
      <c r="B100" s="1309" t="s">
        <v>4060</v>
      </c>
      <c r="C100" s="1322" t="s">
        <v>4061</v>
      </c>
      <c r="D100" s="1322">
        <v>0</v>
      </c>
      <c r="E100" s="1350">
        <f>0</f>
        <v>0</v>
      </c>
      <c r="F100" s="2009" t="s">
        <v>1906</v>
      </c>
      <c r="G100" s="1350">
        <v>0</v>
      </c>
      <c r="H100" s="1489" t="s">
        <v>1623</v>
      </c>
      <c r="I100" s="2010"/>
      <c r="J100" s="1189"/>
      <c r="K100" s="1189"/>
    </row>
    <row r="101" spans="1:11" s="137" customFormat="1" ht="18" hidden="1" customHeight="1" outlineLevel="1" x14ac:dyDescent="0.25">
      <c r="A101" s="1189"/>
      <c r="B101" s="1309" t="s">
        <v>3949</v>
      </c>
      <c r="C101" s="1323" t="s">
        <v>3809</v>
      </c>
      <c r="D101" s="1323" t="s">
        <v>3950</v>
      </c>
      <c r="E101" s="1323">
        <f>IF(P_recipDrivingForceBSH&gt;0,q_BSH_PREC,-q_BSH_DISS*M_satXBSH_KBSH_DISS)</f>
        <v>-4.9999999999999999E-46</v>
      </c>
      <c r="F101" s="1323" t="s">
        <v>3951</v>
      </c>
      <c r="G101" s="1323">
        <v>0</v>
      </c>
      <c r="H101" s="2013"/>
      <c r="I101" s="2014"/>
      <c r="J101" s="1189"/>
      <c r="K101" s="1189"/>
    </row>
    <row r="102" spans="1:11" s="137" customFormat="1" ht="18" hidden="1" customHeight="1" outlineLevel="1" x14ac:dyDescent="0.25">
      <c r="A102" s="1189"/>
      <c r="B102" s="1308" t="s">
        <v>1605</v>
      </c>
      <c r="C102" s="1365" t="s">
        <v>2723</v>
      </c>
      <c r="D102" s="1365" t="s">
        <v>1781</v>
      </c>
      <c r="E102" s="1352">
        <f>(conc_Ca2p_I^(1/2)*conc_CO32m_I^(1/2)-K_sp_CaCO3^(1/2))/K_sp_CaCO3^(1/2)</f>
        <v>-0.82475976089429781</v>
      </c>
      <c r="F102" s="2013" t="s">
        <v>1906</v>
      </c>
      <c r="G102" s="1365">
        <v>2</v>
      </c>
      <c r="H102" s="1490" t="s">
        <v>1606</v>
      </c>
      <c r="I102" s="2015"/>
      <c r="J102" s="1189"/>
      <c r="K102" s="1189"/>
    </row>
    <row r="103" spans="1:11" s="137" customFormat="1" ht="18" hidden="1" customHeight="1" outlineLevel="1" x14ac:dyDescent="0.25">
      <c r="A103" s="1189"/>
      <c r="B103" s="1309" t="s">
        <v>1605</v>
      </c>
      <c r="C103" s="1323" t="s">
        <v>2723</v>
      </c>
      <c r="D103" s="1323">
        <v>0</v>
      </c>
      <c r="E103" s="1323">
        <f>0</f>
        <v>0</v>
      </c>
      <c r="F103" s="2013" t="s">
        <v>1906</v>
      </c>
      <c r="G103" s="1323">
        <v>0</v>
      </c>
      <c r="H103" s="2013" t="s">
        <v>1607</v>
      </c>
      <c r="I103" s="2014"/>
      <c r="J103" s="1189"/>
      <c r="K103" s="1189"/>
    </row>
    <row r="104" spans="1:11" s="137" customFormat="1" ht="18" hidden="1" customHeight="1" outlineLevel="1" x14ac:dyDescent="0.25">
      <c r="A104" s="1189"/>
      <c r="B104" s="1309" t="s">
        <v>1605</v>
      </c>
      <c r="C104" s="1323" t="s">
        <v>2723</v>
      </c>
      <c r="D104" s="1323">
        <v>0</v>
      </c>
      <c r="E104" s="1323">
        <f>0</f>
        <v>0</v>
      </c>
      <c r="F104" s="2013" t="s">
        <v>1906</v>
      </c>
      <c r="G104" s="1323">
        <v>0</v>
      </c>
      <c r="H104" s="2013" t="s">
        <v>1623</v>
      </c>
      <c r="I104" s="2014"/>
      <c r="J104" s="1189"/>
      <c r="K104" s="1189"/>
    </row>
    <row r="105" spans="1:11" s="137" customFormat="1" ht="18" hidden="1" customHeight="1" outlineLevel="1" x14ac:dyDescent="0.25">
      <c r="A105" s="1189"/>
      <c r="B105" s="1306" t="s">
        <v>1373</v>
      </c>
      <c r="C105" s="1321" t="s">
        <v>2598</v>
      </c>
      <c r="D105" s="1321" t="s">
        <v>2724</v>
      </c>
      <c r="E105" s="1350">
        <f>IF(P_recipDrivingForceCaCO3&gt;0,q_CaCO3_PREC,-q_CaCO3_DISS*M_satXCaCO3_KCaCO3_DISS)</f>
        <v>-9.9999999999999994E-50</v>
      </c>
      <c r="F105" s="1350" t="s">
        <v>1318</v>
      </c>
      <c r="G105" s="1350">
        <v>0</v>
      </c>
      <c r="H105" s="1489"/>
      <c r="I105" s="2010"/>
      <c r="J105" s="1189"/>
      <c r="K105" s="1189"/>
    </row>
    <row r="106" spans="1:11" s="137" customFormat="1" ht="18" hidden="1" customHeight="1" outlineLevel="1" x14ac:dyDescent="0.25">
      <c r="A106" s="1189"/>
      <c r="B106" s="1307" t="s">
        <v>1782</v>
      </c>
      <c r="C106" s="2072" t="s">
        <v>2725</v>
      </c>
      <c r="D106" s="2072" t="s">
        <v>1783</v>
      </c>
      <c r="E106" s="1491">
        <f>((conc_Fe2p_I^(3/5)*conc_PO43m_I^(2/5)-K_sp_Vivi^(1/5))/K_sp_Vivi^(1/5))</f>
        <v>-1</v>
      </c>
      <c r="F106" s="1492" t="s">
        <v>1906</v>
      </c>
      <c r="G106" s="1366">
        <v>2</v>
      </c>
      <c r="H106" s="2011" t="s">
        <v>1606</v>
      </c>
      <c r="I106" s="2012"/>
      <c r="J106" s="1189"/>
      <c r="K106" s="1189"/>
    </row>
    <row r="107" spans="1:11" s="137" customFormat="1" ht="18" hidden="1" customHeight="1" outlineLevel="1" x14ac:dyDescent="0.25">
      <c r="A107" s="1189"/>
      <c r="B107" s="1306" t="s">
        <v>1782</v>
      </c>
      <c r="C107" s="1321" t="s">
        <v>2725</v>
      </c>
      <c r="D107" s="1321">
        <v>0</v>
      </c>
      <c r="E107" s="1492">
        <f>0</f>
        <v>0</v>
      </c>
      <c r="F107" s="1492" t="s">
        <v>1906</v>
      </c>
      <c r="G107" s="1367">
        <v>0</v>
      </c>
      <c r="H107" s="1489" t="s">
        <v>1607</v>
      </c>
      <c r="I107" s="2010"/>
      <c r="J107" s="1189"/>
      <c r="K107" s="1189"/>
    </row>
    <row r="108" spans="1:11" s="137" customFormat="1" ht="18" hidden="1" customHeight="1" outlineLevel="1" x14ac:dyDescent="0.25">
      <c r="A108" s="1189"/>
      <c r="B108" s="1306" t="s">
        <v>1782</v>
      </c>
      <c r="C108" s="1321" t="s">
        <v>2725</v>
      </c>
      <c r="D108" s="1321">
        <v>0</v>
      </c>
      <c r="E108" s="1492">
        <f>0</f>
        <v>0</v>
      </c>
      <c r="F108" s="1492" t="s">
        <v>1906</v>
      </c>
      <c r="G108" s="1367">
        <v>0</v>
      </c>
      <c r="H108" s="1489" t="s">
        <v>1623</v>
      </c>
      <c r="I108" s="2016"/>
      <c r="J108" s="1189"/>
      <c r="K108" s="1189"/>
    </row>
    <row r="109" spans="1:11" s="137" customFormat="1" ht="18" hidden="1" customHeight="1" outlineLevel="1" thickBot="1" x14ac:dyDescent="0.3">
      <c r="A109" s="1189"/>
      <c r="B109" s="1310" t="s">
        <v>1374</v>
      </c>
      <c r="C109" s="1324" t="s">
        <v>2604</v>
      </c>
      <c r="D109" s="1324" t="s">
        <v>2726</v>
      </c>
      <c r="E109" s="1353">
        <f>IF(P_recipDrivingForceVivi&gt;0,q_Vivi_PREC,-q_Vivi_DISS*M_satXVivi_KVivi_DISS)</f>
        <v>-1E-50</v>
      </c>
      <c r="F109" s="1353" t="s">
        <v>1318</v>
      </c>
      <c r="G109" s="1353">
        <v>0</v>
      </c>
      <c r="H109" s="2017"/>
      <c r="I109" s="2018"/>
      <c r="J109" s="1189"/>
      <c r="K109" s="1189"/>
    </row>
    <row r="110" spans="1:11" customFormat="1" ht="18" customHeight="1" collapsed="1" thickBot="1" x14ac:dyDescent="0.3">
      <c r="A110" s="1281"/>
      <c r="B110" s="1285"/>
      <c r="C110" s="1285"/>
      <c r="D110" s="1285"/>
      <c r="E110" s="2527"/>
      <c r="F110" s="1285"/>
      <c r="G110" s="1285"/>
      <c r="H110" s="1285"/>
      <c r="I110" s="1285"/>
      <c r="J110" s="1281"/>
      <c r="K110" s="1281"/>
    </row>
    <row r="111" spans="1:11" customFormat="1" ht="18" customHeight="1" thickBot="1" x14ac:dyDescent="0.3">
      <c r="A111" s="1281"/>
      <c r="B111" s="1187"/>
      <c r="C111" s="1390" t="s">
        <v>327</v>
      </c>
      <c r="D111" s="1335" t="s">
        <v>299</v>
      </c>
      <c r="E111" s="1335"/>
      <c r="F111" s="1187"/>
      <c r="G111" s="1187"/>
      <c r="H111" s="1187"/>
      <c r="I111" s="1187"/>
      <c r="J111" s="1281"/>
      <c r="K111" s="1281"/>
    </row>
    <row r="112" spans="1:11" customFormat="1" ht="18" customHeight="1" thickBot="1" x14ac:dyDescent="0.3">
      <c r="A112" s="1281"/>
      <c r="B112" s="2532" t="s">
        <v>0</v>
      </c>
      <c r="C112" s="2535" t="s">
        <v>1</v>
      </c>
      <c r="D112" s="2538" t="s">
        <v>5</v>
      </c>
      <c r="E112" s="2538" t="s">
        <v>152</v>
      </c>
      <c r="F112" s="2538" t="s">
        <v>2</v>
      </c>
      <c r="G112" s="2538" t="s">
        <v>298</v>
      </c>
      <c r="H112" s="2538" t="s">
        <v>116</v>
      </c>
      <c r="I112" s="2541" t="s">
        <v>117</v>
      </c>
      <c r="J112" s="1281"/>
      <c r="K112" s="1281"/>
    </row>
    <row r="113" spans="1:11" hidden="1" outlineLevel="1" x14ac:dyDescent="0.25">
      <c r="A113" s="1187"/>
      <c r="B113" s="1190" t="s">
        <v>328</v>
      </c>
      <c r="C113" s="1325" t="s">
        <v>3038</v>
      </c>
      <c r="D113" s="1368" t="s">
        <v>4805</v>
      </c>
      <c r="E113" s="1355">
        <f>C_OUR+N_OUR-(v_72_SO2*r_72)</f>
        <v>775.11224696566535</v>
      </c>
      <c r="F113" s="1362" t="s">
        <v>351</v>
      </c>
      <c r="G113" s="1362">
        <v>1</v>
      </c>
      <c r="H113" s="1362" t="s">
        <v>329</v>
      </c>
      <c r="I113" s="1377"/>
      <c r="J113" s="1187"/>
      <c r="K113" s="1187"/>
    </row>
    <row r="114" spans="1:11" ht="36" hidden="1" outlineLevel="1" x14ac:dyDescent="0.25">
      <c r="A114" s="1187"/>
      <c r="B114" s="1196" t="s">
        <v>2132</v>
      </c>
      <c r="C114" s="1333" t="s">
        <v>2729</v>
      </c>
      <c r="D114" s="1336" t="s">
        <v>4537</v>
      </c>
      <c r="E114" s="1356">
        <f>-(v_1_SO2*r_1+v_4_SO2*r_4+v_9_SO2*r_9+v_16_SO2*r_16+v_19_SO2*r_19+v_22_SO2*r_22+v_27_SO2*r_27)</f>
        <v>371.70325474086428</v>
      </c>
      <c r="F114" s="1214" t="s">
        <v>351</v>
      </c>
      <c r="G114" s="1233">
        <v>1</v>
      </c>
      <c r="H114" s="1214" t="s">
        <v>329</v>
      </c>
      <c r="I114" s="1579"/>
      <c r="J114" s="1187"/>
      <c r="K114" s="1187"/>
    </row>
    <row r="115" spans="1:11" hidden="1" outlineLevel="1" x14ac:dyDescent="0.25">
      <c r="A115" s="1187"/>
      <c r="B115" s="1196" t="s">
        <v>2133</v>
      </c>
      <c r="C115" s="1218" t="s">
        <v>2730</v>
      </c>
      <c r="D115" s="1336" t="s">
        <v>4806</v>
      </c>
      <c r="E115" s="1356">
        <f>-(v_37_SO2*r_37+v_40_SO2*r_40)</f>
        <v>403.40899222480107</v>
      </c>
      <c r="F115" s="1226" t="s">
        <v>351</v>
      </c>
      <c r="G115" s="1233">
        <v>1</v>
      </c>
      <c r="H115" s="1226" t="s">
        <v>329</v>
      </c>
      <c r="I115" s="1580"/>
      <c r="J115" s="1187"/>
      <c r="K115" s="1187"/>
    </row>
    <row r="116" spans="1:11" ht="36" hidden="1" outlineLevel="1" x14ac:dyDescent="0.25">
      <c r="A116" s="1187"/>
      <c r="B116" s="1191" t="s">
        <v>2727</v>
      </c>
      <c r="C116" s="1333" t="s">
        <v>330</v>
      </c>
      <c r="D116" s="1337" t="s">
        <v>4807</v>
      </c>
      <c r="E116" s="1356">
        <f>-(v_3_SNO3*r_3+v_6_SNO3*r_6+v_13_SNO3*r_13+v_18_SNO3*r_18+v_21_SNO3*r_21+v_24_SNO3*r_24+v_29_SNO3*r_29+v_63_SNO3*r_63)</f>
        <v>4.9214314170825162</v>
      </c>
      <c r="F116" s="1233" t="s">
        <v>1784</v>
      </c>
      <c r="G116" s="1233">
        <v>1</v>
      </c>
      <c r="H116" s="1233" t="s">
        <v>329</v>
      </c>
      <c r="I116" s="1580"/>
      <c r="J116" s="1187"/>
      <c r="K116" s="1187"/>
    </row>
    <row r="117" spans="1:11" ht="36" hidden="1" outlineLevel="1" x14ac:dyDescent="0.25">
      <c r="A117" s="1187"/>
      <c r="B117" s="1191" t="s">
        <v>2728</v>
      </c>
      <c r="C117" s="1333" t="s">
        <v>2333</v>
      </c>
      <c r="D117" s="1337" t="s">
        <v>4808</v>
      </c>
      <c r="E117" s="1357">
        <f>-(v_2_SNO2*r_2+v_5_SNO2*r_5+v_12_SNO2*r_12+v_17_SNO2*r_17+v_20_SNO2*r_20+v_23_SNO2*r_23+v_28_SNO2*r_28+v_40_SNO2*r_40+v_43_SNO2*r_43+v_62_SNO2*r_62)</f>
        <v>70.610406782499382</v>
      </c>
      <c r="F117" s="1233" t="s">
        <v>1784</v>
      </c>
      <c r="G117" s="1233">
        <v>1</v>
      </c>
      <c r="H117" s="1233" t="s">
        <v>329</v>
      </c>
      <c r="I117" s="1579"/>
      <c r="J117" s="1187"/>
      <c r="K117" s="1187"/>
    </row>
    <row r="118" spans="1:11" ht="36" hidden="1" outlineLevel="1" x14ac:dyDescent="0.25">
      <c r="A118" s="1187"/>
      <c r="B118" s="1191" t="s">
        <v>331</v>
      </c>
      <c r="C118" s="1333" t="s">
        <v>332</v>
      </c>
      <c r="D118" s="1337" t="s">
        <v>4809</v>
      </c>
      <c r="E118" s="1357">
        <f>i_N_BIO*(r_1+r_2+r_3+r_4+r_5+r_6+r_7+r_8+r_9+r_12+r_13+r_16+r_17+r_18+r_22+r_23+r_24+r_32+r_33+r_40+r_46+r_49)-(v_37_SNHx*r_37+v_43_SNHx*r_43+v_83_SNHx*r_83)</f>
        <v>139.73975728568121</v>
      </c>
      <c r="F118" s="1233" t="s">
        <v>1784</v>
      </c>
      <c r="G118" s="1233">
        <v>1</v>
      </c>
      <c r="H118" s="1233" t="s">
        <v>329</v>
      </c>
      <c r="I118" s="1579"/>
      <c r="J118" s="1187"/>
      <c r="K118" s="1187"/>
    </row>
    <row r="119" spans="1:11" hidden="1" outlineLevel="1" x14ac:dyDescent="0.25">
      <c r="A119" s="1187"/>
      <c r="B119" s="2428" t="s">
        <v>4841</v>
      </c>
      <c r="C119" s="2429" t="s">
        <v>4842</v>
      </c>
      <c r="D119" s="1337" t="s">
        <v>4843</v>
      </c>
      <c r="E119" s="2430">
        <f>-(v_43_SNHx*r_43+v_43_SNO2*r_43)</f>
        <v>6.7069527708493656E-3</v>
      </c>
      <c r="F119" s="1233" t="s">
        <v>1784</v>
      </c>
      <c r="G119" s="1233">
        <v>1</v>
      </c>
      <c r="H119" s="1233" t="s">
        <v>329</v>
      </c>
      <c r="I119" s="2431"/>
      <c r="J119" s="1187"/>
      <c r="K119" s="1187"/>
    </row>
    <row r="120" spans="1:11" hidden="1" outlineLevel="1" x14ac:dyDescent="0.25">
      <c r="A120" s="1187"/>
      <c r="B120" s="1191" t="s">
        <v>1907</v>
      </c>
      <c r="C120" s="1333" t="s">
        <v>1908</v>
      </c>
      <c r="D120" s="1337" t="s">
        <v>4532</v>
      </c>
      <c r="E120" s="1358">
        <f>P_URBIO+P_URCHEM</f>
        <v>317.93197631293907</v>
      </c>
      <c r="F120" s="1233" t="s">
        <v>1909</v>
      </c>
      <c r="G120" s="1233">
        <v>1</v>
      </c>
      <c r="H120" s="1233" t="s">
        <v>329</v>
      </c>
      <c r="I120" s="1579"/>
      <c r="J120" s="1187"/>
      <c r="K120" s="1187"/>
    </row>
    <row r="121" spans="1:11" ht="36" hidden="1" outlineLevel="1" x14ac:dyDescent="0.25">
      <c r="A121" s="1187"/>
      <c r="B121" s="1191" t="s">
        <v>1910</v>
      </c>
      <c r="C121" s="2073" t="s">
        <v>3039</v>
      </c>
      <c r="D121" s="1337" t="s">
        <v>4810</v>
      </c>
      <c r="E121" s="1358">
        <f>i_P_BIO*(r_1+r_2+r_3+r_4+r_5+r_6+r_7+r_8+r_9+r_12+r_13+r_16+r_17+r_18+r_32+r_33+r_37+r_38+r_43+r_46+r_49)+P_URBIOP</f>
        <v>317.93197631293907</v>
      </c>
      <c r="F121" s="1233" t="s">
        <v>1909</v>
      </c>
      <c r="G121" s="1233">
        <v>1</v>
      </c>
      <c r="H121" s="1233" t="s">
        <v>329</v>
      </c>
      <c r="I121" s="1579"/>
      <c r="J121" s="1187"/>
      <c r="K121" s="1187"/>
    </row>
    <row r="122" spans="1:11" hidden="1" outlineLevel="1" x14ac:dyDescent="0.25">
      <c r="A122" s="1187"/>
      <c r="B122" s="1191" t="s">
        <v>4535</v>
      </c>
      <c r="C122" s="1455" t="s">
        <v>4534</v>
      </c>
      <c r="D122" s="1337" t="s">
        <v>4536</v>
      </c>
      <c r="E122" s="1358">
        <f>-(v_19_SPO4*r_19+v_20_SPO4*r_20+v_21_SPO4*r_21)</f>
        <v>307.40702881656659</v>
      </c>
      <c r="F122" s="1233" t="s">
        <v>1909</v>
      </c>
      <c r="G122" s="1233">
        <v>1</v>
      </c>
      <c r="H122" s="1233" t="s">
        <v>329</v>
      </c>
      <c r="I122" s="1579"/>
      <c r="J122" s="1187"/>
      <c r="K122" s="1187"/>
    </row>
    <row r="123" spans="1:11" ht="36" hidden="1" outlineLevel="1" x14ac:dyDescent="0.25">
      <c r="A123" s="1187"/>
      <c r="B123" s="1191" t="s">
        <v>1911</v>
      </c>
      <c r="C123" s="2073" t="s">
        <v>3040</v>
      </c>
      <c r="D123" s="1337" t="s">
        <v>4811</v>
      </c>
      <c r="E123" s="1358">
        <f>-(v_66_SPO4*r_66+v_67_SPO4*r_67+v_75_SPO4*r_75+v_76_SPO4*r_76+v_81_SPO4*r_81+v_82_SPO4*r_82+v_83_SPO4*r_83+v_84_SPO4*r_84)</f>
        <v>-4.3032279172019584E-47</v>
      </c>
      <c r="F123" s="1233" t="s">
        <v>1909</v>
      </c>
      <c r="G123" s="1233">
        <v>1</v>
      </c>
      <c r="H123" s="1233" t="s">
        <v>329</v>
      </c>
      <c r="I123" s="1579"/>
      <c r="J123" s="1187"/>
      <c r="K123" s="1187"/>
    </row>
    <row r="124" spans="1:11" ht="54.75" hidden="1" outlineLevel="1" thickBot="1" x14ac:dyDescent="0.3">
      <c r="A124" s="1187"/>
      <c r="B124" s="1576" t="s">
        <v>1912</v>
      </c>
      <c r="C124" s="1464" t="s">
        <v>1913</v>
      </c>
      <c r="D124" s="1577" t="s">
        <v>4812</v>
      </c>
      <c r="E124" s="1578">
        <f>v_25_SPO4*r_25+v_31_SPO4*r_31+v_34_SPO4*r_34+v_35_SPO4*r_35+v_58_SPO4*r_58+v_62_SPO4*r_62+v_63_SPO4*r_63+v_68_SPO4*r_68+v_69_SPO4*r_69+v_70_SPO4*r_70+v_71_SPO4*r_71+v_77_SPO4*r_77+v_78_SPO4*r_78+v_79_SPO4*r_79</f>
        <v>9.2550164499598431</v>
      </c>
      <c r="F124" s="1465" t="s">
        <v>1909</v>
      </c>
      <c r="G124" s="1465">
        <v>1</v>
      </c>
      <c r="H124" s="1465" t="s">
        <v>329</v>
      </c>
      <c r="I124" s="1581"/>
      <c r="J124" s="1187"/>
      <c r="K124" s="1187"/>
    </row>
    <row r="125" spans="1:11" customFormat="1" ht="18" customHeight="1" collapsed="1" thickBot="1" x14ac:dyDescent="0.3">
      <c r="A125" s="1281"/>
      <c r="B125" s="1285"/>
      <c r="C125" s="1285"/>
      <c r="D125" s="1285"/>
      <c r="E125" s="2527"/>
      <c r="F125" s="1285"/>
      <c r="G125" s="1285"/>
      <c r="H125" s="1285"/>
      <c r="I125" s="1285"/>
      <c r="J125" s="1281"/>
      <c r="K125" s="1281"/>
    </row>
    <row r="126" spans="1:11" customFormat="1" ht="18" customHeight="1" thickBot="1" x14ac:dyDescent="0.3">
      <c r="A126" s="1281"/>
      <c r="B126" s="1187"/>
      <c r="C126" s="1390" t="s">
        <v>2188</v>
      </c>
      <c r="D126" s="1335" t="s">
        <v>299</v>
      </c>
      <c r="E126" s="1335"/>
      <c r="F126" s="1187"/>
      <c r="G126" s="1187"/>
      <c r="H126" s="1187"/>
      <c r="I126" s="1187"/>
      <c r="J126" s="1281"/>
      <c r="K126" s="1281"/>
    </row>
    <row r="127" spans="1:11" customFormat="1" ht="18" customHeight="1" thickBot="1" x14ac:dyDescent="0.3">
      <c r="A127" s="1281"/>
      <c r="B127" s="2532" t="s">
        <v>0</v>
      </c>
      <c r="C127" s="2535" t="s">
        <v>1</v>
      </c>
      <c r="D127" s="2538" t="s">
        <v>5</v>
      </c>
      <c r="E127" s="2538" t="s">
        <v>152</v>
      </c>
      <c r="F127" s="2538" t="s">
        <v>2</v>
      </c>
      <c r="G127" s="2538" t="s">
        <v>298</v>
      </c>
      <c r="H127" s="2538" t="s">
        <v>116</v>
      </c>
      <c r="I127" s="2541" t="s">
        <v>117</v>
      </c>
      <c r="J127" s="1281"/>
      <c r="K127" s="1281"/>
    </row>
    <row r="128" spans="1:11" s="103" customFormat="1" ht="18" hidden="1" customHeight="1" outlineLevel="1" x14ac:dyDescent="0.25">
      <c r="A128" s="1182"/>
      <c r="B128" s="1493" t="s">
        <v>2017</v>
      </c>
      <c r="C128" s="1325" t="s">
        <v>2731</v>
      </c>
      <c r="D128" s="2074" t="s">
        <v>2135</v>
      </c>
      <c r="E128" s="1359">
        <f>m_tox_ana_max</f>
        <v>10</v>
      </c>
      <c r="F128" s="1359" t="s">
        <v>1257</v>
      </c>
      <c r="G128" s="1368" t="s">
        <v>2018</v>
      </c>
      <c r="H128" s="1359" t="s">
        <v>1213</v>
      </c>
      <c r="I128" s="1991"/>
      <c r="J128" s="1380"/>
      <c r="K128" s="1182"/>
    </row>
    <row r="129" spans="1:11" s="103" customFormat="1" ht="18" hidden="1" customHeight="1" outlineLevel="1" thickBot="1" x14ac:dyDescent="0.3">
      <c r="A129" s="1182"/>
      <c r="B129" s="1193" t="s">
        <v>2017</v>
      </c>
      <c r="C129" s="1326" t="s">
        <v>2732</v>
      </c>
      <c r="D129" s="1326">
        <v>0</v>
      </c>
      <c r="E129" s="1326">
        <f>0</f>
        <v>0</v>
      </c>
      <c r="F129" s="1326" t="s">
        <v>1257</v>
      </c>
      <c r="G129" s="1369" t="s">
        <v>2018</v>
      </c>
      <c r="H129" s="1326" t="s">
        <v>2136</v>
      </c>
      <c r="I129" s="1992"/>
      <c r="J129" s="1380"/>
      <c r="K129" s="1182"/>
    </row>
    <row r="130" spans="1:11" customFormat="1" ht="18" customHeight="1" collapsed="1" thickBot="1" x14ac:dyDescent="0.3">
      <c r="A130" s="1281"/>
      <c r="B130" s="1285"/>
      <c r="C130" s="1285"/>
      <c r="D130" s="1285"/>
      <c r="E130" s="2527"/>
      <c r="F130" s="1285"/>
      <c r="G130" s="1285"/>
      <c r="H130" s="1285"/>
      <c r="I130" s="1285"/>
      <c r="J130" s="1281"/>
      <c r="K130" s="1281"/>
    </row>
    <row r="131" spans="1:11" customFormat="1" ht="18" customHeight="1" thickBot="1" x14ac:dyDescent="0.3">
      <c r="A131" s="1281"/>
      <c r="B131" s="1187"/>
      <c r="C131" s="1390" t="s">
        <v>3013</v>
      </c>
      <c r="D131" s="1335" t="s">
        <v>299</v>
      </c>
      <c r="E131" s="1335"/>
      <c r="F131" s="1187"/>
      <c r="G131" s="1187"/>
      <c r="H131" s="1187"/>
      <c r="I131" s="1187"/>
      <c r="J131" s="1281"/>
      <c r="K131" s="1281"/>
    </row>
    <row r="132" spans="1:11" customFormat="1" ht="18" customHeight="1" thickBot="1" x14ac:dyDescent="0.3">
      <c r="A132" s="1281"/>
      <c r="B132" s="2532" t="s">
        <v>0</v>
      </c>
      <c r="C132" s="2535" t="s">
        <v>1</v>
      </c>
      <c r="D132" s="2538" t="s">
        <v>5</v>
      </c>
      <c r="E132" s="2538" t="s">
        <v>152</v>
      </c>
      <c r="F132" s="2538" t="s">
        <v>2</v>
      </c>
      <c r="G132" s="2538" t="s">
        <v>298</v>
      </c>
      <c r="H132" s="2538" t="s">
        <v>116</v>
      </c>
      <c r="I132" s="2541" t="s">
        <v>117</v>
      </c>
      <c r="J132" s="1281"/>
      <c r="K132" s="1281"/>
    </row>
    <row r="133" spans="1:11" s="484" customFormat="1" ht="18" hidden="1" customHeight="1" outlineLevel="1" x14ac:dyDescent="0.25">
      <c r="A133" s="1295"/>
      <c r="B133" s="1173" t="s">
        <v>2334</v>
      </c>
      <c r="C133" s="2075" t="s">
        <v>2733</v>
      </c>
      <c r="D133" s="2075" t="s">
        <v>2335</v>
      </c>
      <c r="E133" s="1494">
        <f>K_NHx_AOB_AS</f>
        <v>0.7</v>
      </c>
      <c r="F133" s="489" t="s">
        <v>334</v>
      </c>
      <c r="G133" s="489">
        <v>2</v>
      </c>
      <c r="H133" s="485" t="s">
        <v>1252</v>
      </c>
      <c r="I133" s="2019"/>
      <c r="J133" s="1295"/>
      <c r="K133" s="1295"/>
    </row>
    <row r="134" spans="1:11" s="484" customFormat="1" ht="18" hidden="1" customHeight="1" outlineLevel="1" x14ac:dyDescent="0.25">
      <c r="A134" s="1295"/>
      <c r="B134" s="179" t="s">
        <v>2334</v>
      </c>
      <c r="C134" s="2076" t="s">
        <v>2733</v>
      </c>
      <c r="D134" s="2077" t="s">
        <v>3534</v>
      </c>
      <c r="E134" s="683">
        <f>K_NHx_AOB_AS*f_KS_biofilm</f>
        <v>0.27999999999999997</v>
      </c>
      <c r="F134" s="433" t="s">
        <v>334</v>
      </c>
      <c r="G134" s="433">
        <v>2</v>
      </c>
      <c r="H134" s="364" t="s">
        <v>1178</v>
      </c>
      <c r="I134" s="2020" t="s">
        <v>3577</v>
      </c>
      <c r="J134" s="1295"/>
      <c r="K134" s="1295"/>
    </row>
    <row r="135" spans="1:11" s="484" customFormat="1" ht="18" hidden="1" customHeight="1" outlineLevel="1" x14ac:dyDescent="0.25">
      <c r="A135" s="1295"/>
      <c r="B135" s="179" t="s">
        <v>2336</v>
      </c>
      <c r="C135" s="2076" t="s">
        <v>2734</v>
      </c>
      <c r="D135" s="2077" t="s">
        <v>2337</v>
      </c>
      <c r="E135" s="683">
        <f>K_CO2_AOB_AS</f>
        <v>12</v>
      </c>
      <c r="F135" s="681" t="s">
        <v>1215</v>
      </c>
      <c r="G135" s="433">
        <v>2</v>
      </c>
      <c r="H135" s="364" t="s">
        <v>4690</v>
      </c>
      <c r="I135" s="2020"/>
      <c r="J135" s="1295"/>
      <c r="K135" s="1295"/>
    </row>
    <row r="136" spans="1:11" s="484" customFormat="1" ht="18" hidden="1" customHeight="1" outlineLevel="1" x14ac:dyDescent="0.25">
      <c r="A136" s="1295"/>
      <c r="B136" s="179" t="s">
        <v>2336</v>
      </c>
      <c r="C136" s="2076" t="s">
        <v>2734</v>
      </c>
      <c r="D136" s="2077" t="s">
        <v>2338</v>
      </c>
      <c r="E136" s="683">
        <f>K_CO2_AOB_sidestream</f>
        <v>48</v>
      </c>
      <c r="F136" s="681" t="s">
        <v>1215</v>
      </c>
      <c r="G136" s="433">
        <v>2</v>
      </c>
      <c r="H136" s="364" t="s">
        <v>3503</v>
      </c>
      <c r="I136" s="2020"/>
      <c r="J136" s="1295"/>
      <c r="K136" s="1295"/>
    </row>
    <row r="137" spans="1:11" s="484" customFormat="1" ht="18" hidden="1" customHeight="1" outlineLevel="1" x14ac:dyDescent="0.25">
      <c r="A137" s="1295"/>
      <c r="B137" s="179" t="s">
        <v>2339</v>
      </c>
      <c r="C137" s="2076" t="s">
        <v>2735</v>
      </c>
      <c r="D137" s="2077" t="s">
        <v>2340</v>
      </c>
      <c r="E137" s="683">
        <f>K_CO2_AOB_pH_AS</f>
        <v>1E-3</v>
      </c>
      <c r="F137" s="681" t="s">
        <v>1968</v>
      </c>
      <c r="G137" s="433">
        <v>2</v>
      </c>
      <c r="H137" s="364" t="s">
        <v>4691</v>
      </c>
      <c r="I137" s="2020"/>
      <c r="J137" s="1295"/>
      <c r="K137" s="1295"/>
    </row>
    <row r="138" spans="1:11" s="484" customFormat="1" ht="18" hidden="1" customHeight="1" outlineLevel="1" x14ac:dyDescent="0.25">
      <c r="A138" s="1295"/>
      <c r="B138" s="179" t="s">
        <v>2339</v>
      </c>
      <c r="C138" s="2076" t="s">
        <v>2735</v>
      </c>
      <c r="D138" s="2077" t="s">
        <v>2341</v>
      </c>
      <c r="E138" s="683">
        <f>K_CO2_AOB_pH_sidestream</f>
        <v>4.0000000000000001E-3</v>
      </c>
      <c r="F138" s="681" t="s">
        <v>1968</v>
      </c>
      <c r="G138" s="433">
        <v>2</v>
      </c>
      <c r="H138" s="364" t="s">
        <v>3504</v>
      </c>
      <c r="I138" s="2020"/>
      <c r="J138" s="1295"/>
      <c r="K138" s="1295"/>
    </row>
    <row r="139" spans="1:11" s="484" customFormat="1" ht="18" hidden="1" customHeight="1" outlineLevel="1" x14ac:dyDescent="0.25">
      <c r="A139" s="1295"/>
      <c r="B139" s="179" t="s">
        <v>2342</v>
      </c>
      <c r="C139" s="2076" t="s">
        <v>2736</v>
      </c>
      <c r="D139" s="2077" t="s">
        <v>2343</v>
      </c>
      <c r="E139" s="683">
        <f>K_O2_AOB_AS</f>
        <v>0.25</v>
      </c>
      <c r="F139" s="681" t="s">
        <v>1182</v>
      </c>
      <c r="G139" s="433">
        <v>2</v>
      </c>
      <c r="H139" s="364" t="s">
        <v>1611</v>
      </c>
      <c r="I139" s="2020"/>
      <c r="J139" s="1295"/>
      <c r="K139" s="1295"/>
    </row>
    <row r="140" spans="1:11" s="484" customFormat="1" ht="18" hidden="1" customHeight="1" outlineLevel="1" x14ac:dyDescent="0.25">
      <c r="A140" s="1295"/>
      <c r="B140" s="179" t="s">
        <v>2342</v>
      </c>
      <c r="C140" s="2076" t="s">
        <v>2736</v>
      </c>
      <c r="D140" s="2077" t="s">
        <v>2344</v>
      </c>
      <c r="E140" s="683">
        <f>K_O2_AOB_sidestream</f>
        <v>0.5</v>
      </c>
      <c r="F140" s="681" t="s">
        <v>1182</v>
      </c>
      <c r="G140" s="433">
        <v>2</v>
      </c>
      <c r="H140" s="364" t="s">
        <v>1608</v>
      </c>
      <c r="I140" s="2020"/>
      <c r="J140" s="1295"/>
      <c r="K140" s="1295"/>
    </row>
    <row r="141" spans="1:11" s="484" customFormat="1" ht="18" hidden="1" customHeight="1" outlineLevel="1" x14ac:dyDescent="0.25">
      <c r="A141" s="1295"/>
      <c r="B141" s="179" t="s">
        <v>2342</v>
      </c>
      <c r="C141" s="2076" t="s">
        <v>2736</v>
      </c>
      <c r="D141" s="2077" t="s">
        <v>3535</v>
      </c>
      <c r="E141" s="683">
        <f>K_O2_AOB_AS*f_KS_biofilm</f>
        <v>0.1</v>
      </c>
      <c r="F141" s="681" t="s">
        <v>1182</v>
      </c>
      <c r="G141" s="433">
        <v>2</v>
      </c>
      <c r="H141" s="364" t="s">
        <v>1612</v>
      </c>
      <c r="I141" s="2020" t="s">
        <v>3577</v>
      </c>
      <c r="J141" s="1295"/>
      <c r="K141" s="1295"/>
    </row>
    <row r="142" spans="1:11" s="484" customFormat="1" ht="18" hidden="1" customHeight="1" outlineLevel="1" x14ac:dyDescent="0.25">
      <c r="A142" s="1295"/>
      <c r="B142" s="179" t="s">
        <v>2345</v>
      </c>
      <c r="C142" s="2076" t="s">
        <v>2737</v>
      </c>
      <c r="D142" s="2077" t="s">
        <v>2346</v>
      </c>
      <c r="E142" s="682">
        <f>K_NOx_AOB_AS</f>
        <v>0.03</v>
      </c>
      <c r="F142" s="681" t="s">
        <v>886</v>
      </c>
      <c r="G142" s="433">
        <v>2</v>
      </c>
      <c r="H142" s="364" t="s">
        <v>1252</v>
      </c>
      <c r="I142" s="2020"/>
      <c r="J142" s="1295"/>
      <c r="K142" s="1295"/>
    </row>
    <row r="143" spans="1:11" s="484" customFormat="1" ht="18" hidden="1" customHeight="1" outlineLevel="1" x14ac:dyDescent="0.25">
      <c r="A143" s="1295"/>
      <c r="B143" s="179" t="s">
        <v>2345</v>
      </c>
      <c r="C143" s="2076" t="s">
        <v>2737</v>
      </c>
      <c r="D143" s="2077" t="s">
        <v>3536</v>
      </c>
      <c r="E143" s="682">
        <f>K_NOx_AOB_AS*f_KS_biofilm</f>
        <v>1.2E-2</v>
      </c>
      <c r="F143" s="681" t="s">
        <v>886</v>
      </c>
      <c r="G143" s="433">
        <v>2</v>
      </c>
      <c r="H143" s="364" t="s">
        <v>1178</v>
      </c>
      <c r="I143" s="2020" t="s">
        <v>3577</v>
      </c>
      <c r="J143" s="1295"/>
      <c r="K143" s="1295"/>
    </row>
    <row r="144" spans="1:11" s="484" customFormat="1" ht="18" hidden="1" customHeight="1" outlineLevel="1" x14ac:dyDescent="0.25">
      <c r="A144" s="1295"/>
      <c r="B144" s="1495" t="s">
        <v>2739</v>
      </c>
      <c r="C144" s="2076" t="s">
        <v>2738</v>
      </c>
      <c r="D144" s="2076" t="s">
        <v>2740</v>
      </c>
      <c r="E144" s="682">
        <f>K_iHNO2_AOB_pH_AS</f>
        <v>9999</v>
      </c>
      <c r="F144" s="684" t="s">
        <v>3018</v>
      </c>
      <c r="G144" s="433">
        <v>2</v>
      </c>
      <c r="H144" s="364" t="s">
        <v>3505</v>
      </c>
      <c r="I144" s="2020"/>
      <c r="J144" s="1295"/>
      <c r="K144" s="1295"/>
    </row>
    <row r="145" spans="1:11" s="484" customFormat="1" ht="18" hidden="1" customHeight="1" outlineLevel="1" thickBot="1" x14ac:dyDescent="0.3">
      <c r="A145" s="1295"/>
      <c r="B145" s="1496" t="s">
        <v>2739</v>
      </c>
      <c r="C145" s="2078" t="s">
        <v>2738</v>
      </c>
      <c r="D145" s="2078" t="s">
        <v>3537</v>
      </c>
      <c r="E145" s="685">
        <f>K_iHNO2_AOB_pH_AS*f_KS_biofilm</f>
        <v>3999.6000000000004</v>
      </c>
      <c r="F145" s="686" t="s">
        <v>3018</v>
      </c>
      <c r="G145" s="490">
        <v>2</v>
      </c>
      <c r="H145" s="486" t="s">
        <v>3506</v>
      </c>
      <c r="I145" s="2021" t="s">
        <v>3577</v>
      </c>
      <c r="J145" s="1295"/>
      <c r="K145" s="1295"/>
    </row>
    <row r="146" spans="1:11" customFormat="1" ht="18" customHeight="1" collapsed="1" thickBot="1" x14ac:dyDescent="0.3">
      <c r="A146" s="1281"/>
      <c r="B146" s="1285"/>
      <c r="C146" s="1285"/>
      <c r="D146" s="1285"/>
      <c r="E146" s="2527"/>
      <c r="F146" s="1285"/>
      <c r="G146" s="1285"/>
      <c r="H146" s="1285"/>
      <c r="I146" s="1285"/>
      <c r="J146" s="1281"/>
      <c r="K146" s="1281"/>
    </row>
    <row r="147" spans="1:11" customFormat="1" ht="18" customHeight="1" thickBot="1" x14ac:dyDescent="0.3">
      <c r="A147" s="1281"/>
      <c r="B147" s="1187"/>
      <c r="C147" s="1390" t="s">
        <v>2749</v>
      </c>
      <c r="D147" s="1335" t="s">
        <v>299</v>
      </c>
      <c r="E147" s="1335"/>
      <c r="F147" s="1187"/>
      <c r="G147" s="1187"/>
      <c r="H147" s="1187"/>
      <c r="I147" s="1187"/>
      <c r="J147" s="1281"/>
      <c r="K147" s="1281"/>
    </row>
    <row r="148" spans="1:11" customFormat="1" ht="18" customHeight="1" thickBot="1" x14ac:dyDescent="0.3">
      <c r="A148" s="1281"/>
      <c r="B148" s="2532" t="s">
        <v>0</v>
      </c>
      <c r="C148" s="2535" t="s">
        <v>1</v>
      </c>
      <c r="D148" s="2538" t="s">
        <v>5</v>
      </c>
      <c r="E148" s="2538" t="s">
        <v>152</v>
      </c>
      <c r="F148" s="2538" t="s">
        <v>2</v>
      </c>
      <c r="G148" s="2538" t="s">
        <v>298</v>
      </c>
      <c r="H148" s="2538" t="s">
        <v>116</v>
      </c>
      <c r="I148" s="2541" t="s">
        <v>117</v>
      </c>
      <c r="J148" s="1281"/>
      <c r="K148" s="1281"/>
    </row>
    <row r="149" spans="1:11" s="484" customFormat="1" ht="18" hidden="1" customHeight="1" outlineLevel="1" x14ac:dyDescent="0.25">
      <c r="A149" s="1295"/>
      <c r="B149" s="1173" t="s">
        <v>2347</v>
      </c>
      <c r="C149" s="2075" t="s">
        <v>2744</v>
      </c>
      <c r="D149" s="2075" t="s">
        <v>2348</v>
      </c>
      <c r="E149" s="1494">
        <f>K_NO2_NOB_AS</f>
        <v>0.1</v>
      </c>
      <c r="F149" s="489" t="s">
        <v>334</v>
      </c>
      <c r="G149" s="489">
        <v>2</v>
      </c>
      <c r="H149" s="485" t="s">
        <v>1252</v>
      </c>
      <c r="I149" s="2019"/>
      <c r="J149" s="1295"/>
      <c r="K149" s="1295"/>
    </row>
    <row r="150" spans="1:11" s="484" customFormat="1" ht="18" hidden="1" customHeight="1" outlineLevel="1" x14ac:dyDescent="0.25">
      <c r="A150" s="1295"/>
      <c r="B150" s="179" t="s">
        <v>2347</v>
      </c>
      <c r="C150" s="2076" t="s">
        <v>2744</v>
      </c>
      <c r="D150" s="2077" t="s">
        <v>3538</v>
      </c>
      <c r="E150" s="683">
        <f>K_NO2_NOB_AS*f_KS_biofilm</f>
        <v>4.0000000000000008E-2</v>
      </c>
      <c r="F150" s="433" t="s">
        <v>334</v>
      </c>
      <c r="G150" s="433">
        <v>2</v>
      </c>
      <c r="H150" s="364" t="s">
        <v>1178</v>
      </c>
      <c r="I150" s="2020" t="s">
        <v>3577</v>
      </c>
      <c r="J150" s="1295"/>
      <c r="K150" s="1295"/>
    </row>
    <row r="151" spans="1:11" s="484" customFormat="1" ht="18" hidden="1" customHeight="1" outlineLevel="1" x14ac:dyDescent="0.25">
      <c r="A151" s="1295"/>
      <c r="B151" s="179" t="s">
        <v>2349</v>
      </c>
      <c r="C151" s="2076" t="s">
        <v>2745</v>
      </c>
      <c r="D151" s="2077" t="s">
        <v>2350</v>
      </c>
      <c r="E151" s="683">
        <f>K_CO2_NOB_AS</f>
        <v>0.3</v>
      </c>
      <c r="F151" s="681" t="s">
        <v>2351</v>
      </c>
      <c r="G151" s="433">
        <v>2</v>
      </c>
      <c r="H151" s="364" t="s">
        <v>1153</v>
      </c>
      <c r="I151" s="2020"/>
      <c r="J151" s="1295"/>
      <c r="K151" s="1295"/>
    </row>
    <row r="152" spans="1:11" s="484" customFormat="1" ht="18" hidden="1" customHeight="1" outlineLevel="1" x14ac:dyDescent="0.25">
      <c r="A152" s="1295"/>
      <c r="B152" s="179" t="s">
        <v>2352</v>
      </c>
      <c r="C152" s="2076" t="s">
        <v>2746</v>
      </c>
      <c r="D152" s="2077" t="s">
        <v>2353</v>
      </c>
      <c r="E152" s="683">
        <f>K_CO2_NOB_pH_AS</f>
        <v>2.0000000000000002E-5</v>
      </c>
      <c r="F152" s="681" t="s">
        <v>1968</v>
      </c>
      <c r="G152" s="433">
        <v>2</v>
      </c>
      <c r="H152" s="364" t="s">
        <v>11</v>
      </c>
      <c r="I152" s="2020"/>
      <c r="J152" s="1295"/>
      <c r="K152" s="1295"/>
    </row>
    <row r="153" spans="1:11" s="484" customFormat="1" ht="18" hidden="1" customHeight="1" outlineLevel="1" x14ac:dyDescent="0.25">
      <c r="A153" s="1295"/>
      <c r="B153" s="179" t="s">
        <v>2354</v>
      </c>
      <c r="C153" s="2076" t="s">
        <v>2747</v>
      </c>
      <c r="D153" s="2077" t="s">
        <v>2355</v>
      </c>
      <c r="E153" s="683">
        <f>K_O2_NOB_AS</f>
        <v>0.25</v>
      </c>
      <c r="F153" s="681" t="s">
        <v>1182</v>
      </c>
      <c r="G153" s="433">
        <v>2</v>
      </c>
      <c r="H153" s="364" t="s">
        <v>1611</v>
      </c>
      <c r="I153" s="2020"/>
      <c r="J153" s="1295"/>
      <c r="K153" s="1295"/>
    </row>
    <row r="154" spans="1:11" s="484" customFormat="1" ht="18" hidden="1" customHeight="1" outlineLevel="1" x14ac:dyDescent="0.25">
      <c r="A154" s="1295"/>
      <c r="B154" s="179" t="s">
        <v>2354</v>
      </c>
      <c r="C154" s="2076" t="s">
        <v>2747</v>
      </c>
      <c r="D154" s="2077" t="s">
        <v>2356</v>
      </c>
      <c r="E154" s="683">
        <f>K_O2_NOB_sidestream</f>
        <v>0.5</v>
      </c>
      <c r="F154" s="681" t="s">
        <v>1182</v>
      </c>
      <c r="G154" s="433">
        <v>2</v>
      </c>
      <c r="H154" s="364" t="s">
        <v>1608</v>
      </c>
      <c r="I154" s="2020"/>
      <c r="J154" s="1295"/>
      <c r="K154" s="1295"/>
    </row>
    <row r="155" spans="1:11" s="484" customFormat="1" ht="18" hidden="1" customHeight="1" outlineLevel="1" x14ac:dyDescent="0.25">
      <c r="A155" s="1295"/>
      <c r="B155" s="179" t="s">
        <v>2354</v>
      </c>
      <c r="C155" s="2076" t="s">
        <v>2747</v>
      </c>
      <c r="D155" s="2077" t="s">
        <v>3539</v>
      </c>
      <c r="E155" s="683">
        <f>K_O2_NOB_AS*f_KS_biofilm</f>
        <v>0.1</v>
      </c>
      <c r="F155" s="681" t="s">
        <v>1182</v>
      </c>
      <c r="G155" s="433">
        <v>2</v>
      </c>
      <c r="H155" s="364" t="s">
        <v>1612</v>
      </c>
      <c r="I155" s="2020" t="s">
        <v>3577</v>
      </c>
      <c r="J155" s="1295"/>
      <c r="K155" s="1295"/>
    </row>
    <row r="156" spans="1:11" s="484" customFormat="1" ht="18" hidden="1" customHeight="1" outlineLevel="1" x14ac:dyDescent="0.25">
      <c r="A156" s="1295"/>
      <c r="B156" s="179" t="s">
        <v>2357</v>
      </c>
      <c r="C156" s="2076" t="s">
        <v>2748</v>
      </c>
      <c r="D156" s="2077" t="s">
        <v>2358</v>
      </c>
      <c r="E156" s="682">
        <f>K_NOx_NOB_AS</f>
        <v>0.03</v>
      </c>
      <c r="F156" s="681" t="s">
        <v>886</v>
      </c>
      <c r="G156" s="433">
        <v>2</v>
      </c>
      <c r="H156" s="364" t="s">
        <v>1252</v>
      </c>
      <c r="I156" s="2020"/>
      <c r="J156" s="1295"/>
      <c r="K156" s="1295"/>
    </row>
    <row r="157" spans="1:11" s="484" customFormat="1" ht="18" hidden="1" customHeight="1" outlineLevel="1" x14ac:dyDescent="0.25">
      <c r="A157" s="1295"/>
      <c r="B157" s="179" t="s">
        <v>2357</v>
      </c>
      <c r="C157" s="2076" t="s">
        <v>2748</v>
      </c>
      <c r="D157" s="2077" t="s">
        <v>3540</v>
      </c>
      <c r="E157" s="682">
        <f>K_NOx_NOB_AS*f_KS_biofilm</f>
        <v>1.2E-2</v>
      </c>
      <c r="F157" s="681" t="s">
        <v>886</v>
      </c>
      <c r="G157" s="433">
        <v>2</v>
      </c>
      <c r="H157" s="364" t="s">
        <v>1178</v>
      </c>
      <c r="I157" s="2020" t="s">
        <v>3577</v>
      </c>
      <c r="J157" s="1295"/>
      <c r="K157" s="1295"/>
    </row>
    <row r="158" spans="1:11" s="484" customFormat="1" ht="18" hidden="1" customHeight="1" outlineLevel="1" x14ac:dyDescent="0.25">
      <c r="A158" s="1295"/>
      <c r="B158" s="1495" t="s">
        <v>2741</v>
      </c>
      <c r="C158" s="2076" t="s">
        <v>2742</v>
      </c>
      <c r="D158" s="2076" t="s">
        <v>2743</v>
      </c>
      <c r="E158" s="682">
        <f>K_iNH3_NOB_pH_AS</f>
        <v>9999</v>
      </c>
      <c r="F158" s="684" t="s">
        <v>2224</v>
      </c>
      <c r="G158" s="433">
        <v>2</v>
      </c>
      <c r="H158" s="364" t="s">
        <v>3505</v>
      </c>
      <c r="I158" s="2020"/>
      <c r="J158" s="1295"/>
      <c r="K158" s="1295"/>
    </row>
    <row r="159" spans="1:11" s="484" customFormat="1" ht="18" hidden="1" customHeight="1" outlineLevel="1" thickBot="1" x14ac:dyDescent="0.3">
      <c r="A159" s="1295"/>
      <c r="B159" s="1496" t="s">
        <v>2741</v>
      </c>
      <c r="C159" s="2078" t="s">
        <v>2742</v>
      </c>
      <c r="D159" s="2078" t="s">
        <v>3541</v>
      </c>
      <c r="E159" s="685">
        <f>K_iNH3_NOB_pH_AS*f_KS_biofilm</f>
        <v>3999.6000000000004</v>
      </c>
      <c r="F159" s="686" t="s">
        <v>2224</v>
      </c>
      <c r="G159" s="490">
        <v>2</v>
      </c>
      <c r="H159" s="486" t="s">
        <v>3506</v>
      </c>
      <c r="I159" s="2021" t="s">
        <v>3577</v>
      </c>
      <c r="J159" s="1295"/>
      <c r="K159" s="1295"/>
    </row>
    <row r="160" spans="1:11" customFormat="1" ht="18" customHeight="1" collapsed="1" thickBot="1" x14ac:dyDescent="0.3">
      <c r="A160" s="1281"/>
      <c r="B160" s="1285"/>
      <c r="C160" s="1285"/>
      <c r="D160" s="1285"/>
      <c r="E160" s="2527"/>
      <c r="F160" s="1285"/>
      <c r="G160" s="1285"/>
      <c r="H160" s="1285"/>
      <c r="I160" s="1285"/>
      <c r="J160" s="1281"/>
      <c r="K160" s="1281"/>
    </row>
    <row r="161" spans="1:11" customFormat="1" ht="18" customHeight="1" thickBot="1" x14ac:dyDescent="0.3">
      <c r="A161" s="1281"/>
      <c r="B161" s="1187"/>
      <c r="C161" s="1390" t="s">
        <v>2750</v>
      </c>
      <c r="D161" s="1335" t="s">
        <v>299</v>
      </c>
      <c r="E161" s="1335"/>
      <c r="F161" s="1187"/>
      <c r="G161" s="1187"/>
      <c r="H161" s="1187"/>
      <c r="I161" s="1187"/>
      <c r="J161" s="1281"/>
      <c r="K161" s="1281"/>
    </row>
    <row r="162" spans="1:11" customFormat="1" ht="18" customHeight="1" thickBot="1" x14ac:dyDescent="0.3">
      <c r="A162" s="1281"/>
      <c r="B162" s="2532" t="s">
        <v>0</v>
      </c>
      <c r="C162" s="2535" t="s">
        <v>1</v>
      </c>
      <c r="D162" s="2538" t="s">
        <v>5</v>
      </c>
      <c r="E162" s="2538" t="s">
        <v>152</v>
      </c>
      <c r="F162" s="2538" t="s">
        <v>2</v>
      </c>
      <c r="G162" s="2538" t="s">
        <v>298</v>
      </c>
      <c r="H162" s="2538" t="s">
        <v>116</v>
      </c>
      <c r="I162" s="2541" t="s">
        <v>117</v>
      </c>
      <c r="J162" s="1281"/>
      <c r="K162" s="1281"/>
    </row>
    <row r="163" spans="1:11" s="484" customFormat="1" ht="18" hidden="1" customHeight="1" outlineLevel="1" x14ac:dyDescent="0.25">
      <c r="A163" s="1295"/>
      <c r="B163" s="1497" t="s">
        <v>2359</v>
      </c>
      <c r="C163" s="2079" t="s">
        <v>2580</v>
      </c>
      <c r="D163" s="2080" t="s">
        <v>2360</v>
      </c>
      <c r="E163" s="1498">
        <f>K_NHx_AMX_AS</f>
        <v>2</v>
      </c>
      <c r="F163" s="491" t="s">
        <v>334</v>
      </c>
      <c r="G163" s="491">
        <v>2</v>
      </c>
      <c r="H163" s="487" t="s">
        <v>1252</v>
      </c>
      <c r="I163" s="2022"/>
      <c r="J163" s="1295"/>
      <c r="K163" s="1295"/>
    </row>
    <row r="164" spans="1:11" s="484" customFormat="1" ht="18" hidden="1" customHeight="1" outlineLevel="1" x14ac:dyDescent="0.25">
      <c r="A164" s="1295"/>
      <c r="B164" s="310" t="s">
        <v>2359</v>
      </c>
      <c r="C164" s="2081" t="s">
        <v>2580</v>
      </c>
      <c r="D164" s="1948" t="s">
        <v>3542</v>
      </c>
      <c r="E164" s="311">
        <f>K_NHx_AMX_AS*f_KS_biofilm</f>
        <v>0.8</v>
      </c>
      <c r="F164" s="434" t="s">
        <v>334</v>
      </c>
      <c r="G164" s="434">
        <v>2</v>
      </c>
      <c r="H164" s="366" t="s">
        <v>1178</v>
      </c>
      <c r="I164" s="2023" t="s">
        <v>3577</v>
      </c>
      <c r="J164" s="1295"/>
      <c r="K164" s="1295"/>
    </row>
    <row r="165" spans="1:11" s="484" customFormat="1" ht="18" hidden="1" customHeight="1" outlineLevel="1" x14ac:dyDescent="0.25">
      <c r="A165" s="1295"/>
      <c r="B165" s="310" t="s">
        <v>2361</v>
      </c>
      <c r="C165" s="2081" t="s">
        <v>2581</v>
      </c>
      <c r="D165" s="1948" t="s">
        <v>2362</v>
      </c>
      <c r="E165" s="311">
        <f>K_NO2_AMX_AS</f>
        <v>1</v>
      </c>
      <c r="F165" s="434" t="s">
        <v>334</v>
      </c>
      <c r="G165" s="434">
        <v>2</v>
      </c>
      <c r="H165" s="366" t="s">
        <v>1252</v>
      </c>
      <c r="I165" s="2023"/>
      <c r="J165" s="1295"/>
      <c r="K165" s="1295"/>
    </row>
    <row r="166" spans="1:11" s="484" customFormat="1" ht="18" hidden="1" customHeight="1" outlineLevel="1" x14ac:dyDescent="0.25">
      <c r="A166" s="1295"/>
      <c r="B166" s="310" t="s">
        <v>2361</v>
      </c>
      <c r="C166" s="2081" t="s">
        <v>2581</v>
      </c>
      <c r="D166" s="1948" t="s">
        <v>3543</v>
      </c>
      <c r="E166" s="311">
        <f>K_NO2_AMX_AS*f_KS_biofilm</f>
        <v>0.4</v>
      </c>
      <c r="F166" s="434" t="s">
        <v>334</v>
      </c>
      <c r="G166" s="434">
        <v>2</v>
      </c>
      <c r="H166" s="366" t="s">
        <v>1178</v>
      </c>
      <c r="I166" s="2023" t="s">
        <v>3577</v>
      </c>
      <c r="J166" s="1295"/>
      <c r="K166" s="1295"/>
    </row>
    <row r="167" spans="1:11" s="484" customFormat="1" ht="18" hidden="1" customHeight="1" outlineLevel="1" x14ac:dyDescent="0.25">
      <c r="A167" s="1295"/>
      <c r="B167" s="310" t="s">
        <v>2363</v>
      </c>
      <c r="C167" s="2081" t="s">
        <v>2582</v>
      </c>
      <c r="D167" s="1948" t="s">
        <v>2364</v>
      </c>
      <c r="E167" s="311">
        <f>K_CO2_AMX_AS</f>
        <v>3</v>
      </c>
      <c r="F167" s="687" t="s">
        <v>2351</v>
      </c>
      <c r="G167" s="434">
        <v>2</v>
      </c>
      <c r="H167" s="366" t="s">
        <v>1153</v>
      </c>
      <c r="I167" s="2023"/>
      <c r="J167" s="1295"/>
      <c r="K167" s="1295"/>
    </row>
    <row r="168" spans="1:11" s="484" customFormat="1" ht="18" hidden="1" customHeight="1" outlineLevel="1" x14ac:dyDescent="0.25">
      <c r="A168" s="1295"/>
      <c r="B168" s="310" t="s">
        <v>2365</v>
      </c>
      <c r="C168" s="2081" t="s">
        <v>2583</v>
      </c>
      <c r="D168" s="1948" t="s">
        <v>2366</v>
      </c>
      <c r="E168" s="311">
        <f>K_CO2_AMX_pH_AS</f>
        <v>2.0000000000000001E-4</v>
      </c>
      <c r="F168" s="687" t="s">
        <v>1968</v>
      </c>
      <c r="G168" s="434">
        <v>2</v>
      </c>
      <c r="H168" s="366" t="s">
        <v>11</v>
      </c>
      <c r="I168" s="2023"/>
      <c r="J168" s="1295"/>
      <c r="K168" s="1295"/>
    </row>
    <row r="169" spans="1:11" s="484" customFormat="1" ht="18" hidden="1" customHeight="1" outlineLevel="1" x14ac:dyDescent="0.25">
      <c r="A169" s="1295"/>
      <c r="B169" s="310" t="s">
        <v>3620</v>
      </c>
      <c r="C169" s="2081" t="s">
        <v>3621</v>
      </c>
      <c r="D169" s="1948" t="s">
        <v>3622</v>
      </c>
      <c r="E169" s="311">
        <f>K_iO2_AMX_AS</f>
        <v>0.4</v>
      </c>
      <c r="F169" s="687" t="s">
        <v>1182</v>
      </c>
      <c r="G169" s="434">
        <v>2</v>
      </c>
      <c r="H169" s="366" t="s">
        <v>1252</v>
      </c>
      <c r="I169" s="2023"/>
      <c r="J169" s="1295"/>
      <c r="K169" s="1295"/>
    </row>
    <row r="170" spans="1:11" s="484" customFormat="1" ht="18" hidden="1" customHeight="1" outlineLevel="1" x14ac:dyDescent="0.25">
      <c r="A170" s="1295"/>
      <c r="B170" s="310" t="s">
        <v>3620</v>
      </c>
      <c r="C170" s="2081" t="s">
        <v>3621</v>
      </c>
      <c r="D170" s="1948" t="s">
        <v>3623</v>
      </c>
      <c r="E170" s="311">
        <f>K_iO2_AMX_AS*f_KS_biofilm</f>
        <v>0.16000000000000003</v>
      </c>
      <c r="F170" s="687" t="s">
        <v>1182</v>
      </c>
      <c r="G170" s="434">
        <v>2</v>
      </c>
      <c r="H170" s="366" t="s">
        <v>1178</v>
      </c>
      <c r="I170" s="2023" t="s">
        <v>3577</v>
      </c>
      <c r="J170" s="1295"/>
      <c r="K170" s="1295"/>
    </row>
    <row r="171" spans="1:11" s="484" customFormat="1" ht="18" hidden="1" customHeight="1" outlineLevel="1" x14ac:dyDescent="0.25">
      <c r="A171" s="1295"/>
      <c r="B171" s="310" t="s">
        <v>2367</v>
      </c>
      <c r="C171" s="552" t="s">
        <v>3019</v>
      </c>
      <c r="D171" s="1948" t="s">
        <v>2368</v>
      </c>
      <c r="E171" s="688">
        <f>K_NOx_AMX_AS</f>
        <v>0.1</v>
      </c>
      <c r="F171" s="687" t="s">
        <v>886</v>
      </c>
      <c r="G171" s="434">
        <v>2</v>
      </c>
      <c r="H171" s="366" t="s">
        <v>1252</v>
      </c>
      <c r="I171" s="2023"/>
      <c r="J171" s="1295"/>
      <c r="K171" s="1295"/>
    </row>
    <row r="172" spans="1:11" s="484" customFormat="1" ht="18" hidden="1" customHeight="1" outlineLevel="1" x14ac:dyDescent="0.25">
      <c r="A172" s="1295"/>
      <c r="B172" s="310" t="s">
        <v>2367</v>
      </c>
      <c r="C172" s="552" t="s">
        <v>3019</v>
      </c>
      <c r="D172" s="1948" t="s">
        <v>3544</v>
      </c>
      <c r="E172" s="688">
        <f>K_NOx_AMX_AS*f_KS_biofilm</f>
        <v>4.0000000000000008E-2</v>
      </c>
      <c r="F172" s="687" t="s">
        <v>886</v>
      </c>
      <c r="G172" s="434">
        <v>2</v>
      </c>
      <c r="H172" s="366" t="s">
        <v>1178</v>
      </c>
      <c r="I172" s="2023" t="s">
        <v>3577</v>
      </c>
      <c r="J172" s="1295"/>
      <c r="K172" s="1295"/>
    </row>
    <row r="173" spans="1:11" s="484" customFormat="1" ht="18" hidden="1" customHeight="1" outlineLevel="1" x14ac:dyDescent="0.25">
      <c r="A173" s="1295"/>
      <c r="B173" s="590" t="s">
        <v>2947</v>
      </c>
      <c r="C173" s="2082" t="s">
        <v>2585</v>
      </c>
      <c r="D173" s="2082" t="s">
        <v>2948</v>
      </c>
      <c r="E173" s="688">
        <f>K_iHNO2_AMX_pH_AS</f>
        <v>1</v>
      </c>
      <c r="F173" s="689" t="s">
        <v>3018</v>
      </c>
      <c r="G173" s="434">
        <v>2</v>
      </c>
      <c r="H173" s="366" t="s">
        <v>3505</v>
      </c>
      <c r="I173" s="2023"/>
      <c r="J173" s="1295"/>
      <c r="K173" s="1295"/>
    </row>
    <row r="174" spans="1:11" s="484" customFormat="1" ht="18" hidden="1" customHeight="1" outlineLevel="1" thickBot="1" x14ac:dyDescent="0.3">
      <c r="A174" s="1295"/>
      <c r="B174" s="1499" t="s">
        <v>2947</v>
      </c>
      <c r="C174" s="2083" t="s">
        <v>2585</v>
      </c>
      <c r="D174" s="2084" t="s">
        <v>3545</v>
      </c>
      <c r="E174" s="690">
        <f>K_iHNO2_AMX_pH_AS*f_KS_biofilm</f>
        <v>0.4</v>
      </c>
      <c r="F174" s="691" t="s">
        <v>3018</v>
      </c>
      <c r="G174" s="492">
        <v>2</v>
      </c>
      <c r="H174" s="488" t="s">
        <v>3506</v>
      </c>
      <c r="I174" s="2024" t="s">
        <v>3577</v>
      </c>
      <c r="J174" s="1295"/>
      <c r="K174" s="1295"/>
    </row>
    <row r="175" spans="1:11" customFormat="1" ht="18" customHeight="1" collapsed="1" thickBot="1" x14ac:dyDescent="0.3">
      <c r="A175" s="1281"/>
      <c r="B175" s="1285"/>
      <c r="C175" s="1285"/>
      <c r="D175" s="1285"/>
      <c r="E175" s="2527"/>
      <c r="F175" s="1285"/>
      <c r="G175" s="1285"/>
      <c r="H175" s="1285"/>
      <c r="I175" s="1285"/>
      <c r="J175" s="1281"/>
      <c r="K175" s="1281"/>
    </row>
    <row r="176" spans="1:11" customFormat="1" ht="18" customHeight="1" thickBot="1" x14ac:dyDescent="0.3">
      <c r="A176" s="1281"/>
      <c r="B176" s="1187"/>
      <c r="C176" s="1390" t="s">
        <v>2751</v>
      </c>
      <c r="D176" s="1335" t="s">
        <v>299</v>
      </c>
      <c r="E176" s="1335"/>
      <c r="F176" s="1187"/>
      <c r="G176" s="1187"/>
      <c r="H176" s="1187"/>
      <c r="I176" s="1187"/>
      <c r="J176" s="1281"/>
      <c r="K176" s="1281"/>
    </row>
    <row r="177" spans="1:11" customFormat="1" ht="18" customHeight="1" thickBot="1" x14ac:dyDescent="0.3">
      <c r="A177" s="1281"/>
      <c r="B177" s="2532" t="s">
        <v>0</v>
      </c>
      <c r="C177" s="2535" t="s">
        <v>1</v>
      </c>
      <c r="D177" s="2538" t="s">
        <v>5</v>
      </c>
      <c r="E177" s="2538" t="s">
        <v>152</v>
      </c>
      <c r="F177" s="2538" t="s">
        <v>2</v>
      </c>
      <c r="G177" s="2538" t="s">
        <v>298</v>
      </c>
      <c r="H177" s="2538" t="s">
        <v>116</v>
      </c>
      <c r="I177" s="2541" t="s">
        <v>117</v>
      </c>
      <c r="J177" s="1281"/>
      <c r="K177" s="1281"/>
    </row>
    <row r="178" spans="1:11" s="233" customFormat="1" ht="18" hidden="1" customHeight="1" outlineLevel="1" x14ac:dyDescent="0.25">
      <c r="A178" s="1296"/>
      <c r="B178" s="234" t="s">
        <v>1785</v>
      </c>
      <c r="C178" s="2085" t="s">
        <v>2753</v>
      </c>
      <c r="D178" s="2086" t="s">
        <v>1940</v>
      </c>
      <c r="E178" s="370">
        <f>K_SB_AS</f>
        <v>5</v>
      </c>
      <c r="F178" s="305" t="s">
        <v>1183</v>
      </c>
      <c r="G178" s="305">
        <v>1</v>
      </c>
      <c r="H178" s="235" t="s">
        <v>1252</v>
      </c>
      <c r="I178" s="385"/>
      <c r="J178" s="1296"/>
      <c r="K178" s="1296"/>
    </row>
    <row r="179" spans="1:11" s="233" customFormat="1" ht="18" hidden="1" customHeight="1" outlineLevel="1" x14ac:dyDescent="0.25">
      <c r="A179" s="1296"/>
      <c r="B179" s="234" t="s">
        <v>1785</v>
      </c>
      <c r="C179" s="2085" t="s">
        <v>2753</v>
      </c>
      <c r="D179" s="2086" t="s">
        <v>3546</v>
      </c>
      <c r="E179" s="371">
        <f>K_SB_AS*f_KS_biofilm</f>
        <v>2</v>
      </c>
      <c r="F179" s="305" t="s">
        <v>1183</v>
      </c>
      <c r="G179" s="305">
        <v>2</v>
      </c>
      <c r="H179" s="235" t="s">
        <v>1178</v>
      </c>
      <c r="I179" s="385" t="s">
        <v>3577</v>
      </c>
      <c r="J179" s="1296"/>
      <c r="K179" s="1296"/>
    </row>
    <row r="180" spans="1:11" s="233" customFormat="1" ht="18" hidden="1" customHeight="1" outlineLevel="1" x14ac:dyDescent="0.25">
      <c r="A180" s="1296"/>
      <c r="B180" s="234" t="s">
        <v>1786</v>
      </c>
      <c r="C180" s="2085" t="s">
        <v>2754</v>
      </c>
      <c r="D180" s="2086" t="s">
        <v>1941</v>
      </c>
      <c r="E180" s="371">
        <f>K_VFA_AS</f>
        <v>0.5</v>
      </c>
      <c r="F180" s="305" t="s">
        <v>1787</v>
      </c>
      <c r="G180" s="305">
        <v>2</v>
      </c>
      <c r="H180" s="235" t="s">
        <v>1252</v>
      </c>
      <c r="I180" s="385"/>
      <c r="J180" s="1296"/>
      <c r="K180" s="1296"/>
    </row>
    <row r="181" spans="1:11" s="233" customFormat="1" ht="18" hidden="1" customHeight="1" outlineLevel="1" x14ac:dyDescent="0.25">
      <c r="A181" s="1296"/>
      <c r="B181" s="234" t="s">
        <v>1786</v>
      </c>
      <c r="C181" s="2085" t="s">
        <v>2754</v>
      </c>
      <c r="D181" s="2086" t="s">
        <v>3547</v>
      </c>
      <c r="E181" s="372">
        <f>K_VFA_AS*f_KS_biofilm</f>
        <v>0.2</v>
      </c>
      <c r="F181" s="305" t="s">
        <v>1787</v>
      </c>
      <c r="G181" s="305">
        <v>3</v>
      </c>
      <c r="H181" s="235" t="s">
        <v>1178</v>
      </c>
      <c r="I181" s="385" t="s">
        <v>3577</v>
      </c>
      <c r="J181" s="1296"/>
      <c r="K181" s="1296"/>
    </row>
    <row r="182" spans="1:11" s="233" customFormat="1" ht="18" hidden="1" customHeight="1" outlineLevel="1" x14ac:dyDescent="0.25">
      <c r="A182" s="1296"/>
      <c r="B182" s="236" t="s">
        <v>1788</v>
      </c>
      <c r="C182" s="2087" t="s">
        <v>2755</v>
      </c>
      <c r="D182" s="2088" t="s">
        <v>1943</v>
      </c>
      <c r="E182" s="374">
        <f>K_O2_OHO_AS</f>
        <v>0.15</v>
      </c>
      <c r="F182" s="373" t="s">
        <v>1182</v>
      </c>
      <c r="G182" s="373">
        <v>2</v>
      </c>
      <c r="H182" s="235" t="s">
        <v>1252</v>
      </c>
      <c r="I182" s="2025"/>
      <c r="J182" s="1296"/>
      <c r="K182" s="1296"/>
    </row>
    <row r="183" spans="1:11" s="233" customFormat="1" ht="18" hidden="1" customHeight="1" outlineLevel="1" x14ac:dyDescent="0.25">
      <c r="A183" s="1296"/>
      <c r="B183" s="234" t="s">
        <v>1788</v>
      </c>
      <c r="C183" s="2085" t="s">
        <v>2755</v>
      </c>
      <c r="D183" s="2086" t="s">
        <v>3548</v>
      </c>
      <c r="E183" s="372">
        <f>K_O2_OHO_AS*f_KS_biofilm</f>
        <v>0.06</v>
      </c>
      <c r="F183" s="305" t="s">
        <v>1182</v>
      </c>
      <c r="G183" s="305">
        <v>3</v>
      </c>
      <c r="H183" s="235" t="s">
        <v>1178</v>
      </c>
      <c r="I183" s="385" t="s">
        <v>3577</v>
      </c>
      <c r="J183" s="1296"/>
      <c r="K183" s="1296"/>
    </row>
    <row r="184" spans="1:11" s="233" customFormat="1" ht="18" hidden="1" customHeight="1" outlineLevel="1" x14ac:dyDescent="0.25">
      <c r="A184" s="1296"/>
      <c r="B184" s="234" t="s">
        <v>1789</v>
      </c>
      <c r="C184" s="2085" t="s">
        <v>2756</v>
      </c>
      <c r="D184" s="2086" t="s">
        <v>1942</v>
      </c>
      <c r="E184" s="371">
        <f>K_MEOL_OHO_AS</f>
        <v>0.1</v>
      </c>
      <c r="F184" s="305" t="s">
        <v>1183</v>
      </c>
      <c r="G184" s="305">
        <v>2</v>
      </c>
      <c r="H184" s="235" t="s">
        <v>1252</v>
      </c>
      <c r="I184" s="385"/>
      <c r="J184" s="1296"/>
      <c r="K184" s="1296"/>
    </row>
    <row r="185" spans="1:11" s="233" customFormat="1" ht="18" hidden="1" customHeight="1" outlineLevel="1" x14ac:dyDescent="0.25">
      <c r="A185" s="1296"/>
      <c r="B185" s="234" t="s">
        <v>1789</v>
      </c>
      <c r="C185" s="2085" t="s">
        <v>2756</v>
      </c>
      <c r="D185" s="2086" t="s">
        <v>3549</v>
      </c>
      <c r="E185" s="372">
        <f>K_MEOL_OHO_AS*f_KS_biofilm</f>
        <v>4.0000000000000008E-2</v>
      </c>
      <c r="F185" s="305" t="s">
        <v>1183</v>
      </c>
      <c r="G185" s="305">
        <v>3</v>
      </c>
      <c r="H185" s="235" t="s">
        <v>1178</v>
      </c>
      <c r="I185" s="385" t="s">
        <v>3577</v>
      </c>
      <c r="J185" s="1296"/>
      <c r="K185" s="1296"/>
    </row>
    <row r="186" spans="1:11" s="233" customFormat="1" ht="18" hidden="1" customHeight="1" outlineLevel="1" x14ac:dyDescent="0.25">
      <c r="A186" s="1296"/>
      <c r="B186" s="234" t="s">
        <v>2369</v>
      </c>
      <c r="C186" s="2085" t="s">
        <v>2757</v>
      </c>
      <c r="D186" s="2086" t="s">
        <v>2370</v>
      </c>
      <c r="E186" s="371">
        <f>K_NO2_OHO_AS</f>
        <v>0.05</v>
      </c>
      <c r="F186" s="305" t="s">
        <v>334</v>
      </c>
      <c r="G186" s="305">
        <v>2</v>
      </c>
      <c r="H186" s="235" t="s">
        <v>1252</v>
      </c>
      <c r="I186" s="385"/>
      <c r="J186" s="1296"/>
      <c r="K186" s="1296"/>
    </row>
    <row r="187" spans="1:11" s="233" customFormat="1" ht="18" hidden="1" customHeight="1" outlineLevel="1" x14ac:dyDescent="0.25">
      <c r="A187" s="1296"/>
      <c r="B187" s="234" t="s">
        <v>2369</v>
      </c>
      <c r="C187" s="2085" t="s">
        <v>2757</v>
      </c>
      <c r="D187" s="2086" t="s">
        <v>3550</v>
      </c>
      <c r="E187" s="372">
        <f>K_NO2_OHO_AS*f_KS_biofilm</f>
        <v>2.0000000000000004E-2</v>
      </c>
      <c r="F187" s="305" t="s">
        <v>334</v>
      </c>
      <c r="G187" s="305">
        <v>3</v>
      </c>
      <c r="H187" s="235" t="s">
        <v>1178</v>
      </c>
      <c r="I187" s="385" t="s">
        <v>3577</v>
      </c>
      <c r="J187" s="1296"/>
      <c r="K187" s="1296"/>
    </row>
    <row r="188" spans="1:11" s="233" customFormat="1" ht="18" hidden="1" customHeight="1" outlineLevel="1" x14ac:dyDescent="0.25">
      <c r="A188" s="1296"/>
      <c r="B188" s="234" t="s">
        <v>1790</v>
      </c>
      <c r="C188" s="2085" t="s">
        <v>2758</v>
      </c>
      <c r="D188" s="2086" t="s">
        <v>1944</v>
      </c>
      <c r="E188" s="372">
        <f>K_NO3_OHO_AS</f>
        <v>0.1</v>
      </c>
      <c r="F188" s="305" t="s">
        <v>886</v>
      </c>
      <c r="G188" s="305">
        <v>3</v>
      </c>
      <c r="H188" s="235" t="s">
        <v>1252</v>
      </c>
      <c r="I188" s="385"/>
      <c r="J188" s="1296"/>
      <c r="K188" s="1296"/>
    </row>
    <row r="189" spans="1:11" s="233" customFormat="1" ht="18" hidden="1" customHeight="1" outlineLevel="1" x14ac:dyDescent="0.25">
      <c r="A189" s="1296"/>
      <c r="B189" s="234" t="s">
        <v>1790</v>
      </c>
      <c r="C189" s="2085" t="s">
        <v>2758</v>
      </c>
      <c r="D189" s="2086" t="s">
        <v>3551</v>
      </c>
      <c r="E189" s="375">
        <f>K_NO3_OHO_AS*f_KS_biofilm</f>
        <v>4.0000000000000008E-2</v>
      </c>
      <c r="F189" s="305" t="s">
        <v>886</v>
      </c>
      <c r="G189" s="305">
        <v>4</v>
      </c>
      <c r="H189" s="235" t="s">
        <v>1178</v>
      </c>
      <c r="I189" s="385" t="s">
        <v>3577</v>
      </c>
      <c r="J189" s="1296"/>
      <c r="K189" s="1296"/>
    </row>
    <row r="190" spans="1:11" s="233" customFormat="1" ht="18" hidden="1" customHeight="1" outlineLevel="1" x14ac:dyDescent="0.25">
      <c r="A190" s="1296"/>
      <c r="B190" s="175" t="s">
        <v>2213</v>
      </c>
      <c r="C190" s="515" t="s">
        <v>2761</v>
      </c>
      <c r="D190" s="2086" t="s">
        <v>2204</v>
      </c>
      <c r="E190" s="371">
        <f>K_VFA_FERM_AS</f>
        <v>50</v>
      </c>
      <c r="F190" s="305" t="s">
        <v>1787</v>
      </c>
      <c r="G190" s="305">
        <v>2</v>
      </c>
      <c r="H190" s="235" t="s">
        <v>1252</v>
      </c>
      <c r="I190" s="385"/>
      <c r="J190" s="1296"/>
      <c r="K190" s="1296"/>
    </row>
    <row r="191" spans="1:11" s="233" customFormat="1" ht="18" hidden="1" customHeight="1" outlineLevel="1" x14ac:dyDescent="0.25">
      <c r="A191" s="1296"/>
      <c r="B191" s="175" t="s">
        <v>2213</v>
      </c>
      <c r="C191" s="515" t="s">
        <v>2761</v>
      </c>
      <c r="D191" s="2086" t="s">
        <v>3552</v>
      </c>
      <c r="E191" s="372">
        <f>K_VFA_FERM_AS*f_KS_biofilm</f>
        <v>20</v>
      </c>
      <c r="F191" s="305" t="s">
        <v>1787</v>
      </c>
      <c r="G191" s="305">
        <v>3</v>
      </c>
      <c r="H191" s="235" t="s">
        <v>1178</v>
      </c>
      <c r="I191" s="385" t="s">
        <v>3577</v>
      </c>
      <c r="J191" s="1296"/>
      <c r="K191" s="1296"/>
    </row>
    <row r="192" spans="1:11" s="233" customFormat="1" ht="18" hidden="1" customHeight="1" outlineLevel="1" x14ac:dyDescent="0.25">
      <c r="A192" s="1296"/>
      <c r="B192" s="1090" t="s">
        <v>1882</v>
      </c>
      <c r="C192" s="2089" t="s">
        <v>2759</v>
      </c>
      <c r="D192" s="2089" t="s">
        <v>1945</v>
      </c>
      <c r="E192" s="1091">
        <f>K_SB_ana_AS</f>
        <v>5</v>
      </c>
      <c r="F192" s="1088" t="s">
        <v>1183</v>
      </c>
      <c r="G192" s="1088">
        <v>1</v>
      </c>
      <c r="H192" s="1089" t="s">
        <v>3952</v>
      </c>
      <c r="I192" s="2026"/>
      <c r="J192" s="1296"/>
      <c r="K192" s="1296"/>
    </row>
    <row r="193" spans="1:11" s="233" customFormat="1" ht="18" hidden="1" customHeight="1" outlineLevel="1" x14ac:dyDescent="0.25">
      <c r="A193" s="1296"/>
      <c r="B193" s="1090" t="s">
        <v>1882</v>
      </c>
      <c r="C193" s="2089" t="s">
        <v>2759</v>
      </c>
      <c r="D193" s="2089" t="s">
        <v>3553</v>
      </c>
      <c r="E193" s="1092">
        <f>K_SB_ana_AS*f_KS_biofilm</f>
        <v>2</v>
      </c>
      <c r="F193" s="1088" t="s">
        <v>1183</v>
      </c>
      <c r="G193" s="1088">
        <v>2</v>
      </c>
      <c r="H193" s="1089" t="s">
        <v>3953</v>
      </c>
      <c r="I193" s="2026" t="s">
        <v>3577</v>
      </c>
      <c r="J193" s="1296"/>
      <c r="K193" s="1296"/>
    </row>
    <row r="194" spans="1:11" s="233" customFormat="1" ht="18" hidden="1" customHeight="1" outlineLevel="1" thickBot="1" x14ac:dyDescent="0.3">
      <c r="A194" s="1296"/>
      <c r="B194" s="1093" t="s">
        <v>1882</v>
      </c>
      <c r="C194" s="2090" t="s">
        <v>2759</v>
      </c>
      <c r="D194" s="2090" t="s">
        <v>3805</v>
      </c>
      <c r="E194" s="1095">
        <f>K_SB_ana_AS</f>
        <v>5</v>
      </c>
      <c r="F194" s="1094" t="s">
        <v>1183</v>
      </c>
      <c r="G194" s="1094">
        <v>1</v>
      </c>
      <c r="H194" s="1096" t="s">
        <v>1213</v>
      </c>
      <c r="I194" s="2027"/>
      <c r="J194" s="1296"/>
      <c r="K194" s="1296"/>
    </row>
    <row r="195" spans="1:11" customFormat="1" ht="18" customHeight="1" collapsed="1" thickBot="1" x14ac:dyDescent="0.3">
      <c r="A195" s="1281"/>
      <c r="B195" s="1285"/>
      <c r="C195" s="1285"/>
      <c r="D195" s="1285"/>
      <c r="E195" s="2527"/>
      <c r="F195" s="1285"/>
      <c r="G195" s="1285"/>
      <c r="H195" s="1285"/>
      <c r="I195" s="1285"/>
      <c r="J195" s="1281"/>
      <c r="K195" s="1281"/>
    </row>
    <row r="196" spans="1:11" customFormat="1" ht="18" customHeight="1" thickBot="1" x14ac:dyDescent="0.3">
      <c r="A196" s="1281"/>
      <c r="B196" s="1187"/>
      <c r="C196" s="1390" t="s">
        <v>2752</v>
      </c>
      <c r="D196" s="1335" t="s">
        <v>299</v>
      </c>
      <c r="E196" s="1335"/>
      <c r="F196" s="1187"/>
      <c r="G196" s="1187"/>
      <c r="H196" s="1187"/>
      <c r="I196" s="1187"/>
      <c r="J196" s="1281"/>
      <c r="K196" s="1281"/>
    </row>
    <row r="197" spans="1:11" customFormat="1" ht="18" customHeight="1" thickBot="1" x14ac:dyDescent="0.3">
      <c r="A197" s="1281"/>
      <c r="B197" s="2532" t="s">
        <v>0</v>
      </c>
      <c r="C197" s="2535" t="s">
        <v>1</v>
      </c>
      <c r="D197" s="2538" t="s">
        <v>5</v>
      </c>
      <c r="E197" s="2538" t="s">
        <v>152</v>
      </c>
      <c r="F197" s="2538" t="s">
        <v>2</v>
      </c>
      <c r="G197" s="2538" t="s">
        <v>298</v>
      </c>
      <c r="H197" s="2538" t="s">
        <v>116</v>
      </c>
      <c r="I197" s="2541" t="s">
        <v>117</v>
      </c>
      <c r="J197" s="1281"/>
      <c r="K197" s="1281"/>
    </row>
    <row r="198" spans="1:11" s="233" customFormat="1" ht="18" hidden="1" customHeight="1" outlineLevel="1" x14ac:dyDescent="0.25">
      <c r="A198" s="1296"/>
      <c r="B198" s="566" t="s">
        <v>1791</v>
      </c>
      <c r="C198" s="2091" t="s">
        <v>2762</v>
      </c>
      <c r="D198" s="2091" t="s">
        <v>1946</v>
      </c>
      <c r="E198" s="2028">
        <f>K_MEOL_AS</f>
        <v>0.5</v>
      </c>
      <c r="F198" s="569" t="s">
        <v>1183</v>
      </c>
      <c r="G198" s="568">
        <v>2</v>
      </c>
      <c r="H198" s="567" t="s">
        <v>1252</v>
      </c>
      <c r="I198" s="2029"/>
      <c r="J198" s="1296"/>
      <c r="K198" s="1296"/>
    </row>
    <row r="199" spans="1:11" s="233" customFormat="1" ht="18" hidden="1" customHeight="1" outlineLevel="1" x14ac:dyDescent="0.25">
      <c r="A199" s="1296"/>
      <c r="B199" s="570" t="s">
        <v>1791</v>
      </c>
      <c r="C199" s="2092" t="s">
        <v>2762</v>
      </c>
      <c r="D199" s="2092" t="s">
        <v>3554</v>
      </c>
      <c r="E199" s="574">
        <f>K_MEOL_AS*f_KS_biofilm</f>
        <v>0.2</v>
      </c>
      <c r="F199" s="573" t="s">
        <v>1183</v>
      </c>
      <c r="G199" s="572">
        <v>3</v>
      </c>
      <c r="H199" s="571" t="s">
        <v>1178</v>
      </c>
      <c r="I199" s="2030" t="s">
        <v>3577</v>
      </c>
      <c r="J199" s="1296"/>
      <c r="K199" s="1296"/>
    </row>
    <row r="200" spans="1:11" s="233" customFormat="1" ht="18" hidden="1" customHeight="1" outlineLevel="1" x14ac:dyDescent="0.25">
      <c r="A200" s="1296"/>
      <c r="B200" s="570" t="s">
        <v>3591</v>
      </c>
      <c r="C200" s="2092" t="s">
        <v>3592</v>
      </c>
      <c r="D200" s="2092" t="s">
        <v>3584</v>
      </c>
      <c r="E200" s="574">
        <f>K_iO2_MEOLO_AS</f>
        <v>0.05</v>
      </c>
      <c r="F200" s="573" t="s">
        <v>1182</v>
      </c>
      <c r="G200" s="572">
        <v>3</v>
      </c>
      <c r="H200" s="571" t="s">
        <v>1252</v>
      </c>
      <c r="I200" s="2030"/>
      <c r="J200" s="1296"/>
      <c r="K200" s="1296"/>
    </row>
    <row r="201" spans="1:11" s="233" customFormat="1" ht="18" hidden="1" customHeight="1" outlineLevel="1" x14ac:dyDescent="0.25">
      <c r="A201" s="1296"/>
      <c r="B201" s="570" t="s">
        <v>3591</v>
      </c>
      <c r="C201" s="2092" t="s">
        <v>3592</v>
      </c>
      <c r="D201" s="2092" t="s">
        <v>3593</v>
      </c>
      <c r="E201" s="575">
        <f>K_iO2_MEOLO_AS*f_KS_biofilm</f>
        <v>2.0000000000000004E-2</v>
      </c>
      <c r="F201" s="573" t="s">
        <v>1182</v>
      </c>
      <c r="G201" s="572">
        <v>4</v>
      </c>
      <c r="H201" s="571" t="s">
        <v>1178</v>
      </c>
      <c r="I201" s="2030" t="s">
        <v>3577</v>
      </c>
      <c r="J201" s="1296"/>
      <c r="K201" s="1296"/>
    </row>
    <row r="202" spans="1:11" s="233" customFormat="1" ht="18" hidden="1" customHeight="1" outlineLevel="1" x14ac:dyDescent="0.25">
      <c r="A202" s="1296"/>
      <c r="B202" s="570" t="s">
        <v>2371</v>
      </c>
      <c r="C202" s="2092" t="s">
        <v>2763</v>
      </c>
      <c r="D202" s="2092" t="s">
        <v>2372</v>
      </c>
      <c r="E202" s="574">
        <f>K_NO2_MEOLO_AS</f>
        <v>0.02</v>
      </c>
      <c r="F202" s="573" t="s">
        <v>886</v>
      </c>
      <c r="G202" s="572">
        <v>2</v>
      </c>
      <c r="H202" s="571" t="s">
        <v>1252</v>
      </c>
      <c r="I202" s="2030"/>
      <c r="J202" s="1296"/>
      <c r="K202" s="1296"/>
    </row>
    <row r="203" spans="1:11" s="233" customFormat="1" ht="18" hidden="1" customHeight="1" outlineLevel="1" x14ac:dyDescent="0.25">
      <c r="A203" s="1296"/>
      <c r="B203" s="570" t="s">
        <v>2371</v>
      </c>
      <c r="C203" s="2092" t="s">
        <v>2763</v>
      </c>
      <c r="D203" s="2092" t="s">
        <v>3555</v>
      </c>
      <c r="E203" s="575">
        <f>K_NO2_MEOLO_AS*f_KS_biofilm</f>
        <v>8.0000000000000002E-3</v>
      </c>
      <c r="F203" s="573" t="s">
        <v>886</v>
      </c>
      <c r="G203" s="572">
        <v>2</v>
      </c>
      <c r="H203" s="571" t="s">
        <v>1178</v>
      </c>
      <c r="I203" s="2030" t="s">
        <v>3577</v>
      </c>
      <c r="J203" s="1296"/>
      <c r="K203" s="1296"/>
    </row>
    <row r="204" spans="1:11" s="233" customFormat="1" ht="18" hidden="1" customHeight="1" outlineLevel="1" x14ac:dyDescent="0.25">
      <c r="A204" s="1296"/>
      <c r="B204" s="570" t="s">
        <v>1792</v>
      </c>
      <c r="C204" s="2092" t="s">
        <v>2764</v>
      </c>
      <c r="D204" s="2092" t="s">
        <v>1947</v>
      </c>
      <c r="E204" s="574">
        <f>K_NO3_MEOLO_AS</f>
        <v>0.05</v>
      </c>
      <c r="F204" s="573" t="s">
        <v>886</v>
      </c>
      <c r="G204" s="572">
        <v>3</v>
      </c>
      <c r="H204" s="571" t="s">
        <v>1252</v>
      </c>
      <c r="I204" s="2030"/>
      <c r="J204" s="1296"/>
      <c r="K204" s="1296"/>
    </row>
    <row r="205" spans="1:11" s="233" customFormat="1" ht="18" hidden="1" customHeight="1" outlineLevel="1" thickBot="1" x14ac:dyDescent="0.3">
      <c r="A205" s="1296"/>
      <c r="B205" s="576" t="s">
        <v>1792</v>
      </c>
      <c r="C205" s="2093" t="s">
        <v>2764</v>
      </c>
      <c r="D205" s="2093" t="s">
        <v>3556</v>
      </c>
      <c r="E205" s="2031">
        <f>K_NO3_MEOLO_AS*f_KS_biofilm</f>
        <v>2.0000000000000004E-2</v>
      </c>
      <c r="F205" s="579" t="s">
        <v>886</v>
      </c>
      <c r="G205" s="578">
        <v>4</v>
      </c>
      <c r="H205" s="577" t="s">
        <v>1178</v>
      </c>
      <c r="I205" s="2032" t="s">
        <v>3577</v>
      </c>
      <c r="J205" s="1296"/>
      <c r="K205" s="1296"/>
    </row>
    <row r="206" spans="1:11" customFormat="1" ht="18" customHeight="1" collapsed="1" thickBot="1" x14ac:dyDescent="0.3">
      <c r="A206" s="1281"/>
      <c r="B206" s="1285"/>
      <c r="C206" s="1285"/>
      <c r="D206" s="1285"/>
      <c r="E206" s="2527"/>
      <c r="F206" s="1285"/>
      <c r="G206" s="1285"/>
      <c r="H206" s="1285"/>
      <c r="I206" s="1285"/>
      <c r="J206" s="1281"/>
      <c r="K206" s="1281"/>
    </row>
    <row r="207" spans="1:11" customFormat="1" ht="18" customHeight="1" thickBot="1" x14ac:dyDescent="0.3">
      <c r="A207" s="1281"/>
      <c r="B207" s="1187"/>
      <c r="C207" s="1390" t="s">
        <v>4368</v>
      </c>
      <c r="D207" s="1335" t="s">
        <v>299</v>
      </c>
      <c r="E207" s="1335"/>
      <c r="F207" s="1187"/>
      <c r="G207" s="1187"/>
      <c r="H207" s="1187"/>
      <c r="I207" s="1187"/>
      <c r="J207" s="1281"/>
      <c r="K207" s="1281"/>
    </row>
    <row r="208" spans="1:11" customFormat="1" ht="18" customHeight="1" thickBot="1" x14ac:dyDescent="0.3">
      <c r="A208" s="1281"/>
      <c r="B208" s="2532" t="s">
        <v>0</v>
      </c>
      <c r="C208" s="2535" t="s">
        <v>1</v>
      </c>
      <c r="D208" s="2538" t="s">
        <v>5</v>
      </c>
      <c r="E208" s="2538" t="s">
        <v>152</v>
      </c>
      <c r="F208" s="2538" t="s">
        <v>2</v>
      </c>
      <c r="G208" s="2538" t="s">
        <v>298</v>
      </c>
      <c r="H208" s="2538" t="s">
        <v>116</v>
      </c>
      <c r="I208" s="2541" t="s">
        <v>117</v>
      </c>
      <c r="J208" s="1281"/>
      <c r="K208" s="1281"/>
    </row>
    <row r="209" spans="1:11" s="233" customFormat="1" ht="18" hidden="1" customHeight="1" outlineLevel="1" x14ac:dyDescent="0.25">
      <c r="A209" s="1296"/>
      <c r="B209" s="237" t="s">
        <v>4360</v>
      </c>
      <c r="C209" s="2094" t="s">
        <v>4361</v>
      </c>
      <c r="D209" s="2095" t="s">
        <v>4268</v>
      </c>
      <c r="E209" s="229">
        <f>K_O2_CASTO_AS</f>
        <v>0.05</v>
      </c>
      <c r="F209" s="229" t="s">
        <v>1182</v>
      </c>
      <c r="G209" s="376">
        <v>2</v>
      </c>
      <c r="H209" s="229" t="s">
        <v>1252</v>
      </c>
      <c r="I209" s="387"/>
      <c r="J209" s="1296"/>
      <c r="K209" s="1296"/>
    </row>
    <row r="210" spans="1:11" s="233" customFormat="1" ht="18" hidden="1" customHeight="1" outlineLevel="1" x14ac:dyDescent="0.25">
      <c r="A210" s="1296"/>
      <c r="B210" s="237" t="s">
        <v>4360</v>
      </c>
      <c r="C210" s="2094" t="s">
        <v>4361</v>
      </c>
      <c r="D210" s="2095" t="s">
        <v>4415</v>
      </c>
      <c r="E210" s="229">
        <f>K_O2_CASTO_AS*f_KS_biofilm</f>
        <v>2.0000000000000004E-2</v>
      </c>
      <c r="F210" s="229" t="s">
        <v>1182</v>
      </c>
      <c r="G210" s="376">
        <v>3</v>
      </c>
      <c r="H210" s="229" t="s">
        <v>1178</v>
      </c>
      <c r="I210" s="387" t="s">
        <v>3577</v>
      </c>
      <c r="J210" s="1296"/>
      <c r="K210" s="1296"/>
    </row>
    <row r="211" spans="1:11" s="233" customFormat="1" ht="18" hidden="1" customHeight="1" outlineLevel="1" x14ac:dyDescent="0.25">
      <c r="A211" s="1296"/>
      <c r="B211" s="237" t="s">
        <v>4362</v>
      </c>
      <c r="C211" s="2096" t="s">
        <v>4363</v>
      </c>
      <c r="D211" s="2095" t="s">
        <v>4416</v>
      </c>
      <c r="E211" s="229">
        <f>K_NO2_CASTO_AS</f>
        <v>0.05</v>
      </c>
      <c r="F211" s="229" t="s">
        <v>886</v>
      </c>
      <c r="G211" s="376">
        <v>2</v>
      </c>
      <c r="H211" s="229" t="s">
        <v>1252</v>
      </c>
      <c r="I211" s="387"/>
      <c r="J211" s="1296"/>
      <c r="K211" s="1296"/>
    </row>
    <row r="212" spans="1:11" s="233" customFormat="1" ht="18" hidden="1" customHeight="1" outlineLevel="1" x14ac:dyDescent="0.25">
      <c r="A212" s="1296"/>
      <c r="B212" s="237" t="s">
        <v>4362</v>
      </c>
      <c r="C212" s="2096" t="s">
        <v>4363</v>
      </c>
      <c r="D212" s="2095" t="s">
        <v>4417</v>
      </c>
      <c r="E212" s="229">
        <f>K_NO2_CASTO_AS*f_KS_biofilm</f>
        <v>2.0000000000000004E-2</v>
      </c>
      <c r="F212" s="229" t="s">
        <v>886</v>
      </c>
      <c r="G212" s="376">
        <v>2</v>
      </c>
      <c r="H212" s="229" t="s">
        <v>1178</v>
      </c>
      <c r="I212" s="387" t="s">
        <v>3577</v>
      </c>
      <c r="J212" s="1296"/>
      <c r="K212" s="1296"/>
    </row>
    <row r="213" spans="1:11" s="233" customFormat="1" ht="18" hidden="1" customHeight="1" outlineLevel="1" x14ac:dyDescent="0.25">
      <c r="A213" s="1296"/>
      <c r="B213" s="237" t="s">
        <v>4364</v>
      </c>
      <c r="C213" s="2096" t="s">
        <v>4365</v>
      </c>
      <c r="D213" s="2095" t="s">
        <v>4271</v>
      </c>
      <c r="E213" s="229">
        <f>K_NO3_CASTO_AS</f>
        <v>0.1</v>
      </c>
      <c r="F213" s="229" t="s">
        <v>886</v>
      </c>
      <c r="G213" s="376">
        <v>2</v>
      </c>
      <c r="H213" s="229" t="s">
        <v>1252</v>
      </c>
      <c r="I213" s="387"/>
      <c r="J213" s="1296"/>
      <c r="K213" s="1296"/>
    </row>
    <row r="214" spans="1:11" s="233" customFormat="1" ht="18" hidden="1" customHeight="1" outlineLevel="1" x14ac:dyDescent="0.25">
      <c r="A214" s="1296"/>
      <c r="B214" s="237" t="s">
        <v>4364</v>
      </c>
      <c r="C214" s="2096" t="s">
        <v>4365</v>
      </c>
      <c r="D214" s="2095" t="s">
        <v>4418</v>
      </c>
      <c r="E214" s="229">
        <f>K_NO3_CASTO_AS*f_KS_biofilm</f>
        <v>4.0000000000000008E-2</v>
      </c>
      <c r="F214" s="229" t="s">
        <v>886</v>
      </c>
      <c r="G214" s="376">
        <v>3</v>
      </c>
      <c r="H214" s="229" t="s">
        <v>1178</v>
      </c>
      <c r="I214" s="387" t="s">
        <v>3577</v>
      </c>
      <c r="J214" s="1296"/>
      <c r="K214" s="1296"/>
    </row>
    <row r="215" spans="1:11" s="233" customFormat="1" ht="18" hidden="1" customHeight="1" outlineLevel="1" x14ac:dyDescent="0.25">
      <c r="A215" s="1296"/>
      <c r="B215" s="237" t="s">
        <v>4366</v>
      </c>
      <c r="C215" s="2096" t="s">
        <v>4367</v>
      </c>
      <c r="D215" s="2095" t="s">
        <v>4274</v>
      </c>
      <c r="E215" s="1500">
        <f>K_VFA_CASTO_AS</f>
        <v>5</v>
      </c>
      <c r="F215" s="229" t="s">
        <v>1183</v>
      </c>
      <c r="G215" s="376">
        <v>1</v>
      </c>
      <c r="H215" s="229" t="s">
        <v>1252</v>
      </c>
      <c r="I215" s="387"/>
      <c r="J215" s="1296"/>
      <c r="K215" s="1296"/>
    </row>
    <row r="216" spans="1:11" s="233" customFormat="1" ht="18" hidden="1" customHeight="1" outlineLevel="1" x14ac:dyDescent="0.25">
      <c r="A216" s="1296"/>
      <c r="B216" s="237" t="s">
        <v>4366</v>
      </c>
      <c r="C216" s="2096" t="s">
        <v>4367</v>
      </c>
      <c r="D216" s="2095" t="s">
        <v>4419</v>
      </c>
      <c r="E216" s="454">
        <f>K_VFA_CASTO_AS*f_KS_biofilm</f>
        <v>2</v>
      </c>
      <c r="F216" s="229" t="s">
        <v>1183</v>
      </c>
      <c r="G216" s="376">
        <v>2</v>
      </c>
      <c r="H216" s="229" t="s">
        <v>1178</v>
      </c>
      <c r="I216" s="387" t="s">
        <v>3577</v>
      </c>
      <c r="J216" s="1296"/>
      <c r="K216" s="1296"/>
    </row>
    <row r="217" spans="1:11" s="233" customFormat="1" ht="18" hidden="1" customHeight="1" outlineLevel="1" x14ac:dyDescent="0.25">
      <c r="A217" s="1296"/>
      <c r="B217" s="151" t="s">
        <v>1184</v>
      </c>
      <c r="C217" s="2096" t="s">
        <v>2766</v>
      </c>
      <c r="D217" s="2095" t="s">
        <v>1948</v>
      </c>
      <c r="E217" s="454">
        <f>K_PO4_PAO_AS</f>
        <v>0.3</v>
      </c>
      <c r="F217" s="229" t="s">
        <v>888</v>
      </c>
      <c r="G217" s="376">
        <v>2</v>
      </c>
      <c r="H217" s="229" t="s">
        <v>1252</v>
      </c>
      <c r="I217" s="387"/>
      <c r="J217" s="1296"/>
      <c r="K217" s="1296"/>
    </row>
    <row r="218" spans="1:11" s="233" customFormat="1" ht="18" hidden="1" customHeight="1" outlineLevel="1" x14ac:dyDescent="0.25">
      <c r="A218" s="1296"/>
      <c r="B218" s="151" t="s">
        <v>1184</v>
      </c>
      <c r="C218" s="2096" t="s">
        <v>2766</v>
      </c>
      <c r="D218" s="2095" t="s">
        <v>3557</v>
      </c>
      <c r="E218" s="1501">
        <f>K_PO4_PAO_AS*f_KS_biofilm</f>
        <v>0.12</v>
      </c>
      <c r="F218" s="229" t="s">
        <v>888</v>
      </c>
      <c r="G218" s="376">
        <v>3</v>
      </c>
      <c r="H218" s="229" t="s">
        <v>1178</v>
      </c>
      <c r="I218" s="387" t="s">
        <v>3577</v>
      </c>
      <c r="J218" s="1296"/>
      <c r="K218" s="1296"/>
    </row>
    <row r="219" spans="1:11" s="233" customFormat="1" ht="18" hidden="1" customHeight="1" outlineLevel="1" x14ac:dyDescent="0.25">
      <c r="A219" s="1296"/>
      <c r="B219" s="151" t="s">
        <v>1616</v>
      </c>
      <c r="C219" s="531" t="s">
        <v>2767</v>
      </c>
      <c r="D219" s="1787" t="s">
        <v>1949</v>
      </c>
      <c r="E219" s="229">
        <f>K_Mg_PAO_AS</f>
        <v>1E-3</v>
      </c>
      <c r="F219" s="229" t="s">
        <v>1613</v>
      </c>
      <c r="G219" s="376">
        <v>4</v>
      </c>
      <c r="H219" s="229" t="s">
        <v>1252</v>
      </c>
      <c r="I219" s="387"/>
      <c r="J219" s="1296"/>
      <c r="K219" s="1296"/>
    </row>
    <row r="220" spans="1:11" s="233" customFormat="1" ht="18" hidden="1" customHeight="1" outlineLevel="1" x14ac:dyDescent="0.25">
      <c r="A220" s="1296"/>
      <c r="B220" s="151" t="s">
        <v>1616</v>
      </c>
      <c r="C220" s="531" t="s">
        <v>2767</v>
      </c>
      <c r="D220" s="1787" t="s">
        <v>3558</v>
      </c>
      <c r="E220" s="229">
        <f>K_Mg_PAO_AS*f_KS_biofilm</f>
        <v>4.0000000000000002E-4</v>
      </c>
      <c r="F220" s="229" t="s">
        <v>1613</v>
      </c>
      <c r="G220" s="376">
        <v>5</v>
      </c>
      <c r="H220" s="229" t="s">
        <v>1178</v>
      </c>
      <c r="I220" s="387" t="s">
        <v>3577</v>
      </c>
      <c r="J220" s="1296"/>
      <c r="K220" s="1296"/>
    </row>
    <row r="221" spans="1:11" s="233" customFormat="1" ht="18" hidden="1" customHeight="1" outlineLevel="1" x14ac:dyDescent="0.25">
      <c r="A221" s="1296"/>
      <c r="B221" s="151" t="s">
        <v>1617</v>
      </c>
      <c r="C221" s="531" t="s">
        <v>2768</v>
      </c>
      <c r="D221" s="1787" t="s">
        <v>1950</v>
      </c>
      <c r="E221" s="229">
        <f>K_K_PAO_AS</f>
        <v>1E-3</v>
      </c>
      <c r="F221" s="229" t="s">
        <v>1614</v>
      </c>
      <c r="G221" s="376">
        <v>4</v>
      </c>
      <c r="H221" s="229" t="s">
        <v>1252</v>
      </c>
      <c r="I221" s="387"/>
      <c r="J221" s="1296"/>
      <c r="K221" s="1296"/>
    </row>
    <row r="222" spans="1:11" s="233" customFormat="1" ht="18" hidden="1" customHeight="1" outlineLevel="1" x14ac:dyDescent="0.25">
      <c r="A222" s="1296"/>
      <c r="B222" s="151" t="s">
        <v>1617</v>
      </c>
      <c r="C222" s="531" t="s">
        <v>2768</v>
      </c>
      <c r="D222" s="1787" t="s">
        <v>3559</v>
      </c>
      <c r="E222" s="229">
        <f>K_K_PAO_AS*f_KS_biofilm</f>
        <v>4.0000000000000002E-4</v>
      </c>
      <c r="F222" s="229" t="s">
        <v>1614</v>
      </c>
      <c r="G222" s="376">
        <v>5</v>
      </c>
      <c r="H222" s="229" t="s">
        <v>1178</v>
      </c>
      <c r="I222" s="387" t="s">
        <v>3577</v>
      </c>
      <c r="J222" s="1296"/>
      <c r="K222" s="1296"/>
    </row>
    <row r="223" spans="1:11" s="233" customFormat="1" ht="18" hidden="1" customHeight="1" outlineLevel="1" x14ac:dyDescent="0.25">
      <c r="A223" s="1296"/>
      <c r="B223" s="151" t="s">
        <v>1618</v>
      </c>
      <c r="C223" s="531" t="s">
        <v>2769</v>
      </c>
      <c r="D223" s="1787" t="s">
        <v>1951</v>
      </c>
      <c r="E223" s="229">
        <f>K_Ca_PAO_AS</f>
        <v>1E-3</v>
      </c>
      <c r="F223" s="229" t="s">
        <v>1615</v>
      </c>
      <c r="G223" s="376">
        <v>4</v>
      </c>
      <c r="H223" s="229" t="s">
        <v>1252</v>
      </c>
      <c r="I223" s="387"/>
      <c r="J223" s="1296"/>
      <c r="K223" s="1296"/>
    </row>
    <row r="224" spans="1:11" s="233" customFormat="1" ht="18" hidden="1" customHeight="1" outlineLevel="1" x14ac:dyDescent="0.25">
      <c r="A224" s="1296"/>
      <c r="B224" s="151" t="s">
        <v>1618</v>
      </c>
      <c r="C224" s="531" t="s">
        <v>2769</v>
      </c>
      <c r="D224" s="1787" t="s">
        <v>3560</v>
      </c>
      <c r="E224" s="229">
        <f>K_Ca_PAO_AS*f_KS_biofilm</f>
        <v>4.0000000000000002E-4</v>
      </c>
      <c r="F224" s="229" t="s">
        <v>1615</v>
      </c>
      <c r="G224" s="376">
        <v>5</v>
      </c>
      <c r="H224" s="229" t="s">
        <v>1178</v>
      </c>
      <c r="I224" s="387" t="s">
        <v>3577</v>
      </c>
      <c r="J224" s="1296"/>
      <c r="K224" s="1296"/>
    </row>
    <row r="225" spans="1:11" s="233" customFormat="1" ht="18" hidden="1" customHeight="1" outlineLevel="1" x14ac:dyDescent="0.25">
      <c r="A225" s="1296"/>
      <c r="B225" s="530" t="s">
        <v>2773</v>
      </c>
      <c r="C225" s="2096" t="s">
        <v>2770</v>
      </c>
      <c r="D225" s="2096" t="s">
        <v>2541</v>
      </c>
      <c r="E225" s="229">
        <f>K_iPO4_lim_AS</f>
        <v>5.0000000000000001E-3</v>
      </c>
      <c r="F225" s="229" t="s">
        <v>888</v>
      </c>
      <c r="G225" s="376">
        <v>3</v>
      </c>
      <c r="H225" s="229" t="s">
        <v>1252</v>
      </c>
      <c r="I225" s="387"/>
      <c r="J225" s="1296"/>
      <c r="K225" s="1296"/>
    </row>
    <row r="226" spans="1:11" s="233" customFormat="1" ht="18" hidden="1" customHeight="1" outlineLevel="1" thickBot="1" x14ac:dyDescent="0.3">
      <c r="A226" s="1296"/>
      <c r="B226" s="230" t="s">
        <v>2773</v>
      </c>
      <c r="C226" s="2097" t="s">
        <v>2770</v>
      </c>
      <c r="D226" s="2097" t="s">
        <v>3561</v>
      </c>
      <c r="E226" s="231">
        <f>K_iPO4_lim_AS*f_KS_biofilm</f>
        <v>2E-3</v>
      </c>
      <c r="F226" s="231" t="s">
        <v>888</v>
      </c>
      <c r="G226" s="377">
        <v>4</v>
      </c>
      <c r="H226" s="231" t="s">
        <v>1178</v>
      </c>
      <c r="I226" s="2033" t="s">
        <v>3577</v>
      </c>
      <c r="J226" s="1296"/>
      <c r="K226" s="1296"/>
    </row>
    <row r="227" spans="1:11" customFormat="1" ht="18" customHeight="1" collapsed="1" thickBot="1" x14ac:dyDescent="0.3">
      <c r="A227" s="1281"/>
      <c r="B227" s="1285"/>
      <c r="C227" s="1285"/>
      <c r="D227" s="1285"/>
      <c r="E227" s="2527"/>
      <c r="F227" s="1285"/>
      <c r="G227" s="1285"/>
      <c r="H227" s="1285"/>
      <c r="I227" s="1285"/>
      <c r="J227" s="1281"/>
      <c r="K227" s="1281"/>
    </row>
    <row r="228" spans="1:11" customFormat="1" ht="18" customHeight="1" thickBot="1" x14ac:dyDescent="0.3">
      <c r="A228" s="1281"/>
      <c r="B228" s="1187"/>
      <c r="C228" s="1390" t="s">
        <v>2775</v>
      </c>
      <c r="D228" s="1335" t="s">
        <v>299</v>
      </c>
      <c r="E228" s="1335"/>
      <c r="F228" s="1187"/>
      <c r="G228" s="1187"/>
      <c r="H228" s="1187"/>
      <c r="I228" s="1187"/>
      <c r="J228" s="1281"/>
      <c r="K228" s="1281"/>
    </row>
    <row r="229" spans="1:11" customFormat="1" ht="18" customHeight="1" thickBot="1" x14ac:dyDescent="0.3">
      <c r="A229" s="1281"/>
      <c r="B229" s="2532" t="s">
        <v>0</v>
      </c>
      <c r="C229" s="2535" t="s">
        <v>1</v>
      </c>
      <c r="D229" s="2538" t="s">
        <v>5</v>
      </c>
      <c r="E229" s="2538" t="s">
        <v>152</v>
      </c>
      <c r="F229" s="2538" t="s">
        <v>2</v>
      </c>
      <c r="G229" s="2538" t="s">
        <v>298</v>
      </c>
      <c r="H229" s="2538" t="s">
        <v>116</v>
      </c>
      <c r="I229" s="2541" t="s">
        <v>117</v>
      </c>
      <c r="J229" s="1281"/>
      <c r="K229" s="1281"/>
    </row>
    <row r="230" spans="1:11" s="233" customFormat="1" ht="18" hidden="1" customHeight="1" outlineLevel="1" x14ac:dyDescent="0.25">
      <c r="A230" s="1296"/>
      <c r="B230" s="856" t="s">
        <v>1794</v>
      </c>
      <c r="C230" s="2098" t="s">
        <v>2777</v>
      </c>
      <c r="D230" s="2098" t="s">
        <v>1952</v>
      </c>
      <c r="E230" s="2034">
        <f>K_VFA_AMETO_AS</f>
        <v>400</v>
      </c>
      <c r="F230" s="858" t="s">
        <v>1183</v>
      </c>
      <c r="G230" s="857">
        <v>1</v>
      </c>
      <c r="H230" s="859" t="s">
        <v>1252</v>
      </c>
      <c r="I230" s="2035"/>
      <c r="J230" s="1296"/>
      <c r="K230" s="1296"/>
    </row>
    <row r="231" spans="1:11" s="233" customFormat="1" ht="18" hidden="1" customHeight="1" outlineLevel="1" x14ac:dyDescent="0.25">
      <c r="A231" s="1296"/>
      <c r="B231" s="860" t="s">
        <v>1794</v>
      </c>
      <c r="C231" s="2099" t="s">
        <v>2777</v>
      </c>
      <c r="D231" s="2099" t="s">
        <v>3562</v>
      </c>
      <c r="E231" s="2036">
        <f>K_VFA_AMETO_AS*f_KS_biofilm</f>
        <v>160</v>
      </c>
      <c r="F231" s="862" t="s">
        <v>1183</v>
      </c>
      <c r="G231" s="861">
        <v>1</v>
      </c>
      <c r="H231" s="863" t="s">
        <v>1178</v>
      </c>
      <c r="I231" s="2037" t="s">
        <v>3577</v>
      </c>
      <c r="J231" s="1296"/>
      <c r="K231" s="1296"/>
    </row>
    <row r="232" spans="1:11" s="233" customFormat="1" ht="18" hidden="1" customHeight="1" outlineLevel="1" x14ac:dyDescent="0.25">
      <c r="A232" s="1296"/>
      <c r="B232" s="860" t="s">
        <v>2780</v>
      </c>
      <c r="C232" s="2099" t="s">
        <v>2778</v>
      </c>
      <c r="D232" s="2099" t="s">
        <v>2586</v>
      </c>
      <c r="E232" s="2036">
        <f>K_iVFA_AMETO_AS</f>
        <v>99999</v>
      </c>
      <c r="F232" s="862" t="s">
        <v>1183</v>
      </c>
      <c r="G232" s="861">
        <v>1</v>
      </c>
      <c r="H232" s="863" t="s">
        <v>1252</v>
      </c>
      <c r="I232" s="2037"/>
      <c r="J232" s="1296"/>
      <c r="K232" s="1296"/>
    </row>
    <row r="233" spans="1:11" s="233" customFormat="1" ht="18" hidden="1" customHeight="1" outlineLevel="1" x14ac:dyDescent="0.25">
      <c r="A233" s="1296"/>
      <c r="B233" s="860" t="s">
        <v>2780</v>
      </c>
      <c r="C233" s="2099" t="s">
        <v>2778</v>
      </c>
      <c r="D233" s="2099" t="s">
        <v>3563</v>
      </c>
      <c r="E233" s="2036">
        <f>K_iVFA_AMETO_AS*f_KS_biofilm</f>
        <v>39999.600000000006</v>
      </c>
      <c r="F233" s="862" t="s">
        <v>1183</v>
      </c>
      <c r="G233" s="861">
        <v>1</v>
      </c>
      <c r="H233" s="863" t="s">
        <v>1178</v>
      </c>
      <c r="I233" s="2037" t="s">
        <v>3577</v>
      </c>
      <c r="J233" s="1296"/>
      <c r="K233" s="1296"/>
    </row>
    <row r="234" spans="1:11" s="233" customFormat="1" hidden="1" outlineLevel="1" x14ac:dyDescent="0.25">
      <c r="A234" s="2521"/>
      <c r="B234" s="2188" t="s">
        <v>4723</v>
      </c>
      <c r="C234" s="2189" t="s">
        <v>4718</v>
      </c>
      <c r="D234" s="2189" t="s">
        <v>4717</v>
      </c>
      <c r="E234" s="2190">
        <f>K_iNHx_AMETO_AS</f>
        <v>9999</v>
      </c>
      <c r="F234" s="2184" t="s">
        <v>886</v>
      </c>
      <c r="G234" s="2192">
        <v>1</v>
      </c>
      <c r="H234" s="2184" t="s">
        <v>1252</v>
      </c>
      <c r="I234" s="2187"/>
      <c r="J234" s="1296"/>
      <c r="K234" s="1296"/>
    </row>
    <row r="235" spans="1:11" s="233" customFormat="1" hidden="1" outlineLevel="1" x14ac:dyDescent="0.25">
      <c r="A235" s="2521"/>
      <c r="B235" s="2188" t="s">
        <v>4723</v>
      </c>
      <c r="C235" s="2189" t="s">
        <v>4718</v>
      </c>
      <c r="D235" s="2189" t="s">
        <v>4724</v>
      </c>
      <c r="E235" s="2190">
        <f>K_iNHx_AMETO_AS*f_KS_biofilm</f>
        <v>3999.6000000000004</v>
      </c>
      <c r="F235" s="2184" t="s">
        <v>886</v>
      </c>
      <c r="G235" s="2192">
        <v>1</v>
      </c>
      <c r="H235" s="2184" t="s">
        <v>1178</v>
      </c>
      <c r="I235" s="2187" t="s">
        <v>3577</v>
      </c>
      <c r="J235" s="1296"/>
      <c r="K235" s="1296"/>
    </row>
    <row r="236" spans="1:11" s="233" customFormat="1" hidden="1" outlineLevel="1" x14ac:dyDescent="0.25">
      <c r="A236" s="2521"/>
      <c r="B236" s="2188" t="s">
        <v>4725</v>
      </c>
      <c r="C236" s="2189" t="s">
        <v>4720</v>
      </c>
      <c r="D236" s="2189" t="s">
        <v>4719</v>
      </c>
      <c r="E236" s="2190">
        <f>K_iNH3_AMETO_pH_AS</f>
        <v>0.999</v>
      </c>
      <c r="F236" s="2184" t="s">
        <v>383</v>
      </c>
      <c r="G236" s="2192">
        <v>3</v>
      </c>
      <c r="H236" s="2184" t="s">
        <v>1252</v>
      </c>
      <c r="I236" s="2187"/>
      <c r="J236" s="1296"/>
      <c r="K236" s="1296"/>
    </row>
    <row r="237" spans="1:11" s="233" customFormat="1" hidden="1" outlineLevel="1" x14ac:dyDescent="0.25">
      <c r="A237" s="2521"/>
      <c r="B237" s="2188" t="s">
        <v>4725</v>
      </c>
      <c r="C237" s="2189" t="s">
        <v>4720</v>
      </c>
      <c r="D237" s="2189" t="s">
        <v>4726</v>
      </c>
      <c r="E237" s="2190">
        <f>K_iNH3_AMETO_pH_AS*f_KS_biofilm</f>
        <v>0.39960000000000001</v>
      </c>
      <c r="F237" s="2184" t="s">
        <v>383</v>
      </c>
      <c r="G237" s="2192">
        <v>3</v>
      </c>
      <c r="H237" s="2184" t="s">
        <v>1178</v>
      </c>
      <c r="I237" s="2187" t="s">
        <v>3577</v>
      </c>
      <c r="J237" s="1296"/>
      <c r="K237" s="1296"/>
    </row>
    <row r="238" spans="1:11" s="233" customFormat="1" ht="18" hidden="1" customHeight="1" outlineLevel="1" x14ac:dyDescent="0.25">
      <c r="A238" s="1296"/>
      <c r="B238" s="860" t="s">
        <v>3594</v>
      </c>
      <c r="C238" s="2099" t="s">
        <v>3595</v>
      </c>
      <c r="D238" s="2099" t="s">
        <v>3586</v>
      </c>
      <c r="E238" s="863">
        <f>K_iO2_AMETO_AS</f>
        <v>0.05</v>
      </c>
      <c r="F238" s="862" t="s">
        <v>1182</v>
      </c>
      <c r="G238" s="861">
        <v>2</v>
      </c>
      <c r="H238" s="863" t="s">
        <v>1252</v>
      </c>
      <c r="I238" s="2037"/>
      <c r="J238" s="1296"/>
      <c r="K238" s="1296"/>
    </row>
    <row r="239" spans="1:11" s="233" customFormat="1" ht="18" hidden="1" customHeight="1" outlineLevel="1" x14ac:dyDescent="0.25">
      <c r="A239" s="1296"/>
      <c r="B239" s="860" t="s">
        <v>3594</v>
      </c>
      <c r="C239" s="2099" t="s">
        <v>3595</v>
      </c>
      <c r="D239" s="2099" t="s">
        <v>3596</v>
      </c>
      <c r="E239" s="863">
        <f>K_iO2_AMETO_AS*f_KS_biofilm</f>
        <v>2.0000000000000004E-2</v>
      </c>
      <c r="F239" s="862" t="s">
        <v>1182</v>
      </c>
      <c r="G239" s="861">
        <v>3</v>
      </c>
      <c r="H239" s="863" t="s">
        <v>1178</v>
      </c>
      <c r="I239" s="2037" t="s">
        <v>3577</v>
      </c>
      <c r="J239" s="1296"/>
      <c r="K239" s="1296"/>
    </row>
    <row r="240" spans="1:11" s="233" customFormat="1" ht="18" hidden="1" customHeight="1" outlineLevel="1" x14ac:dyDescent="0.25">
      <c r="A240" s="1296"/>
      <c r="B240" s="860" t="s">
        <v>2437</v>
      </c>
      <c r="C240" s="2099" t="s">
        <v>2779</v>
      </c>
      <c r="D240" s="2099" t="s">
        <v>2435</v>
      </c>
      <c r="E240" s="863">
        <f>K_NOx_AMETO_AS</f>
        <v>0.05</v>
      </c>
      <c r="F240" s="862" t="s">
        <v>886</v>
      </c>
      <c r="G240" s="861">
        <v>2</v>
      </c>
      <c r="H240" s="863" t="s">
        <v>1252</v>
      </c>
      <c r="I240" s="2037"/>
      <c r="J240" s="1296"/>
      <c r="K240" s="1296"/>
    </row>
    <row r="241" spans="1:11" s="233" customFormat="1" ht="18" hidden="1" customHeight="1" outlineLevel="1" thickBot="1" x14ac:dyDescent="0.3">
      <c r="A241" s="1296"/>
      <c r="B241" s="864" t="s">
        <v>2437</v>
      </c>
      <c r="C241" s="2100" t="s">
        <v>2779</v>
      </c>
      <c r="D241" s="2100" t="s">
        <v>3564</v>
      </c>
      <c r="E241" s="867">
        <f>K_NOx_AMETO_AS*f_KS_biofilm</f>
        <v>2.0000000000000004E-2</v>
      </c>
      <c r="F241" s="866" t="s">
        <v>886</v>
      </c>
      <c r="G241" s="865">
        <v>3</v>
      </c>
      <c r="H241" s="867" t="s">
        <v>1178</v>
      </c>
      <c r="I241" s="2038" t="s">
        <v>3577</v>
      </c>
      <c r="J241" s="1296"/>
      <c r="K241" s="1296"/>
    </row>
    <row r="242" spans="1:11" customFormat="1" ht="18" customHeight="1" collapsed="1" thickBot="1" x14ac:dyDescent="0.3">
      <c r="A242" s="1281"/>
      <c r="B242" s="1285"/>
      <c r="C242" s="1285"/>
      <c r="D242" s="1285"/>
      <c r="E242" s="2527"/>
      <c r="F242" s="1285"/>
      <c r="G242" s="1285"/>
      <c r="H242" s="1285"/>
      <c r="I242" s="1285"/>
      <c r="J242" s="1281"/>
      <c r="K242" s="1281"/>
    </row>
    <row r="243" spans="1:11" customFormat="1" ht="18" customHeight="1" thickBot="1" x14ac:dyDescent="0.3">
      <c r="A243" s="1281"/>
      <c r="B243" s="1187"/>
      <c r="C243" s="1390" t="s">
        <v>2776</v>
      </c>
      <c r="D243" s="1335" t="s">
        <v>299</v>
      </c>
      <c r="E243" s="1335"/>
      <c r="F243" s="1187"/>
      <c r="G243" s="1187"/>
      <c r="H243" s="1187"/>
      <c r="I243" s="1187"/>
      <c r="J243" s="1281"/>
      <c r="K243" s="1281"/>
    </row>
    <row r="244" spans="1:11" customFormat="1" ht="18" customHeight="1" thickBot="1" x14ac:dyDescent="0.3">
      <c r="A244" s="1281"/>
      <c r="B244" s="2532" t="s">
        <v>0</v>
      </c>
      <c r="C244" s="2535" t="s">
        <v>1</v>
      </c>
      <c r="D244" s="2538" t="s">
        <v>5</v>
      </c>
      <c r="E244" s="2538" t="s">
        <v>152</v>
      </c>
      <c r="F244" s="2538" t="s">
        <v>2</v>
      </c>
      <c r="G244" s="2538" t="s">
        <v>298</v>
      </c>
      <c r="H244" s="2538" t="s">
        <v>116</v>
      </c>
      <c r="I244" s="2541" t="s">
        <v>117</v>
      </c>
      <c r="J244" s="1281"/>
      <c r="K244" s="1281"/>
    </row>
    <row r="245" spans="1:11" s="233" customFormat="1" ht="18" hidden="1" customHeight="1" outlineLevel="1" x14ac:dyDescent="0.25">
      <c r="A245" s="1296"/>
      <c r="B245" s="240" t="s">
        <v>1795</v>
      </c>
      <c r="C245" s="2101" t="s">
        <v>2781</v>
      </c>
      <c r="D245" s="2102" t="s">
        <v>1961</v>
      </c>
      <c r="E245" s="2039">
        <f>K_H2_HMETO_AS</f>
        <v>0.1</v>
      </c>
      <c r="F245" s="382" t="s">
        <v>1183</v>
      </c>
      <c r="G245" s="381">
        <v>2</v>
      </c>
      <c r="H245" s="239" t="s">
        <v>1252</v>
      </c>
      <c r="I245" s="2040"/>
      <c r="J245" s="1296"/>
      <c r="K245" s="1296"/>
    </row>
    <row r="246" spans="1:11" s="233" customFormat="1" ht="18" hidden="1" customHeight="1" outlineLevel="1" x14ac:dyDescent="0.25">
      <c r="A246" s="1296"/>
      <c r="B246" s="240" t="s">
        <v>1795</v>
      </c>
      <c r="C246" s="2101" t="s">
        <v>2781</v>
      </c>
      <c r="D246" s="2102" t="s">
        <v>3565</v>
      </c>
      <c r="E246" s="383">
        <f>K_H2_HMETO_AS*f_KS_biofilm</f>
        <v>4.0000000000000008E-2</v>
      </c>
      <c r="F246" s="355" t="s">
        <v>1183</v>
      </c>
      <c r="G246" s="378">
        <v>3</v>
      </c>
      <c r="H246" s="182" t="s">
        <v>1178</v>
      </c>
      <c r="I246" s="188" t="s">
        <v>3577</v>
      </c>
      <c r="J246" s="1296"/>
      <c r="K246" s="1296"/>
    </row>
    <row r="247" spans="1:11" s="233" customFormat="1" ht="18" hidden="1" customHeight="1" outlineLevel="1" x14ac:dyDescent="0.25">
      <c r="A247" s="1296"/>
      <c r="B247" s="238" t="s">
        <v>3597</v>
      </c>
      <c r="C247" s="2103" t="s">
        <v>3598</v>
      </c>
      <c r="D247" s="2104" t="s">
        <v>3599</v>
      </c>
      <c r="E247" s="383">
        <f>K_iO2_HMETO_AS</f>
        <v>0.05</v>
      </c>
      <c r="F247" s="355" t="s">
        <v>1182</v>
      </c>
      <c r="G247" s="378">
        <v>3</v>
      </c>
      <c r="H247" s="182" t="s">
        <v>1252</v>
      </c>
      <c r="I247" s="188"/>
      <c r="J247" s="1296"/>
      <c r="K247" s="1296"/>
    </row>
    <row r="248" spans="1:11" s="233" customFormat="1" ht="18" hidden="1" customHeight="1" outlineLevel="1" x14ac:dyDescent="0.25">
      <c r="A248" s="1296"/>
      <c r="B248" s="238" t="s">
        <v>3597</v>
      </c>
      <c r="C248" s="2103" t="s">
        <v>3598</v>
      </c>
      <c r="D248" s="2104" t="s">
        <v>3600</v>
      </c>
      <c r="E248" s="384">
        <f>K_iO2_HMETO_AS*f_KS_biofilm</f>
        <v>2.0000000000000004E-2</v>
      </c>
      <c r="F248" s="355" t="s">
        <v>1182</v>
      </c>
      <c r="G248" s="378">
        <v>4</v>
      </c>
      <c r="H248" s="182" t="s">
        <v>1178</v>
      </c>
      <c r="I248" s="188" t="s">
        <v>3577</v>
      </c>
      <c r="J248" s="1296"/>
      <c r="K248" s="1296"/>
    </row>
    <row r="249" spans="1:11" s="233" customFormat="1" ht="18" hidden="1" customHeight="1" outlineLevel="1" x14ac:dyDescent="0.25">
      <c r="A249" s="1296"/>
      <c r="B249" s="238" t="s">
        <v>2438</v>
      </c>
      <c r="C249" s="2103" t="s">
        <v>2782</v>
      </c>
      <c r="D249" s="2104" t="s">
        <v>2439</v>
      </c>
      <c r="E249" s="383">
        <f>K_NOx_HMETO_AS</f>
        <v>0.05</v>
      </c>
      <c r="F249" s="355" t="s">
        <v>886</v>
      </c>
      <c r="G249" s="378">
        <v>3</v>
      </c>
      <c r="H249" s="182" t="s">
        <v>1252</v>
      </c>
      <c r="I249" s="188"/>
      <c r="J249" s="1296"/>
      <c r="K249" s="1296"/>
    </row>
    <row r="250" spans="1:11" s="233" customFormat="1" ht="18" hidden="1" customHeight="1" outlineLevel="1" thickBot="1" x14ac:dyDescent="0.3">
      <c r="A250" s="1296"/>
      <c r="B250" s="241" t="s">
        <v>2438</v>
      </c>
      <c r="C250" s="2105" t="s">
        <v>2782</v>
      </c>
      <c r="D250" s="2105" t="s">
        <v>3566</v>
      </c>
      <c r="E250" s="2041">
        <f>K_NOx_HMETO_AS*f_KS_biofilm</f>
        <v>2.0000000000000004E-2</v>
      </c>
      <c r="F250" s="379" t="s">
        <v>886</v>
      </c>
      <c r="G250" s="380">
        <v>4</v>
      </c>
      <c r="H250" s="184" t="s">
        <v>1178</v>
      </c>
      <c r="I250" s="189" t="s">
        <v>3577</v>
      </c>
      <c r="J250" s="1296"/>
      <c r="K250" s="1296"/>
    </row>
    <row r="251" spans="1:11" customFormat="1" ht="18" customHeight="1" collapsed="1" thickBot="1" x14ac:dyDescent="0.3">
      <c r="A251" s="1281"/>
      <c r="B251" s="1285"/>
      <c r="C251" s="1285"/>
      <c r="D251" s="1285"/>
      <c r="E251" s="2527"/>
      <c r="F251" s="1285"/>
      <c r="G251" s="1285"/>
      <c r="H251" s="1285"/>
      <c r="I251" s="1285"/>
      <c r="J251" s="1281"/>
      <c r="K251" s="1281"/>
    </row>
    <row r="252" spans="1:11" customFormat="1" ht="18" customHeight="1" thickBot="1" x14ac:dyDescent="0.3">
      <c r="A252" s="1281"/>
      <c r="B252" s="1187"/>
      <c r="C252" s="1390" t="s">
        <v>3020</v>
      </c>
      <c r="D252" s="1335" t="s">
        <v>299</v>
      </c>
      <c r="E252" s="1335"/>
      <c r="F252" s="1187"/>
      <c r="G252" s="1187"/>
      <c r="H252" s="1187"/>
      <c r="I252" s="1187"/>
      <c r="J252" s="1281"/>
      <c r="K252" s="1281"/>
    </row>
    <row r="253" spans="1:11" customFormat="1" ht="18" customHeight="1" thickBot="1" x14ac:dyDescent="0.3">
      <c r="A253" s="1281"/>
      <c r="B253" s="2532" t="s">
        <v>0</v>
      </c>
      <c r="C253" s="2535" t="s">
        <v>1</v>
      </c>
      <c r="D253" s="2538" t="s">
        <v>5</v>
      </c>
      <c r="E253" s="2538" t="s">
        <v>152</v>
      </c>
      <c r="F253" s="2538" t="s">
        <v>2</v>
      </c>
      <c r="G253" s="2538" t="s">
        <v>298</v>
      </c>
      <c r="H253" s="2538" t="s">
        <v>116</v>
      </c>
      <c r="I253" s="2541" t="s">
        <v>117</v>
      </c>
      <c r="J253" s="1281"/>
      <c r="K253" s="1281"/>
    </row>
    <row r="254" spans="1:11" s="233" customFormat="1" ht="18" hidden="1" customHeight="1" outlineLevel="1" x14ac:dyDescent="0.25">
      <c r="A254" s="1296"/>
      <c r="B254" s="1502" t="s">
        <v>885</v>
      </c>
      <c r="C254" s="1228" t="s">
        <v>2785</v>
      </c>
      <c r="D254" s="1228" t="s">
        <v>1954</v>
      </c>
      <c r="E254" s="1372">
        <f>K_NHx_BIO_AS</f>
        <v>5.0000000000000001E-3</v>
      </c>
      <c r="F254" s="1228" t="s">
        <v>886</v>
      </c>
      <c r="G254" s="1370">
        <v>3</v>
      </c>
      <c r="H254" s="1372" t="s">
        <v>1252</v>
      </c>
      <c r="I254" s="2042"/>
      <c r="J254" s="1296"/>
      <c r="K254" s="1296"/>
    </row>
    <row r="255" spans="1:11" s="233" customFormat="1" ht="18" hidden="1" customHeight="1" outlineLevel="1" x14ac:dyDescent="0.25">
      <c r="A255" s="1296"/>
      <c r="B255" s="1197" t="s">
        <v>885</v>
      </c>
      <c r="C255" s="1329" t="s">
        <v>2785</v>
      </c>
      <c r="D255" s="1329" t="s">
        <v>3567</v>
      </c>
      <c r="E255" s="1328">
        <f>K_NHx_BIO_AS*f_KS_biofilm</f>
        <v>2E-3</v>
      </c>
      <c r="F255" s="1329" t="s">
        <v>886</v>
      </c>
      <c r="G255" s="1327">
        <v>4</v>
      </c>
      <c r="H255" s="1328" t="s">
        <v>1178</v>
      </c>
      <c r="I255" s="1375" t="s">
        <v>3577</v>
      </c>
      <c r="J255" s="1296"/>
      <c r="K255" s="1296"/>
    </row>
    <row r="256" spans="1:11" s="233" customFormat="1" ht="18" hidden="1" customHeight="1" outlineLevel="1" x14ac:dyDescent="0.25">
      <c r="A256" s="1296"/>
      <c r="B256" s="1197" t="s">
        <v>887</v>
      </c>
      <c r="C256" s="1329" t="s">
        <v>2786</v>
      </c>
      <c r="D256" s="1329" t="s">
        <v>1955</v>
      </c>
      <c r="E256" s="1328">
        <f>K_PO4_BIO_AS</f>
        <v>2E-3</v>
      </c>
      <c r="F256" s="1329" t="s">
        <v>888</v>
      </c>
      <c r="G256" s="1327">
        <v>3</v>
      </c>
      <c r="H256" s="1328" t="s">
        <v>1252</v>
      </c>
      <c r="I256" s="1375"/>
      <c r="J256" s="1296"/>
      <c r="K256" s="1296"/>
    </row>
    <row r="257" spans="1:11" s="233" customFormat="1" ht="18" hidden="1" customHeight="1" outlineLevel="1" x14ac:dyDescent="0.25">
      <c r="A257" s="1296"/>
      <c r="B257" s="1197" t="s">
        <v>887</v>
      </c>
      <c r="C257" s="1329" t="s">
        <v>2786</v>
      </c>
      <c r="D257" s="1329" t="s">
        <v>3568</v>
      </c>
      <c r="E257" s="1328">
        <f>K_PO4_BIO_AS*f_KS_biofilm</f>
        <v>8.0000000000000004E-4</v>
      </c>
      <c r="F257" s="1329" t="s">
        <v>1969</v>
      </c>
      <c r="G257" s="1327">
        <v>4</v>
      </c>
      <c r="H257" s="1328" t="s">
        <v>1178</v>
      </c>
      <c r="I257" s="1375" t="s">
        <v>3577</v>
      </c>
      <c r="J257" s="1296"/>
      <c r="K257" s="1296"/>
    </row>
    <row r="258" spans="1:11" s="233" customFormat="1" ht="18" hidden="1" customHeight="1" outlineLevel="1" x14ac:dyDescent="0.25">
      <c r="A258" s="1296"/>
      <c r="B258" s="1311" t="s">
        <v>1796</v>
      </c>
      <c r="C258" s="2106" t="s">
        <v>2621</v>
      </c>
      <c r="D258" s="2106" t="s">
        <v>1962</v>
      </c>
      <c r="E258" s="1328">
        <f>K_CO2_BIO_AS</f>
        <v>1.2</v>
      </c>
      <c r="F258" s="1329" t="s">
        <v>1215</v>
      </c>
      <c r="G258" s="1327">
        <v>1</v>
      </c>
      <c r="H258" s="1328" t="s">
        <v>1252</v>
      </c>
      <c r="I258" s="1375"/>
      <c r="J258" s="1296"/>
      <c r="K258" s="1296"/>
    </row>
    <row r="259" spans="1:11" s="233" customFormat="1" ht="18" hidden="1" customHeight="1" outlineLevel="1" x14ac:dyDescent="0.25">
      <c r="A259" s="1296"/>
      <c r="B259" s="1311" t="s">
        <v>1796</v>
      </c>
      <c r="C259" s="2106" t="s">
        <v>2621</v>
      </c>
      <c r="D259" s="2106" t="s">
        <v>3569</v>
      </c>
      <c r="E259" s="1328">
        <f>K_CO2_BIO_AS*f_KS_biofilm</f>
        <v>0.48</v>
      </c>
      <c r="F259" s="1329" t="s">
        <v>1215</v>
      </c>
      <c r="G259" s="1327">
        <v>2</v>
      </c>
      <c r="H259" s="1328" t="s">
        <v>1178</v>
      </c>
      <c r="I259" s="1375" t="s">
        <v>3577</v>
      </c>
      <c r="J259" s="1296"/>
      <c r="K259" s="1296"/>
    </row>
    <row r="260" spans="1:11" s="233" customFormat="1" ht="18" hidden="1" customHeight="1" outlineLevel="1" x14ac:dyDescent="0.25">
      <c r="A260" s="1296"/>
      <c r="B260" s="1197" t="s">
        <v>889</v>
      </c>
      <c r="C260" s="1329" t="s">
        <v>2622</v>
      </c>
      <c r="D260" s="1329" t="s">
        <v>1957</v>
      </c>
      <c r="E260" s="1328">
        <f>K_CAT_AS</f>
        <v>0.1</v>
      </c>
      <c r="F260" s="1329" t="s">
        <v>1970</v>
      </c>
      <c r="G260" s="1327">
        <v>1</v>
      </c>
      <c r="H260" s="1328" t="s">
        <v>1252</v>
      </c>
      <c r="I260" s="1375"/>
      <c r="J260" s="1296"/>
      <c r="K260" s="1296"/>
    </row>
    <row r="261" spans="1:11" s="233" customFormat="1" ht="18" hidden="1" customHeight="1" outlineLevel="1" x14ac:dyDescent="0.25">
      <c r="A261" s="1296"/>
      <c r="B261" s="1197" t="s">
        <v>889</v>
      </c>
      <c r="C261" s="1329" t="s">
        <v>2622</v>
      </c>
      <c r="D261" s="1329" t="s">
        <v>3570</v>
      </c>
      <c r="E261" s="1328">
        <f>K_CAT_AS*f_KS_biofilm</f>
        <v>4.0000000000000008E-2</v>
      </c>
      <c r="F261" s="1329" t="s">
        <v>1970</v>
      </c>
      <c r="G261" s="1327">
        <v>2</v>
      </c>
      <c r="H261" s="1328" t="s">
        <v>1178</v>
      </c>
      <c r="I261" s="1375" t="s">
        <v>3577</v>
      </c>
      <c r="J261" s="1296"/>
      <c r="K261" s="1296"/>
    </row>
    <row r="262" spans="1:11" s="233" customFormat="1" ht="18" hidden="1" customHeight="1" outlineLevel="1" x14ac:dyDescent="0.25">
      <c r="A262" s="1296"/>
      <c r="B262" s="1197" t="s">
        <v>890</v>
      </c>
      <c r="C262" s="1329" t="s">
        <v>2623</v>
      </c>
      <c r="D262" s="1329" t="s">
        <v>1958</v>
      </c>
      <c r="E262" s="1328">
        <f>K_AN_AS</f>
        <v>0.1</v>
      </c>
      <c r="F262" s="1329" t="s">
        <v>1971</v>
      </c>
      <c r="G262" s="1327">
        <v>1</v>
      </c>
      <c r="H262" s="1328" t="s">
        <v>1252</v>
      </c>
      <c r="I262" s="1375"/>
      <c r="J262" s="1296"/>
      <c r="K262" s="1296"/>
    </row>
    <row r="263" spans="1:11" s="233" customFormat="1" ht="18" hidden="1" customHeight="1" outlineLevel="1" x14ac:dyDescent="0.25">
      <c r="A263" s="1296"/>
      <c r="B263" s="1197" t="s">
        <v>890</v>
      </c>
      <c r="C263" s="1329" t="s">
        <v>2623</v>
      </c>
      <c r="D263" s="1329" t="s">
        <v>3571</v>
      </c>
      <c r="E263" s="1328">
        <f>K_AN_AS*f_KS_biofilm</f>
        <v>4.0000000000000008E-2</v>
      </c>
      <c r="F263" s="1329" t="s">
        <v>1971</v>
      </c>
      <c r="G263" s="1327">
        <v>2</v>
      </c>
      <c r="H263" s="1328" t="s">
        <v>1178</v>
      </c>
      <c r="I263" s="1375" t="s">
        <v>3577</v>
      </c>
      <c r="J263" s="1296"/>
      <c r="K263" s="1296"/>
    </row>
    <row r="264" spans="1:11" s="233" customFormat="1" ht="18" hidden="1" customHeight="1" outlineLevel="1" x14ac:dyDescent="0.25">
      <c r="A264" s="1296"/>
      <c r="B264" s="1197" t="s">
        <v>3703</v>
      </c>
      <c r="C264" s="1229" t="s">
        <v>3704</v>
      </c>
      <c r="D264" s="1229" t="s">
        <v>3699</v>
      </c>
      <c r="E264" s="1316">
        <f>K_Mg_BIO_AS</f>
        <v>1E-4</v>
      </c>
      <c r="F264" s="1316" t="s">
        <v>1613</v>
      </c>
      <c r="G264" s="1332">
        <v>4</v>
      </c>
      <c r="H264" s="1316" t="s">
        <v>1252</v>
      </c>
      <c r="I264" s="1375"/>
      <c r="J264" s="1296"/>
      <c r="K264" s="1296"/>
    </row>
    <row r="265" spans="1:11" s="233" customFormat="1" ht="18" hidden="1" customHeight="1" outlineLevel="1" x14ac:dyDescent="0.25">
      <c r="A265" s="1296"/>
      <c r="B265" s="1197" t="s">
        <v>3703</v>
      </c>
      <c r="C265" s="1229" t="s">
        <v>3704</v>
      </c>
      <c r="D265" s="1229" t="s">
        <v>3705</v>
      </c>
      <c r="E265" s="1316">
        <v>1E-4</v>
      </c>
      <c r="F265" s="1316" t="s">
        <v>1613</v>
      </c>
      <c r="G265" s="1332">
        <v>5</v>
      </c>
      <c r="H265" s="1316" t="s">
        <v>1178</v>
      </c>
      <c r="I265" s="1375" t="s">
        <v>3577</v>
      </c>
      <c r="J265" s="1296"/>
      <c r="K265" s="1296"/>
    </row>
    <row r="266" spans="1:11" s="233" customFormat="1" ht="18" hidden="1" customHeight="1" outlineLevel="1" x14ac:dyDescent="0.25">
      <c r="A266" s="1296"/>
      <c r="B266" s="1197" t="s">
        <v>3706</v>
      </c>
      <c r="C266" s="1229" t="s">
        <v>3707</v>
      </c>
      <c r="D266" s="1229" t="s">
        <v>3701</v>
      </c>
      <c r="E266" s="1316">
        <f>K_Ca_BIO_AS</f>
        <v>1E-4</v>
      </c>
      <c r="F266" s="1316" t="s">
        <v>1615</v>
      </c>
      <c r="G266" s="1332">
        <v>4</v>
      </c>
      <c r="H266" s="1316" t="s">
        <v>1252</v>
      </c>
      <c r="I266" s="1375"/>
      <c r="J266" s="1296"/>
      <c r="K266" s="1296"/>
    </row>
    <row r="267" spans="1:11" s="233" customFormat="1" ht="18" hidden="1" customHeight="1" outlineLevel="1" x14ac:dyDescent="0.25">
      <c r="A267" s="1296"/>
      <c r="B267" s="1197" t="s">
        <v>3706</v>
      </c>
      <c r="C267" s="1229" t="s">
        <v>3707</v>
      </c>
      <c r="D267" s="1229" t="s">
        <v>3708</v>
      </c>
      <c r="E267" s="1316">
        <v>1E-4</v>
      </c>
      <c r="F267" s="1316" t="s">
        <v>1615</v>
      </c>
      <c r="G267" s="1332">
        <v>5</v>
      </c>
      <c r="H267" s="1316" t="s">
        <v>1178</v>
      </c>
      <c r="I267" s="1375" t="s">
        <v>3577</v>
      </c>
      <c r="J267" s="1296"/>
      <c r="K267" s="1296"/>
    </row>
    <row r="268" spans="1:11" s="233" customFormat="1" ht="18" hidden="1" customHeight="1" outlineLevel="1" x14ac:dyDescent="0.25">
      <c r="A268" s="1296"/>
      <c r="B268" s="1312" t="s">
        <v>1186</v>
      </c>
      <c r="C268" s="1329" t="s">
        <v>2787</v>
      </c>
      <c r="D268" s="1329" t="s">
        <v>1963</v>
      </c>
      <c r="E268" s="1328">
        <f>K_FLOC_AS</f>
        <v>1E-3</v>
      </c>
      <c r="F268" s="1329" t="s">
        <v>2175</v>
      </c>
      <c r="G268" s="1327">
        <v>3</v>
      </c>
      <c r="H268" s="1328" t="s">
        <v>1252</v>
      </c>
      <c r="I268" s="1375"/>
      <c r="J268" s="1296"/>
      <c r="K268" s="1296"/>
    </row>
    <row r="269" spans="1:11" s="233" customFormat="1" ht="18" hidden="1" customHeight="1" outlineLevel="1" x14ac:dyDescent="0.25">
      <c r="A269" s="1296"/>
      <c r="B269" s="1312" t="s">
        <v>1186</v>
      </c>
      <c r="C269" s="1329" t="s">
        <v>2787</v>
      </c>
      <c r="D269" s="1329" t="s">
        <v>3572</v>
      </c>
      <c r="E269" s="1328">
        <f>K_FLOC_AS*f_KS_biofilm</f>
        <v>4.0000000000000002E-4</v>
      </c>
      <c r="F269" s="1329" t="s">
        <v>2175</v>
      </c>
      <c r="G269" s="1327">
        <v>4</v>
      </c>
      <c r="H269" s="1328" t="s">
        <v>1178</v>
      </c>
      <c r="I269" s="1375" t="s">
        <v>3577</v>
      </c>
      <c r="J269" s="1296"/>
      <c r="K269" s="1296"/>
    </row>
    <row r="270" spans="1:11" s="233" customFormat="1" ht="18" hidden="1" customHeight="1" outlineLevel="1" x14ac:dyDescent="0.25">
      <c r="A270" s="1296"/>
      <c r="B270" s="1312" t="s">
        <v>1187</v>
      </c>
      <c r="C270" s="1329" t="s">
        <v>2788</v>
      </c>
      <c r="D270" s="1329" t="s">
        <v>1964</v>
      </c>
      <c r="E270" s="1328">
        <f>K_HYD_AS</f>
        <v>0.05</v>
      </c>
      <c r="F270" s="1329" t="s">
        <v>2175</v>
      </c>
      <c r="G270" s="1327">
        <v>2</v>
      </c>
      <c r="H270" s="1328" t="s">
        <v>1252</v>
      </c>
      <c r="I270" s="1375"/>
      <c r="J270" s="1296"/>
      <c r="K270" s="1296"/>
    </row>
    <row r="271" spans="1:11" s="233" customFormat="1" ht="18" hidden="1" customHeight="1" outlineLevel="1" x14ac:dyDescent="0.25">
      <c r="A271" s="1296"/>
      <c r="B271" s="1312" t="s">
        <v>1187</v>
      </c>
      <c r="C271" s="1329" t="s">
        <v>2788</v>
      </c>
      <c r="D271" s="1329" t="s">
        <v>3573</v>
      </c>
      <c r="E271" s="1328">
        <f>K_HYD_AS*f_KS_biofilm</f>
        <v>2.0000000000000004E-2</v>
      </c>
      <c r="F271" s="1329" t="s">
        <v>2175</v>
      </c>
      <c r="G271" s="1327">
        <v>3</v>
      </c>
      <c r="H271" s="1328" t="s">
        <v>1178</v>
      </c>
      <c r="I271" s="1375" t="s">
        <v>3577</v>
      </c>
      <c r="J271" s="1296"/>
      <c r="K271" s="1296"/>
    </row>
    <row r="272" spans="1:11" s="233" customFormat="1" ht="18" hidden="1" customHeight="1" outlineLevel="1" x14ac:dyDescent="0.25">
      <c r="A272" s="1296"/>
      <c r="B272" s="1312" t="s">
        <v>2783</v>
      </c>
      <c r="C272" s="1329" t="s">
        <v>3017</v>
      </c>
      <c r="D272" s="1329" t="s">
        <v>2784</v>
      </c>
      <c r="E272" s="1328">
        <f>K_iNHx_ASSIM_AS</f>
        <v>5.0000000000000001E-4</v>
      </c>
      <c r="F272" s="1329" t="s">
        <v>886</v>
      </c>
      <c r="G272" s="1327">
        <v>4</v>
      </c>
      <c r="H272" s="1328" t="s">
        <v>1252</v>
      </c>
      <c r="I272" s="1375"/>
      <c r="J272" s="1296"/>
      <c r="K272" s="1296"/>
    </row>
    <row r="273" spans="1:11" s="233" customFormat="1" ht="18" hidden="1" customHeight="1" outlineLevel="1" x14ac:dyDescent="0.25">
      <c r="A273" s="1296"/>
      <c r="B273" s="1312" t="s">
        <v>2783</v>
      </c>
      <c r="C273" s="1329" t="s">
        <v>3017</v>
      </c>
      <c r="D273" s="1329" t="s">
        <v>3574</v>
      </c>
      <c r="E273" s="1328">
        <f>K_iNHx_ASSIM_AS*f_KS_biofilm</f>
        <v>2.0000000000000001E-4</v>
      </c>
      <c r="F273" s="1329" t="s">
        <v>886</v>
      </c>
      <c r="G273" s="1327">
        <v>5</v>
      </c>
      <c r="H273" s="1328" t="s">
        <v>1178</v>
      </c>
      <c r="I273" s="1375" t="s">
        <v>3577</v>
      </c>
      <c r="J273" s="1296"/>
      <c r="K273" s="1296"/>
    </row>
    <row r="274" spans="1:11" s="126" customFormat="1" ht="18" hidden="1" customHeight="1" outlineLevel="1" x14ac:dyDescent="0.25">
      <c r="A274" s="1297"/>
      <c r="B274" s="1312" t="s">
        <v>2373</v>
      </c>
      <c r="C274" s="1329" t="s">
        <v>2789</v>
      </c>
      <c r="D274" s="1329" t="s">
        <v>2374</v>
      </c>
      <c r="E274" s="1328">
        <f>K_NO2_ASSIM_AS</f>
        <v>1E-3</v>
      </c>
      <c r="F274" s="1329" t="s">
        <v>886</v>
      </c>
      <c r="G274" s="1327">
        <v>4</v>
      </c>
      <c r="H274" s="1993" t="s">
        <v>1252</v>
      </c>
      <c r="I274" s="1985"/>
      <c r="J274" s="1297"/>
      <c r="K274" s="1297"/>
    </row>
    <row r="275" spans="1:11" s="126" customFormat="1" ht="18" hidden="1" customHeight="1" outlineLevel="1" x14ac:dyDescent="0.25">
      <c r="A275" s="1297"/>
      <c r="B275" s="1312" t="s">
        <v>2373</v>
      </c>
      <c r="C275" s="1329" t="s">
        <v>2789</v>
      </c>
      <c r="D275" s="1329" t="s">
        <v>3575</v>
      </c>
      <c r="E275" s="1328">
        <f>K_NO2_ASSIM_AS*f_KS_biofilm</f>
        <v>4.0000000000000002E-4</v>
      </c>
      <c r="F275" s="1329" t="s">
        <v>886</v>
      </c>
      <c r="G275" s="1327">
        <v>5</v>
      </c>
      <c r="H275" s="1993" t="s">
        <v>1178</v>
      </c>
      <c r="I275" s="1985" t="s">
        <v>3577</v>
      </c>
      <c r="J275" s="1297"/>
      <c r="K275" s="1297"/>
    </row>
    <row r="276" spans="1:11" s="126" customFormat="1" ht="18" hidden="1" customHeight="1" outlineLevel="1" x14ac:dyDescent="0.25">
      <c r="A276" s="1297"/>
      <c r="B276" s="1312" t="s">
        <v>2375</v>
      </c>
      <c r="C276" s="1329" t="s">
        <v>2790</v>
      </c>
      <c r="D276" s="1329" t="s">
        <v>2376</v>
      </c>
      <c r="E276" s="1328">
        <f>K_NO3_ASSIM_AS</f>
        <v>1E-3</v>
      </c>
      <c r="F276" s="1329" t="s">
        <v>886</v>
      </c>
      <c r="G276" s="1327">
        <v>4</v>
      </c>
      <c r="H276" s="1993" t="s">
        <v>1252</v>
      </c>
      <c r="I276" s="1985"/>
      <c r="J276" s="1297"/>
      <c r="K276" s="1297"/>
    </row>
    <row r="277" spans="1:11" s="126" customFormat="1" ht="18" hidden="1" customHeight="1" outlineLevel="1" thickBot="1" x14ac:dyDescent="0.3">
      <c r="A277" s="1297"/>
      <c r="B277" s="1994" t="s">
        <v>2375</v>
      </c>
      <c r="C277" s="1330" t="s">
        <v>2790</v>
      </c>
      <c r="D277" s="1330" t="s">
        <v>3576</v>
      </c>
      <c r="E277" s="1503">
        <f>K_NO3_ASSIM_AS*f_KS_biofilm</f>
        <v>4.0000000000000002E-4</v>
      </c>
      <c r="F277" s="1330" t="s">
        <v>886</v>
      </c>
      <c r="G277" s="1371">
        <v>5</v>
      </c>
      <c r="H277" s="1319" t="s">
        <v>1178</v>
      </c>
      <c r="I277" s="1986" t="s">
        <v>3577</v>
      </c>
      <c r="J277" s="1297"/>
      <c r="K277" s="1297"/>
    </row>
    <row r="278" spans="1:11" customFormat="1" ht="18" customHeight="1" collapsed="1" thickBot="1" x14ac:dyDescent="0.3">
      <c r="A278" s="1281"/>
      <c r="B278" s="1285"/>
      <c r="C278" s="1285"/>
      <c r="D278" s="1285"/>
      <c r="E278" s="2527"/>
      <c r="F278" s="1285"/>
      <c r="G278" s="1285"/>
      <c r="H278" s="1285"/>
      <c r="I278" s="1285"/>
      <c r="J278" s="1281"/>
      <c r="K278" s="1281"/>
    </row>
    <row r="279" spans="1:11" customFormat="1" ht="18" customHeight="1" thickBot="1" x14ac:dyDescent="0.3">
      <c r="A279" s="1281"/>
      <c r="B279" s="1187"/>
      <c r="C279" s="1922" t="s">
        <v>4624</v>
      </c>
      <c r="D279" s="1335" t="s">
        <v>299</v>
      </c>
      <c r="E279" s="1335"/>
      <c r="F279" s="1187"/>
      <c r="G279" s="1187"/>
      <c r="H279" s="1187"/>
      <c r="I279" s="1187"/>
      <c r="J279" s="1281"/>
      <c r="K279" s="1281"/>
    </row>
    <row r="280" spans="1:11" customFormat="1" ht="18" customHeight="1" thickBot="1" x14ac:dyDescent="0.3">
      <c r="A280" s="1281"/>
      <c r="B280" s="2533" t="s">
        <v>0</v>
      </c>
      <c r="C280" s="2536" t="s">
        <v>1</v>
      </c>
      <c r="D280" s="2539" t="s">
        <v>5</v>
      </c>
      <c r="E280" s="2539" t="s">
        <v>152</v>
      </c>
      <c r="F280" s="2539" t="s">
        <v>2</v>
      </c>
      <c r="G280" s="2539" t="s">
        <v>298</v>
      </c>
      <c r="H280" s="2539" t="s">
        <v>116</v>
      </c>
      <c r="I280" s="2542" t="s">
        <v>117</v>
      </c>
      <c r="J280" s="1281"/>
      <c r="K280" s="1281"/>
    </row>
    <row r="281" spans="1:11" customFormat="1" hidden="1" outlineLevel="1" x14ac:dyDescent="0.25">
      <c r="A281" s="1281"/>
      <c r="B281" s="1923" t="s">
        <v>4629</v>
      </c>
      <c r="C281" s="1925" t="s">
        <v>4625</v>
      </c>
      <c r="D281" s="1925" t="s">
        <v>4713</v>
      </c>
      <c r="E281" s="2043">
        <f>(-1)*(2/(K_CO2_AOB_AS*L_ograngeCO2_AOB_AS))*LN((1/19)*(1+(1/2)*(K_CO2_AOB_AS*L_ograngeCO2_AOB_AS/K_CO2_AOB_AS)))</f>
        <v>0.1876076498838746</v>
      </c>
      <c r="F281" s="681" t="s">
        <v>4664</v>
      </c>
      <c r="G281" s="1924">
        <v>1</v>
      </c>
      <c r="H281" s="1911" t="s">
        <v>4690</v>
      </c>
      <c r="I281" s="1906" t="s">
        <v>4714</v>
      </c>
      <c r="J281" s="1281"/>
      <c r="K281" s="1281"/>
    </row>
    <row r="282" spans="1:11" customFormat="1" hidden="1" outlineLevel="1" x14ac:dyDescent="0.25">
      <c r="A282" s="1281"/>
      <c r="B282" s="1907" t="s">
        <v>4629</v>
      </c>
      <c r="C282" s="1925" t="s">
        <v>4626</v>
      </c>
      <c r="D282" s="1925" t="s">
        <v>4712</v>
      </c>
      <c r="E282" s="2043">
        <f>(-1)*(2/(K_CO2_AOB_sidestream*L_ograngeCO2_AOB_sidestream))*LN((1/19)*(1+(1/2)*(K_CO2_AOB_sidestream*L_ograngeCO2_AOB_sidestream/K_CO2_AOB_sidestream)))</f>
        <v>0.10579057796076149</v>
      </c>
      <c r="F282" s="681" t="s">
        <v>4664</v>
      </c>
      <c r="G282" s="1924">
        <v>1</v>
      </c>
      <c r="H282" s="1911" t="s">
        <v>3503</v>
      </c>
      <c r="I282" s="1906" t="s">
        <v>4714</v>
      </c>
      <c r="J282" s="1281"/>
      <c r="K282" s="1281"/>
    </row>
    <row r="283" spans="1:11" customFormat="1" ht="18.75" hidden="1" outlineLevel="1" x14ac:dyDescent="0.25">
      <c r="A283" s="1281"/>
      <c r="B283" s="1923" t="s">
        <v>4630</v>
      </c>
      <c r="C283" s="1925" t="s">
        <v>4627</v>
      </c>
      <c r="D283" s="1925" t="s">
        <v>4711</v>
      </c>
      <c r="E283" s="2043">
        <f>((-1)*(2/((K_CO2_AOB_pH_AS)*(L_ograngeCO2_AOB_pH_AS)))*LN((1/19)*(1+(1/2)*((K_CO2_AOB_pH_AS)*(L_ograngeCO2_AOB_pH_AS)/(K_CO2_AOB_pH_AS)))))</f>
        <v>5077.947742116552</v>
      </c>
      <c r="F283" s="681" t="s">
        <v>4665</v>
      </c>
      <c r="G283" s="1924">
        <v>1</v>
      </c>
      <c r="H283" s="1911" t="s">
        <v>4691</v>
      </c>
      <c r="I283" s="1906" t="s">
        <v>4714</v>
      </c>
      <c r="J283" s="1281"/>
      <c r="K283" s="1281"/>
    </row>
    <row r="284" spans="1:11" customFormat="1" ht="18.75" hidden="1" outlineLevel="1" x14ac:dyDescent="0.25">
      <c r="A284" s="1281"/>
      <c r="B284" s="1907" t="s">
        <v>4630</v>
      </c>
      <c r="C284" s="1925" t="s">
        <v>4628</v>
      </c>
      <c r="D284" s="1925" t="s">
        <v>4710</v>
      </c>
      <c r="E284" s="2043">
        <f>(-1)*(2/(K_CO2_AOB_pH_sidestream*L_ograngeCO2_AOB_pH_sidestream))*LN((1/19)*(1+(1/2)*(K_CO2_AOB_pH_sidestream*L_ograngeCO2_AOB_pH_sidestream/K_CO2_AOB_pH_sidestream)))</f>
        <v>4674.4617279854701</v>
      </c>
      <c r="F284" s="681" t="s">
        <v>4665</v>
      </c>
      <c r="G284" s="1924">
        <v>1</v>
      </c>
      <c r="H284" s="1911" t="s">
        <v>3504</v>
      </c>
      <c r="I284" s="1906" t="s">
        <v>4714</v>
      </c>
      <c r="J284" s="1281"/>
      <c r="K284" s="1281"/>
    </row>
    <row r="285" spans="1:11" s="484" customFormat="1" hidden="1" outlineLevel="1" x14ac:dyDescent="0.25">
      <c r="A285" s="1281"/>
      <c r="B285" s="1995" t="s">
        <v>4682</v>
      </c>
      <c r="C285" s="2107" t="s">
        <v>4686</v>
      </c>
      <c r="D285" s="2107" t="s">
        <v>4709</v>
      </c>
      <c r="E285" s="1981">
        <f>(-1)*(2/(K_CO2_NOB_AS*L_ograngeCO2_NOB_AS))*LN((1/19)*(1+(1/2)*(K_CO2_NOB_AS*L_ograngeCO2_NOB_AS/K_CO2_NOB_AS)))</f>
        <v>7.5043059953549847</v>
      </c>
      <c r="F285" s="1982" t="s">
        <v>4670</v>
      </c>
      <c r="G285" s="1982">
        <v>1</v>
      </c>
      <c r="H285" s="1982" t="s">
        <v>1153</v>
      </c>
      <c r="I285" s="1996" t="s">
        <v>4714</v>
      </c>
      <c r="J285" s="1295"/>
      <c r="K285" s="1295"/>
    </row>
    <row r="286" spans="1:11" s="484" customFormat="1" hidden="1" outlineLevel="1" x14ac:dyDescent="0.25">
      <c r="A286" s="1281"/>
      <c r="B286" s="1995" t="s">
        <v>4683</v>
      </c>
      <c r="C286" s="2107" t="s">
        <v>4685</v>
      </c>
      <c r="D286" s="2107" t="s">
        <v>4708</v>
      </c>
      <c r="E286" s="1981">
        <f>((-1)*(2/((K_CO2_NOB_pH_AS)*(L_ograngeCO2_NOB_pH_AS)))*LN((1/19)*(1+(1/2)*((K_CO2_NOB_pH_AS)*(L_ograngeCO2_NOB_pH_AS)/(K_CO2_NOB_pH_AS)))))</f>
        <v>112564.58993032474</v>
      </c>
      <c r="F286" s="1982" t="s">
        <v>4665</v>
      </c>
      <c r="G286" s="1982">
        <v>1</v>
      </c>
      <c r="H286" s="1982" t="s">
        <v>11</v>
      </c>
      <c r="I286" s="1996" t="s">
        <v>4714</v>
      </c>
      <c r="J286" s="1295"/>
      <c r="K286" s="1295"/>
    </row>
    <row r="287" spans="1:11" s="484" customFormat="1" ht="18.75" hidden="1" outlineLevel="1" x14ac:dyDescent="0.25">
      <c r="A287" s="1281"/>
      <c r="B287" s="310" t="s">
        <v>4668</v>
      </c>
      <c r="C287" s="2082" t="s">
        <v>4669</v>
      </c>
      <c r="D287" s="1948" t="s">
        <v>4707</v>
      </c>
      <c r="E287" s="311">
        <f>(-1)*(2/(K_CO2_AMX_AS*L_ograngeCO2_AMX_AS))*LN((1/19)*(1+(1/2)*(K_CO2_AMX_AS*L_ograngeCO2_AMX_AS/K_CO2_AMX_AS)))</f>
        <v>0.7504305995354984</v>
      </c>
      <c r="F287" s="687" t="s">
        <v>4670</v>
      </c>
      <c r="G287" s="434">
        <v>1</v>
      </c>
      <c r="H287" s="366" t="s">
        <v>1153</v>
      </c>
      <c r="I287" s="1983" t="s">
        <v>4714</v>
      </c>
      <c r="J287" s="1295"/>
      <c r="K287" s="1295"/>
    </row>
    <row r="288" spans="1:11" s="484" customFormat="1" ht="18.75" hidden="1" outlineLevel="1" x14ac:dyDescent="0.25">
      <c r="A288" s="1281"/>
      <c r="B288" s="310" t="s">
        <v>4677</v>
      </c>
      <c r="C288" s="2082" t="s">
        <v>4684</v>
      </c>
      <c r="D288" s="1948" t="s">
        <v>4706</v>
      </c>
      <c r="E288" s="311">
        <f>((-1)*(2/((K_CO2_AMX_pH_AS)*(L_ograngeCO2_AMX_pH_AS)))*LN((1/19)*(1+(1/2)*((K_CO2_AMX_pH_AS)*(L_ograngeCO2_AMX_pH_AS)/(K_CO2_AMX_pH_AS)))))</f>
        <v>11256.458993032476</v>
      </c>
      <c r="F288" s="687" t="s">
        <v>4665</v>
      </c>
      <c r="G288" s="434">
        <v>1</v>
      </c>
      <c r="H288" s="366" t="s">
        <v>11</v>
      </c>
      <c r="I288" s="1983" t="s">
        <v>4714</v>
      </c>
      <c r="J288" s="1295"/>
      <c r="K288" s="1295"/>
    </row>
    <row r="289" spans="1:11" customFormat="1" hidden="1" outlineLevel="1" x14ac:dyDescent="0.25">
      <c r="A289" s="1281"/>
      <c r="B289" s="1926" t="s">
        <v>4631</v>
      </c>
      <c r="C289" s="1927" t="s">
        <v>4632</v>
      </c>
      <c r="D289" s="1927" t="s">
        <v>4705</v>
      </c>
      <c r="E289" s="1933">
        <f>((-1)*(2/((K_VFA_FERM)*(L_ograngeVFA_FERM_AS)))*LN((1/19)*(1+(1/2)*((K_VFA_FERM)*(L_ograngeVFA_FERM_AS)/(K_VFA_FERM)))))</f>
        <v>9.7948563582963093</v>
      </c>
      <c r="F289" s="1888" t="s">
        <v>4666</v>
      </c>
      <c r="G289" s="1934">
        <v>1</v>
      </c>
      <c r="H289" s="1935" t="s">
        <v>1252</v>
      </c>
      <c r="I289" s="1890" t="s">
        <v>4714</v>
      </c>
      <c r="J289" s="1281"/>
      <c r="K289" s="1281"/>
    </row>
    <row r="290" spans="1:11" customFormat="1" hidden="1" outlineLevel="1" x14ac:dyDescent="0.25">
      <c r="A290" s="1281"/>
      <c r="B290" s="1926" t="s">
        <v>4631</v>
      </c>
      <c r="C290" s="1927" t="s">
        <v>4633</v>
      </c>
      <c r="D290" s="1927" t="s">
        <v>4695</v>
      </c>
      <c r="E290" s="1933">
        <f>(-1)*(2/(K_VFA_FERM*L_ograngeVFA_FERM_AS))*LN((1/19)*(1+(1/2)*(K_VFA_FERM*L_ograngeVFA_FERM_AS/K_VFA_FERM))) / f_KS</f>
        <v>97.948563582963089</v>
      </c>
      <c r="F290" s="1888" t="s">
        <v>4666</v>
      </c>
      <c r="G290" s="1934">
        <v>1</v>
      </c>
      <c r="H290" s="1935" t="s">
        <v>1178</v>
      </c>
      <c r="I290" s="1984" t="s">
        <v>3577</v>
      </c>
      <c r="J290" s="1281"/>
      <c r="K290" s="1281"/>
    </row>
    <row r="291" spans="1:11" customFormat="1" hidden="1" outlineLevel="1" x14ac:dyDescent="0.25">
      <c r="A291" s="1281"/>
      <c r="B291" s="1928" t="s">
        <v>4634</v>
      </c>
      <c r="C291" s="1892" t="s">
        <v>4635</v>
      </c>
      <c r="D291" s="1892" t="s">
        <v>4704</v>
      </c>
      <c r="E291" s="1936">
        <f>((-1)*(2/((K_PO4_PAO)*(L_ograngePO4_PAO_AS_sat)))*LN((1/19)*(1+(1/2)*((K_PO4_PAO)*(L_ograngePO4_PAO_AS_sat)/(K_PO4_PAO)))))</f>
        <v>21.733056187876901</v>
      </c>
      <c r="F291" s="1892" t="s">
        <v>4667</v>
      </c>
      <c r="G291" s="1892">
        <v>1</v>
      </c>
      <c r="H291" s="1892" t="s">
        <v>1252</v>
      </c>
      <c r="I291" s="1895" t="s">
        <v>4714</v>
      </c>
      <c r="J291" s="1281"/>
      <c r="K291" s="1281"/>
    </row>
    <row r="292" spans="1:11" customFormat="1" hidden="1" outlineLevel="1" x14ac:dyDescent="0.25">
      <c r="A292" s="1281"/>
      <c r="B292" s="1928" t="s">
        <v>4634</v>
      </c>
      <c r="C292" s="1892" t="s">
        <v>4636</v>
      </c>
      <c r="D292" s="1892" t="s">
        <v>4696</v>
      </c>
      <c r="E292" s="1936">
        <f>(-1)*(2/(K_PO4_PAO*L_ograngePO4_PAO_AS_sat))*LN((1/19)*(1+(1/2)*(K_PO4_PAO*L_ograngePO4_PAO_AS_sat/K_PO4_PAO))) / f_KS</f>
        <v>217.330561878769</v>
      </c>
      <c r="F292" s="1892" t="s">
        <v>4667</v>
      </c>
      <c r="G292" s="1892">
        <v>1</v>
      </c>
      <c r="H292" s="1892" t="s">
        <v>1178</v>
      </c>
      <c r="I292" s="1895" t="s">
        <v>3577</v>
      </c>
      <c r="J292" s="1281"/>
      <c r="K292" s="1281"/>
    </row>
    <row r="293" spans="1:11" customFormat="1" hidden="1" outlineLevel="1" x14ac:dyDescent="0.25">
      <c r="A293" s="1281"/>
      <c r="B293" s="1928" t="s">
        <v>4637</v>
      </c>
      <c r="C293" s="1892" t="s">
        <v>4638</v>
      </c>
      <c r="D293" s="1892" t="s">
        <v>4703</v>
      </c>
      <c r="E293" s="1936">
        <f>((-1)*(2/((K_PO4_PAO)*(L_ograngePP_PAO_AS_sat)))*LN((1/19)*(1+(1/2)*((K_PO4_PAO)*(L_ograngePP_PAO_AS_sat)/(K_PO4_PAO)))))</f>
        <v>46.035290372874769</v>
      </c>
      <c r="F293" s="1892" t="s">
        <v>4667</v>
      </c>
      <c r="G293" s="1892">
        <v>1</v>
      </c>
      <c r="H293" s="1892" t="s">
        <v>1252</v>
      </c>
      <c r="I293" s="1895" t="s">
        <v>4714</v>
      </c>
      <c r="J293" s="1281"/>
      <c r="K293" s="1281"/>
    </row>
    <row r="294" spans="1:11" customFormat="1" hidden="1" outlineLevel="1" x14ac:dyDescent="0.25">
      <c r="A294" s="1281"/>
      <c r="B294" s="1928" t="s">
        <v>4637</v>
      </c>
      <c r="C294" s="1892" t="s">
        <v>4639</v>
      </c>
      <c r="D294" s="1892" t="s">
        <v>4697</v>
      </c>
      <c r="E294" s="1936">
        <f>(-1)*(2/(K_PO4_PAO*L_ograngePP_PAO_AS_sat))*LN((1/19)*(1+(1/2)*(K_PO4_PAO*L_ograngePP_PAO_AS_sat/K_PO4_PAO))) / f_KS</f>
        <v>460.35290372874766</v>
      </c>
      <c r="F294" s="1892" t="s">
        <v>4667</v>
      </c>
      <c r="G294" s="1892">
        <v>1</v>
      </c>
      <c r="H294" s="1892" t="s">
        <v>1178</v>
      </c>
      <c r="I294" s="1895" t="s">
        <v>3577</v>
      </c>
      <c r="J294" s="1281"/>
      <c r="K294" s="1281"/>
    </row>
    <row r="295" spans="1:11" customFormat="1" hidden="1" outlineLevel="1" x14ac:dyDescent="0.25">
      <c r="A295" s="1281"/>
      <c r="B295" s="1928" t="s">
        <v>4640</v>
      </c>
      <c r="C295" s="1892" t="s">
        <v>4641</v>
      </c>
      <c r="D295" s="1892" t="s">
        <v>4702</v>
      </c>
      <c r="E295" s="1936">
        <f>((-1)*(2/((K_iPHA_PAO_max)*(L_ograngePHA_PAO_inh)))*LN((1/19)*(1+(1/2)*((K_iPHA_PAO_max)*(L_ograngePHA_PAO_inh)/(K_iPHA_PAO_max)))))</f>
        <v>96.521627166566958</v>
      </c>
      <c r="F295" s="1896" t="s">
        <v>2175</v>
      </c>
      <c r="G295" s="1892">
        <v>1</v>
      </c>
      <c r="H295" s="1892"/>
      <c r="I295" s="1895" t="s">
        <v>4714</v>
      </c>
      <c r="J295" s="1281"/>
      <c r="K295" s="1281"/>
    </row>
    <row r="296" spans="1:11" customFormat="1" hidden="1" outlineLevel="1" x14ac:dyDescent="0.25">
      <c r="A296" s="1281"/>
      <c r="B296" s="1928" t="s">
        <v>4642</v>
      </c>
      <c r="C296" s="1892" t="s">
        <v>4643</v>
      </c>
      <c r="D296" s="1892" t="s">
        <v>4701</v>
      </c>
      <c r="E296" s="1936">
        <f>((-1)*(2/((K_iPP_PAO_max)*(L_ograngePP_PAO_inh)))*LN((1/19)*(1+(1/2)*((K_iPP_PAO_max)*(L_ograngePP_PAO_inh)/(K_iPP_PAO_max)))))</f>
        <v>96.230554358790513</v>
      </c>
      <c r="F296" s="1896" t="s">
        <v>4663</v>
      </c>
      <c r="G296" s="1892">
        <v>1</v>
      </c>
      <c r="H296" s="1892"/>
      <c r="I296" s="1895" t="s">
        <v>4714</v>
      </c>
      <c r="J296" s="1281"/>
      <c r="K296" s="1281"/>
    </row>
    <row r="297" spans="1:11" customFormat="1" hidden="1" outlineLevel="1" x14ac:dyDescent="0.25">
      <c r="A297" s="1281"/>
      <c r="B297" s="1899" t="s">
        <v>4644</v>
      </c>
      <c r="C297" s="1930" t="s">
        <v>4645</v>
      </c>
      <c r="D297" s="1930" t="s">
        <v>4700</v>
      </c>
      <c r="E297" s="1937">
        <f>((-1)*(2/((K_iGLY_GAO_max)*(L_ograngeGLY_GAO_inh)))*LN((1/19)*(1+(1/2)*((K_iGLY_GAO_max)*(L_ograngeGLY_GAO_inh)/(K_iGLY_GAO_max)))))</f>
        <v>96.205669034748837</v>
      </c>
      <c r="F297" s="1929" t="s">
        <v>2175</v>
      </c>
      <c r="G297" s="1929">
        <v>1</v>
      </c>
      <c r="H297" s="1938"/>
      <c r="I297" s="1939" t="s">
        <v>4714</v>
      </c>
      <c r="J297" s="1281"/>
      <c r="K297" s="1281"/>
    </row>
    <row r="298" spans="1:11" s="233" customFormat="1" hidden="1" outlineLevel="1" x14ac:dyDescent="0.25">
      <c r="A298" s="2521"/>
      <c r="B298" s="2188" t="s">
        <v>4727</v>
      </c>
      <c r="C298" s="2189" t="s">
        <v>4728</v>
      </c>
      <c r="D298" s="2189" t="s">
        <v>4729</v>
      </c>
      <c r="E298" s="2285">
        <f>((-1)*(2/((K_iNHx_AMETO)*(L_ograngeNH3_AMETO)))*LN((1/19)*(1+(1/2)*((K_iNHx_AMETO)*(L_ograngeNH3_AMETO)/(K_iNHx_AMETO)))))</f>
        <v>5.7918768176757843E-3</v>
      </c>
      <c r="F298" s="2191" t="s">
        <v>4739</v>
      </c>
      <c r="G298" s="2192">
        <v>1</v>
      </c>
      <c r="H298" s="2184" t="s">
        <v>1153</v>
      </c>
      <c r="I298" s="2187" t="s">
        <v>4714</v>
      </c>
      <c r="J298" s="1296"/>
      <c r="K298" s="1296"/>
    </row>
    <row r="299" spans="1:11" s="233" customFormat="1" ht="18.75" hidden="1" outlineLevel="1" x14ac:dyDescent="0.25">
      <c r="A299" s="2521"/>
      <c r="B299" s="2188" t="s">
        <v>4730</v>
      </c>
      <c r="C299" s="2189" t="s">
        <v>4731</v>
      </c>
      <c r="D299" s="2189" t="s">
        <v>4732</v>
      </c>
      <c r="E299" s="2285">
        <f>((-1)*(2/((K_iNH3_AMETO_pH)*(L_ograngeNH3_AMETO)))*LN((1/19)*(1+(1/2)*((K_iNH3_AMETO_pH)*(L_ograngeNH3_AMETO)/(K_iNH3_AMETO_pH)))))</f>
        <v>57.970947247187361</v>
      </c>
      <c r="F299" s="2191" t="s">
        <v>4738</v>
      </c>
      <c r="G299" s="2192">
        <v>1</v>
      </c>
      <c r="H299" s="2184" t="s">
        <v>11</v>
      </c>
      <c r="I299" s="2187" t="s">
        <v>4714</v>
      </c>
      <c r="J299" s="1296"/>
      <c r="K299" s="1296"/>
    </row>
    <row r="300" spans="1:11" customFormat="1" hidden="1" outlineLevel="1" x14ac:dyDescent="0.25">
      <c r="A300" s="1281"/>
      <c r="B300" s="1931" t="s">
        <v>4646</v>
      </c>
      <c r="C300" s="1932" t="s">
        <v>4647</v>
      </c>
      <c r="D300" s="1932" t="s">
        <v>4699</v>
      </c>
      <c r="E300" s="1940">
        <f>((-1)*(2/((K_iP_HFO_DISS)*(L_ograngeP_HFO_DISS)))*LN((1/19)*(1+(1/2)*((K_iP_HFO_DISS)*(L_ograngeP_HFO_DISS)/(K_iP_HFO_DISS)))))</f>
        <v>507.79477421165524</v>
      </c>
      <c r="F300" s="1932" t="s">
        <v>4667</v>
      </c>
      <c r="G300" s="1941">
        <v>1</v>
      </c>
      <c r="H300" s="1932"/>
      <c r="I300" s="1942" t="s">
        <v>4714</v>
      </c>
      <c r="J300" s="1281"/>
      <c r="K300" s="1281"/>
    </row>
    <row r="301" spans="1:11" customFormat="1" ht="18.75" hidden="1" outlineLevel="1" thickBot="1" x14ac:dyDescent="0.3">
      <c r="A301" s="1281"/>
      <c r="B301" s="1943" t="s">
        <v>4648</v>
      </c>
      <c r="C301" s="1944" t="s">
        <v>4649</v>
      </c>
      <c r="D301" s="1944" t="s">
        <v>4698</v>
      </c>
      <c r="E301" s="1945">
        <f>((-1)*(2/((K_iP_HAO_DISS)*(L_ograngeP_HAO_DISS)))*LN((1/19)*(1+(1/2)*((K_iP_HAO_DISS)*(L_ograngeP_HAO_DISS)/(K_iP_HAO_DISS)))))</f>
        <v>2251.2917986064954</v>
      </c>
      <c r="F301" s="1944" t="s">
        <v>4667</v>
      </c>
      <c r="G301" s="1946">
        <v>1</v>
      </c>
      <c r="H301" s="1944"/>
      <c r="I301" s="1947" t="s">
        <v>4714</v>
      </c>
      <c r="J301" s="1281"/>
      <c r="K301" s="1281"/>
    </row>
    <row r="302" spans="1:11" customFormat="1" ht="18" customHeight="1" collapsed="1" thickBot="1" x14ac:dyDescent="0.3">
      <c r="A302" s="1281"/>
      <c r="B302" s="1285"/>
      <c r="C302" s="1285"/>
      <c r="D302" s="1285"/>
      <c r="E302" s="2527"/>
      <c r="F302" s="1285"/>
      <c r="G302" s="1285"/>
      <c r="H302" s="1285"/>
      <c r="I302" s="1285"/>
      <c r="J302" s="1281"/>
      <c r="K302" s="1281"/>
    </row>
    <row r="303" spans="1:11" customFormat="1" ht="18" customHeight="1" thickBot="1" x14ac:dyDescent="0.3">
      <c r="A303" s="1281"/>
      <c r="B303" s="1187"/>
      <c r="C303" s="1390" t="s">
        <v>1966</v>
      </c>
      <c r="D303" s="1335" t="s">
        <v>299</v>
      </c>
      <c r="E303" s="1335"/>
      <c r="F303" s="1187"/>
      <c r="G303" s="1187"/>
      <c r="H303" s="1187"/>
      <c r="I303" s="1187"/>
      <c r="J303" s="1281"/>
      <c r="K303" s="1281"/>
    </row>
    <row r="304" spans="1:11" customFormat="1" ht="18" customHeight="1" thickBot="1" x14ac:dyDescent="0.3">
      <c r="A304" s="1281"/>
      <c r="B304" s="2532" t="s">
        <v>0</v>
      </c>
      <c r="C304" s="2535" t="s">
        <v>1</v>
      </c>
      <c r="D304" s="2538" t="s">
        <v>5</v>
      </c>
      <c r="E304" s="2538" t="s">
        <v>152</v>
      </c>
      <c r="F304" s="2538" t="s">
        <v>2</v>
      </c>
      <c r="G304" s="2538" t="s">
        <v>298</v>
      </c>
      <c r="H304" s="2538" t="s">
        <v>116</v>
      </c>
      <c r="I304" s="2541" t="s">
        <v>117</v>
      </c>
      <c r="J304" s="1281"/>
      <c r="K304" s="1281"/>
    </row>
    <row r="305" spans="1:11" ht="18" hidden="1" customHeight="1" outlineLevel="1" x14ac:dyDescent="0.25">
      <c r="A305" s="1187"/>
      <c r="B305" s="2194" t="s">
        <v>1834</v>
      </c>
      <c r="C305" s="2195" t="s">
        <v>2791</v>
      </c>
      <c r="D305" s="2195" t="s">
        <v>1835</v>
      </c>
      <c r="E305" s="2196">
        <f>((1+2*10^(0.5*((p_Hlow)-(p_Hhigh))))/(1+10^((p_H)-(p_Hhigh))+10^((p_Hlow)-(p_H))))</f>
        <v>0.99997841972817147</v>
      </c>
      <c r="F305" s="2197" t="s">
        <v>282</v>
      </c>
      <c r="G305" s="2197">
        <v>2</v>
      </c>
      <c r="H305" s="2198" t="s">
        <v>11</v>
      </c>
      <c r="I305" s="2199"/>
      <c r="J305" s="1187"/>
      <c r="K305" s="1187"/>
    </row>
    <row r="306" spans="1:11" ht="18" hidden="1" customHeight="1" outlineLevel="1" x14ac:dyDescent="0.25">
      <c r="A306" s="1187"/>
      <c r="B306" s="2200" t="s">
        <v>1834</v>
      </c>
      <c r="C306" s="2201" t="s">
        <v>2791</v>
      </c>
      <c r="D306" s="2201">
        <v>1</v>
      </c>
      <c r="E306" s="2202">
        <f>1</f>
        <v>1</v>
      </c>
      <c r="F306" s="2203" t="s">
        <v>282</v>
      </c>
      <c r="G306" s="2203">
        <v>0</v>
      </c>
      <c r="H306" s="2204" t="s">
        <v>1153</v>
      </c>
      <c r="I306" s="2205"/>
      <c r="J306" s="1187"/>
      <c r="K306" s="1187"/>
    </row>
    <row r="307" spans="1:11" ht="18" hidden="1" customHeight="1" outlineLevel="1" x14ac:dyDescent="0.25">
      <c r="A307" s="1187"/>
      <c r="B307" s="2200" t="s">
        <v>2003</v>
      </c>
      <c r="C307" s="2201" t="s">
        <v>2792</v>
      </c>
      <c r="D307" s="2201" t="s">
        <v>2005</v>
      </c>
      <c r="E307" s="2202">
        <f>((1+2*10^(0.5*((p_Hlow_AMETO)-(p_Hhigh_AMETO))))/(1+10^((p_H)-(p_Hhigh_AMETO))+10^((p_Hlow_AMETO)-(p_H))))</f>
        <v>0.99932217031298287</v>
      </c>
      <c r="F307" s="2203" t="s">
        <v>282</v>
      </c>
      <c r="G307" s="2203">
        <v>2</v>
      </c>
      <c r="H307" s="2204" t="s">
        <v>11</v>
      </c>
      <c r="I307" s="2205"/>
      <c r="J307" s="1187"/>
      <c r="K307" s="1187"/>
    </row>
    <row r="308" spans="1:11" ht="18" hidden="1" customHeight="1" outlineLevel="1" x14ac:dyDescent="0.25">
      <c r="A308" s="1187"/>
      <c r="B308" s="2200" t="s">
        <v>2003</v>
      </c>
      <c r="C308" s="2201" t="s">
        <v>2792</v>
      </c>
      <c r="D308" s="2201">
        <v>1</v>
      </c>
      <c r="E308" s="2202">
        <f>1</f>
        <v>1</v>
      </c>
      <c r="F308" s="2203" t="s">
        <v>282</v>
      </c>
      <c r="G308" s="2203">
        <v>0</v>
      </c>
      <c r="H308" s="2204" t="s">
        <v>1153</v>
      </c>
      <c r="I308" s="2205"/>
      <c r="J308" s="1187"/>
      <c r="K308" s="1187"/>
    </row>
    <row r="309" spans="1:11" ht="18" hidden="1" customHeight="1" outlineLevel="1" x14ac:dyDescent="0.25">
      <c r="A309" s="1187"/>
      <c r="B309" s="2200" t="s">
        <v>2004</v>
      </c>
      <c r="C309" s="2201" t="s">
        <v>2793</v>
      </c>
      <c r="D309" s="2201" t="s">
        <v>2006</v>
      </c>
      <c r="E309" s="2202">
        <f>((1+2*10^(0.5*((p_Hlow_HMETO)-(p_Hhigh_HMETO))))/(1+10^((p_H)-(p_Hhigh_HMETO))+10^((p_Hlow_HMETO)-(p_H))))</f>
        <v>0.99932217031298287</v>
      </c>
      <c r="F309" s="2203" t="s">
        <v>282</v>
      </c>
      <c r="G309" s="2203">
        <v>2</v>
      </c>
      <c r="H309" s="2204" t="s">
        <v>11</v>
      </c>
      <c r="I309" s="2205"/>
      <c r="J309" s="1187"/>
      <c r="K309" s="1187"/>
    </row>
    <row r="310" spans="1:11" ht="18" hidden="1" customHeight="1" outlineLevel="1" x14ac:dyDescent="0.25">
      <c r="A310" s="1187"/>
      <c r="B310" s="2200" t="s">
        <v>2004</v>
      </c>
      <c r="C310" s="2201" t="s">
        <v>2793</v>
      </c>
      <c r="D310" s="2201">
        <v>1</v>
      </c>
      <c r="E310" s="2202">
        <f>1</f>
        <v>1</v>
      </c>
      <c r="F310" s="2203" t="s">
        <v>282</v>
      </c>
      <c r="G310" s="2203">
        <v>0</v>
      </c>
      <c r="H310" s="2204" t="s">
        <v>1153</v>
      </c>
      <c r="I310" s="2205"/>
      <c r="J310" s="1187"/>
      <c r="K310" s="1187"/>
    </row>
    <row r="311" spans="1:11" s="137" customFormat="1" ht="18" hidden="1" customHeight="1" outlineLevel="1" x14ac:dyDescent="0.25">
      <c r="A311" s="1189"/>
      <c r="B311" s="2206" t="s">
        <v>2381</v>
      </c>
      <c r="C311" s="2207" t="s">
        <v>2794</v>
      </c>
      <c r="D311" s="2207" t="s">
        <v>2805</v>
      </c>
      <c r="E311" s="2208">
        <f>((K_iHNO2_AOB_pH)/((K_iHNO2_AOB_pH)+(conc_HNO2_I)))</f>
        <v>0.99999999999991396</v>
      </c>
      <c r="F311" s="2208" t="s">
        <v>282</v>
      </c>
      <c r="G311" s="2208">
        <v>2</v>
      </c>
      <c r="H311" s="2208" t="s">
        <v>11</v>
      </c>
      <c r="I311" s="2209"/>
      <c r="J311" s="1189"/>
      <c r="K311" s="1189"/>
    </row>
    <row r="312" spans="1:11" s="137" customFormat="1" ht="18" hidden="1" customHeight="1" outlineLevel="1" x14ac:dyDescent="0.25">
      <c r="A312" s="1189"/>
      <c r="B312" s="2206" t="s">
        <v>2381</v>
      </c>
      <c r="C312" s="2207" t="s">
        <v>2794</v>
      </c>
      <c r="D312" s="2207">
        <v>1</v>
      </c>
      <c r="E312" s="2208">
        <f>1</f>
        <v>1</v>
      </c>
      <c r="F312" s="2208" t="s">
        <v>282</v>
      </c>
      <c r="G312" s="2208">
        <v>2</v>
      </c>
      <c r="H312" s="2208" t="s">
        <v>1153</v>
      </c>
      <c r="I312" s="2209"/>
      <c r="J312" s="1189"/>
      <c r="K312" s="1189"/>
    </row>
    <row r="313" spans="1:11" s="104" customFormat="1" ht="18" hidden="1" customHeight="1" outlineLevel="1" x14ac:dyDescent="0.25">
      <c r="A313" s="1189"/>
      <c r="B313" s="2206" t="s">
        <v>2382</v>
      </c>
      <c r="C313" s="2207" t="s">
        <v>2795</v>
      </c>
      <c r="D313" s="2210" t="s">
        <v>4650</v>
      </c>
      <c r="E313" s="2211">
        <f>((conc_HCO3m_I)/((conc_HCO3m_I)+(K_CO2_AOB_pH)*EXP(((K_CO2_AOB_pH)-(conc_HCO3m_I))*(L_ogslopeCO2_AOB_pH))))</f>
        <v>0.99999999997903732</v>
      </c>
      <c r="F313" s="2212" t="s">
        <v>282</v>
      </c>
      <c r="G313" s="2212">
        <v>2</v>
      </c>
      <c r="H313" s="2208" t="s">
        <v>11</v>
      </c>
      <c r="I313" s="2209"/>
      <c r="J313" s="1185"/>
      <c r="K313" s="1185"/>
    </row>
    <row r="314" spans="1:11" s="302" customFormat="1" ht="18" hidden="1" customHeight="1" outlineLevel="1" x14ac:dyDescent="0.25">
      <c r="A314" s="1189"/>
      <c r="B314" s="2206" t="s">
        <v>2382</v>
      </c>
      <c r="C314" s="2207" t="s">
        <v>2796</v>
      </c>
      <c r="D314" s="2210" t="s">
        <v>4651</v>
      </c>
      <c r="E314" s="2211">
        <f>((S_CO2)/((S_CO2)+(K_CO2_AOB)*EXP(((K_CO2_AOB)-(S_CO2))*(L_ogslopeCO2_AOB))))</f>
        <v>0.99999855995209308</v>
      </c>
      <c r="F314" s="2212" t="s">
        <v>282</v>
      </c>
      <c r="G314" s="2212">
        <v>2</v>
      </c>
      <c r="H314" s="2208" t="s">
        <v>1153</v>
      </c>
      <c r="I314" s="2209"/>
      <c r="J314" s="1292"/>
      <c r="K314" s="1292"/>
    </row>
    <row r="315" spans="1:11" s="104" customFormat="1" ht="18" hidden="1" customHeight="1" outlineLevel="1" x14ac:dyDescent="0.25">
      <c r="A315" s="1189"/>
      <c r="B315" s="1995" t="s">
        <v>2383</v>
      </c>
      <c r="C315" s="2107" t="s">
        <v>2797</v>
      </c>
      <c r="D315" s="2213" t="s">
        <v>2804</v>
      </c>
      <c r="E315" s="2214">
        <f>((K_iNH3_NOB_pH)/((K_iNH3_NOB_pH)+(conc_NH3_I)))</f>
        <v>0.99999999995542743</v>
      </c>
      <c r="F315" s="2215" t="s">
        <v>282</v>
      </c>
      <c r="G315" s="2215">
        <v>2</v>
      </c>
      <c r="H315" s="1982" t="s">
        <v>11</v>
      </c>
      <c r="I315" s="2216"/>
      <c r="J315" s="1185"/>
      <c r="K315" s="1185"/>
    </row>
    <row r="316" spans="1:11" s="104" customFormat="1" ht="18" hidden="1" customHeight="1" outlineLevel="1" x14ac:dyDescent="0.25">
      <c r="A316" s="1189"/>
      <c r="B316" s="1995" t="s">
        <v>2383</v>
      </c>
      <c r="C316" s="2107" t="s">
        <v>2797</v>
      </c>
      <c r="D316" s="2107">
        <v>1</v>
      </c>
      <c r="E316" s="2214">
        <f>1</f>
        <v>1</v>
      </c>
      <c r="F316" s="2215" t="s">
        <v>282</v>
      </c>
      <c r="G316" s="2215">
        <v>2</v>
      </c>
      <c r="H316" s="1982" t="s">
        <v>1153</v>
      </c>
      <c r="I316" s="2216"/>
      <c r="J316" s="1185"/>
      <c r="K316" s="1185"/>
    </row>
    <row r="317" spans="1:11" s="104" customFormat="1" ht="18" hidden="1" customHeight="1" outlineLevel="1" x14ac:dyDescent="0.25">
      <c r="A317" s="1189"/>
      <c r="B317" s="1995" t="s">
        <v>2384</v>
      </c>
      <c r="C317" s="2107" t="s">
        <v>2798</v>
      </c>
      <c r="D317" s="2213" t="s">
        <v>4687</v>
      </c>
      <c r="E317" s="2214">
        <f>((conc_HCO3m_I)/((conc_HCO3m_I)+(K_CO2_NOB_pH)*EXP(((K_CO2_NOB_pH)-(conc_HCO3m_I))*(L_ogslopeCO2_NOB_pH))))</f>
        <v>1</v>
      </c>
      <c r="F317" s="2215" t="s">
        <v>282</v>
      </c>
      <c r="G317" s="2215">
        <v>2</v>
      </c>
      <c r="H317" s="1982" t="s">
        <v>11</v>
      </c>
      <c r="I317" s="1996"/>
      <c r="J317" s="1185"/>
      <c r="K317" s="1185"/>
    </row>
    <row r="318" spans="1:11" s="302" customFormat="1" ht="18" hidden="1" customHeight="1" outlineLevel="1" x14ac:dyDescent="0.25">
      <c r="A318" s="1189"/>
      <c r="B318" s="1995" t="s">
        <v>2384</v>
      </c>
      <c r="C318" s="2107" t="s">
        <v>2799</v>
      </c>
      <c r="D318" s="2213" t="s">
        <v>4688</v>
      </c>
      <c r="E318" s="2214">
        <f>((S_CO2)/((S_CO2)+(K_CO2_NOB)*EXP(((K_CO2_NOB)-(S_CO2))*(L_ogslopeCO2_NOB))))</f>
        <v>1</v>
      </c>
      <c r="F318" s="2215" t="s">
        <v>282</v>
      </c>
      <c r="G318" s="2215">
        <v>2</v>
      </c>
      <c r="H318" s="1982" t="s">
        <v>1153</v>
      </c>
      <c r="I318" s="1996"/>
      <c r="J318" s="1292"/>
      <c r="K318" s="1292"/>
    </row>
    <row r="319" spans="1:11" s="104" customFormat="1" ht="18" hidden="1" customHeight="1" outlineLevel="1" x14ac:dyDescent="0.25">
      <c r="A319" s="1189"/>
      <c r="B319" s="2217" t="s">
        <v>2385</v>
      </c>
      <c r="C319" s="2218" t="s">
        <v>2800</v>
      </c>
      <c r="D319" s="2219" t="s">
        <v>4675</v>
      </c>
      <c r="E319" s="2220">
        <f>((conc_HCO3m_I)/((conc_HCO3m_I)+(K_CO2_AMX_pH)*EXP(((K_CO2_AMX_pH)-(conc_HCO3m_I))*(L_ogslopeCO2_AMX_pH))))</f>
        <v>1</v>
      </c>
      <c r="F319" s="2221" t="s">
        <v>282</v>
      </c>
      <c r="G319" s="2221">
        <v>2</v>
      </c>
      <c r="H319" s="2222" t="s">
        <v>11</v>
      </c>
      <c r="I319" s="2223"/>
      <c r="J319" s="1185"/>
      <c r="K319" s="1185"/>
    </row>
    <row r="320" spans="1:11" s="302" customFormat="1" ht="18" hidden="1" customHeight="1" outlineLevel="1" x14ac:dyDescent="0.25">
      <c r="A320" s="1189"/>
      <c r="B320" s="2217" t="s">
        <v>2385</v>
      </c>
      <c r="C320" s="2218" t="s">
        <v>2801</v>
      </c>
      <c r="D320" s="2219" t="s">
        <v>4676</v>
      </c>
      <c r="E320" s="2220">
        <f>((S_CO2)/((S_CO2)+(K_CO2_AMX)*EXP(((K_CO2_AMX)-(S_CO2))*(L_ogslopeCO2_AMX))))</f>
        <v>1</v>
      </c>
      <c r="F320" s="2221" t="s">
        <v>282</v>
      </c>
      <c r="G320" s="2221">
        <v>2</v>
      </c>
      <c r="H320" s="2222" t="s">
        <v>1153</v>
      </c>
      <c r="I320" s="2223"/>
      <c r="J320" s="1292"/>
      <c r="K320" s="1292"/>
    </row>
    <row r="321" spans="1:11" s="137" customFormat="1" ht="18" hidden="1" customHeight="1" outlineLevel="1" x14ac:dyDescent="0.25">
      <c r="A321" s="1189"/>
      <c r="B321" s="2217" t="s">
        <v>2386</v>
      </c>
      <c r="C321" s="2218" t="s">
        <v>2802</v>
      </c>
      <c r="D321" s="2224" t="s">
        <v>2803</v>
      </c>
      <c r="E321" s="2222">
        <f>((K_iHNO2_AMX_pH)/((K_iHNO2_AMX_pH)+(conc_HNO2_I)))</f>
        <v>0.99999999913998838</v>
      </c>
      <c r="F321" s="2222" t="s">
        <v>282</v>
      </c>
      <c r="G321" s="2222">
        <v>2</v>
      </c>
      <c r="H321" s="2222" t="s">
        <v>11</v>
      </c>
      <c r="I321" s="2223"/>
      <c r="J321" s="1189"/>
      <c r="K321" s="1189"/>
    </row>
    <row r="322" spans="1:11" s="137" customFormat="1" ht="18" hidden="1" customHeight="1" outlineLevel="1" x14ac:dyDescent="0.25">
      <c r="A322" s="1189"/>
      <c r="B322" s="2217" t="s">
        <v>2386</v>
      </c>
      <c r="C322" s="2218" t="s">
        <v>2802</v>
      </c>
      <c r="D322" s="2224">
        <v>1</v>
      </c>
      <c r="E322" s="2222">
        <f>1</f>
        <v>1</v>
      </c>
      <c r="F322" s="2222" t="s">
        <v>282</v>
      </c>
      <c r="G322" s="2222">
        <v>2</v>
      </c>
      <c r="H322" s="2222" t="s">
        <v>1153</v>
      </c>
      <c r="I322" s="2223"/>
      <c r="J322" s="1189"/>
      <c r="K322" s="1189"/>
    </row>
    <row r="323" spans="1:11" s="233" customFormat="1" hidden="1" outlineLevel="1" x14ac:dyDescent="0.25">
      <c r="A323" s="2521"/>
      <c r="B323" s="2188" t="s">
        <v>4733</v>
      </c>
      <c r="C323" s="2189" t="s">
        <v>4734</v>
      </c>
      <c r="D323" s="2189" t="s">
        <v>4735</v>
      </c>
      <c r="E323" s="2193">
        <f>(1-(conc_NH3_I)/((conc_NH3_I)+(K_iNH3_AMETO_pH)*EXP(((K_iNH3_AMETO_pH)-(conc_NH3_I))*(L_ogslopeNH3_AMETO_pH))))</f>
        <v>1</v>
      </c>
      <c r="F323" s="2191" t="s">
        <v>282</v>
      </c>
      <c r="G323" s="2192">
        <v>2</v>
      </c>
      <c r="H323" s="2184" t="s">
        <v>11</v>
      </c>
      <c r="I323" s="2187"/>
      <c r="J323" s="1296"/>
      <c r="K323" s="1296"/>
    </row>
    <row r="324" spans="1:11" s="233" customFormat="1" ht="18.75" hidden="1" outlineLevel="1" thickBot="1" x14ac:dyDescent="0.3">
      <c r="A324" s="2521"/>
      <c r="B324" s="2225" t="s">
        <v>4733</v>
      </c>
      <c r="C324" s="2226" t="s">
        <v>4734</v>
      </c>
      <c r="D324" s="2226" t="s">
        <v>4736</v>
      </c>
      <c r="E324" s="2227">
        <f>(1-(S_NHx)/((S_NHx)+(K_iNHx_AMETO)*EXP(((K_iNHx_AMETO)-(S_NHx))*(L_ogslopeNHx_AMETO))))</f>
        <v>1</v>
      </c>
      <c r="F324" s="2228" t="s">
        <v>282</v>
      </c>
      <c r="G324" s="2229">
        <v>2</v>
      </c>
      <c r="H324" s="2230" t="s">
        <v>1153</v>
      </c>
      <c r="I324" s="2231"/>
      <c r="J324" s="1296"/>
      <c r="K324" s="1296"/>
    </row>
    <row r="325" spans="1:11" customFormat="1" ht="18" customHeight="1" collapsed="1" thickBot="1" x14ac:dyDescent="0.3">
      <c r="A325" s="1281"/>
      <c r="B325" s="1285"/>
      <c r="C325" s="1285"/>
      <c r="D325" s="1285"/>
      <c r="E325" s="2527"/>
      <c r="F325" s="1285"/>
      <c r="G325" s="1285"/>
      <c r="H325" s="1285"/>
      <c r="I325" s="1285"/>
      <c r="J325" s="1281"/>
      <c r="K325" s="1281"/>
    </row>
    <row r="326" spans="1:11" customFormat="1" ht="18" customHeight="1" thickBot="1" x14ac:dyDescent="0.3">
      <c r="A326" s="1281"/>
      <c r="B326" s="1187"/>
      <c r="C326" s="1390" t="s">
        <v>893</v>
      </c>
      <c r="D326" s="1335" t="s">
        <v>299</v>
      </c>
      <c r="E326" s="1335"/>
      <c r="F326" s="1187"/>
      <c r="G326" s="1187"/>
      <c r="H326" s="1187"/>
      <c r="I326" s="1187"/>
      <c r="J326" s="1281"/>
      <c r="K326" s="1281"/>
    </row>
    <row r="327" spans="1:11" customFormat="1" ht="18" customHeight="1" thickBot="1" x14ac:dyDescent="0.3">
      <c r="A327" s="1281"/>
      <c r="B327" s="2532" t="s">
        <v>0</v>
      </c>
      <c r="C327" s="2535" t="s">
        <v>1</v>
      </c>
      <c r="D327" s="2538" t="s">
        <v>5</v>
      </c>
      <c r="E327" s="2538" t="s">
        <v>152</v>
      </c>
      <c r="F327" s="2538" t="s">
        <v>2</v>
      </c>
      <c r="G327" s="2538" t="s">
        <v>298</v>
      </c>
      <c r="H327" s="2538" t="s">
        <v>116</v>
      </c>
      <c r="I327" s="2541" t="s">
        <v>117</v>
      </c>
      <c r="J327" s="1281"/>
      <c r="K327" s="1281"/>
    </row>
    <row r="328" spans="1:11" ht="18" hidden="1" customHeight="1" outlineLevel="1" x14ac:dyDescent="0.25">
      <c r="A328" s="1187"/>
      <c r="B328" s="1202" t="s">
        <v>1809</v>
      </c>
      <c r="C328" s="1336" t="s">
        <v>2809</v>
      </c>
      <c r="D328" s="1336" t="s">
        <v>1810</v>
      </c>
      <c r="E328" s="1331">
        <f>((S_AN)/((K_AN)+(S_AN)))</f>
        <v>0.99933377748167895</v>
      </c>
      <c r="F328" s="1331" t="s">
        <v>282</v>
      </c>
      <c r="G328" s="1331">
        <v>2</v>
      </c>
      <c r="H328" s="1226"/>
      <c r="I328" s="1378"/>
      <c r="J328" s="1187"/>
      <c r="K328" s="1187"/>
    </row>
    <row r="329" spans="1:11" ht="18" hidden="1" customHeight="1" outlineLevel="1" x14ac:dyDescent="0.25">
      <c r="A329" s="1187"/>
      <c r="B329" s="1191" t="s">
        <v>1807</v>
      </c>
      <c r="C329" s="2108" t="s">
        <v>2810</v>
      </c>
      <c r="D329" s="1337" t="s">
        <v>1808</v>
      </c>
      <c r="E329" s="1338">
        <f>((S_CAT)/((K_CAT)+(S_CAT)))</f>
        <v>0.99715099715099709</v>
      </c>
      <c r="F329" s="1338" t="s">
        <v>282</v>
      </c>
      <c r="G329" s="1338">
        <v>2</v>
      </c>
      <c r="H329" s="1233"/>
      <c r="I329" s="1379"/>
      <c r="J329" s="1187"/>
      <c r="K329" s="1187"/>
    </row>
    <row r="330" spans="1:11" ht="18" hidden="1" customHeight="1" outlineLevel="1" x14ac:dyDescent="0.25">
      <c r="A330" s="1187"/>
      <c r="B330" s="1197" t="s">
        <v>3709</v>
      </c>
      <c r="C330" s="2110" t="s">
        <v>3710</v>
      </c>
      <c r="D330" s="2110" t="s">
        <v>3711</v>
      </c>
      <c r="E330" s="1332">
        <f>((S_Ca)/((K_Ca_BIO)+(S_Ca)))</f>
        <v>0.99999933333377777</v>
      </c>
      <c r="F330" s="1332" t="s">
        <v>282</v>
      </c>
      <c r="G330" s="1332">
        <v>2</v>
      </c>
      <c r="H330" s="1316"/>
      <c r="I330" s="1375"/>
      <c r="J330" s="1187"/>
      <c r="K330" s="1187"/>
    </row>
    <row r="331" spans="1:11" ht="18" hidden="1" customHeight="1" outlineLevel="1" x14ac:dyDescent="0.25">
      <c r="A331" s="1187"/>
      <c r="B331" s="1197" t="s">
        <v>3712</v>
      </c>
      <c r="C331" s="2110" t="s">
        <v>3713</v>
      </c>
      <c r="D331" s="2110" t="s">
        <v>3714</v>
      </c>
      <c r="E331" s="1332">
        <f>((S_Mg)/((K_Mg_BIO)+(S_Mg)))</f>
        <v>0.99999333337777752</v>
      </c>
      <c r="F331" s="1332" t="s">
        <v>282</v>
      </c>
      <c r="G331" s="1332">
        <v>2</v>
      </c>
      <c r="H331" s="1316"/>
      <c r="I331" s="1375"/>
      <c r="J331" s="1187"/>
      <c r="K331" s="1187"/>
    </row>
    <row r="332" spans="1:11" ht="18" hidden="1" customHeight="1" outlineLevel="1" x14ac:dyDescent="0.25">
      <c r="A332" s="1187"/>
      <c r="B332" s="1191" t="s">
        <v>1823</v>
      </c>
      <c r="C332" s="2108" t="s">
        <v>2811</v>
      </c>
      <c r="D332" s="1337" t="s">
        <v>1824</v>
      </c>
      <c r="E332" s="1338">
        <f>((S_CO2)/((K_CO2_BIO)+(S_CO2)))</f>
        <v>0.98404255319148937</v>
      </c>
      <c r="F332" s="1338" t="s">
        <v>282</v>
      </c>
      <c r="G332" s="1338">
        <v>2</v>
      </c>
      <c r="H332" s="1233"/>
      <c r="I332" s="1379"/>
      <c r="J332" s="1187"/>
      <c r="K332" s="1187"/>
    </row>
    <row r="333" spans="1:11" ht="18" hidden="1" customHeight="1" outlineLevel="1" x14ac:dyDescent="0.25">
      <c r="A333" s="1187"/>
      <c r="B333" s="1191" t="s">
        <v>1803</v>
      </c>
      <c r="C333" s="2108" t="s">
        <v>2812</v>
      </c>
      <c r="D333" s="1337" t="s">
        <v>1804</v>
      </c>
      <c r="E333" s="1338">
        <f>((S_NHx)/((K_NHx_BIO)+(S_NHx)))</f>
        <v>0.99502487562189068</v>
      </c>
      <c r="F333" s="1338" t="s">
        <v>282</v>
      </c>
      <c r="G333" s="1338">
        <v>2</v>
      </c>
      <c r="H333" s="1233"/>
      <c r="I333" s="1379"/>
      <c r="J333" s="1187"/>
      <c r="K333" s="1187"/>
    </row>
    <row r="334" spans="1:11" ht="18" hidden="1" customHeight="1" outlineLevel="1" x14ac:dyDescent="0.25">
      <c r="A334" s="1187"/>
      <c r="B334" s="1191" t="s">
        <v>1805</v>
      </c>
      <c r="C334" s="2108" t="s">
        <v>2813</v>
      </c>
      <c r="D334" s="1337" t="s">
        <v>1806</v>
      </c>
      <c r="E334" s="1338">
        <f>((S_PO4)/((K_PO4_BIO)+(S_PO4)))</f>
        <v>0.99601593625498008</v>
      </c>
      <c r="F334" s="1338" t="s">
        <v>282</v>
      </c>
      <c r="G334" s="1338">
        <v>2</v>
      </c>
      <c r="H334" s="1233"/>
      <c r="I334" s="1379"/>
      <c r="J334" s="1187"/>
      <c r="K334" s="1187"/>
    </row>
    <row r="335" spans="1:11" ht="18" hidden="1" customHeight="1" outlineLevel="1" x14ac:dyDescent="0.25">
      <c r="A335" s="1187"/>
      <c r="B335" s="175" t="s">
        <v>2387</v>
      </c>
      <c r="C335" s="2085" t="s">
        <v>2959</v>
      </c>
      <c r="D335" s="2086" t="s">
        <v>2388</v>
      </c>
      <c r="E335" s="371">
        <f>((K_NO2_OHO)/((K_NO2_OHO)+(S_NO2)))</f>
        <v>0.33333333333333331</v>
      </c>
      <c r="F335" s="305" t="s">
        <v>282</v>
      </c>
      <c r="G335" s="305">
        <v>2</v>
      </c>
      <c r="H335" s="235"/>
      <c r="I335" s="385"/>
      <c r="J335" s="1187"/>
      <c r="K335" s="1187"/>
    </row>
    <row r="336" spans="1:11" ht="18" hidden="1" customHeight="1" outlineLevel="1" x14ac:dyDescent="0.25">
      <c r="A336" s="1187"/>
      <c r="B336" s="175" t="s">
        <v>2389</v>
      </c>
      <c r="C336" s="2085" t="s">
        <v>2960</v>
      </c>
      <c r="D336" s="2086" t="s">
        <v>2390</v>
      </c>
      <c r="E336" s="371">
        <f>((K_NO3_OHO)/((K_NO3_OHO)+(S_NO3)))</f>
        <v>1.9607843137254905E-2</v>
      </c>
      <c r="F336" s="305" t="s">
        <v>282</v>
      </c>
      <c r="G336" s="305">
        <v>2</v>
      </c>
      <c r="H336" s="235"/>
      <c r="I336" s="385"/>
      <c r="J336" s="1187"/>
      <c r="K336" s="1187"/>
    </row>
    <row r="337" spans="1:13" ht="18" hidden="1" customHeight="1" outlineLevel="1" x14ac:dyDescent="0.25">
      <c r="A337" s="1187"/>
      <c r="B337" s="583" t="s">
        <v>1831</v>
      </c>
      <c r="C337" s="2085" t="s">
        <v>2814</v>
      </c>
      <c r="D337" s="2085" t="s">
        <v>1965</v>
      </c>
      <c r="E337" s="581">
        <f>((K_O2_OHO)/((K_O2_OHO)+(S_O2)))</f>
        <v>6.9767441860465115E-2</v>
      </c>
      <c r="F337" s="581" t="s">
        <v>282</v>
      </c>
      <c r="G337" s="581">
        <v>2</v>
      </c>
      <c r="H337" s="584"/>
      <c r="I337" s="585"/>
      <c r="J337" s="1187"/>
      <c r="K337" s="1187"/>
      <c r="L337" s="137"/>
      <c r="M337" s="137"/>
    </row>
    <row r="338" spans="1:13" ht="18" hidden="1" customHeight="1" outlineLevel="1" x14ac:dyDescent="0.25">
      <c r="A338" s="1187"/>
      <c r="B338" s="586" t="s">
        <v>1829</v>
      </c>
      <c r="C338" s="2111" t="s">
        <v>2815</v>
      </c>
      <c r="D338" s="2087" t="s">
        <v>1830</v>
      </c>
      <c r="E338" s="582">
        <f>((K_VFA)/((K_VFA)+(S_VFA)))</f>
        <v>0.98039215686274506</v>
      </c>
      <c r="F338" s="582" t="s">
        <v>282</v>
      </c>
      <c r="G338" s="582">
        <v>2</v>
      </c>
      <c r="H338" s="587"/>
      <c r="I338" s="588"/>
      <c r="J338" s="1187"/>
      <c r="K338" s="1187"/>
    </row>
    <row r="339" spans="1:13" ht="18" hidden="1" customHeight="1" outlineLevel="1" x14ac:dyDescent="0.25">
      <c r="A339" s="1187"/>
      <c r="B339" s="175" t="s">
        <v>1811</v>
      </c>
      <c r="C339" s="2085" t="s">
        <v>2816</v>
      </c>
      <c r="D339" s="2086" t="s">
        <v>1812</v>
      </c>
      <c r="E339" s="305">
        <f>((S_B)/((K_SB)+(S_B)))</f>
        <v>0.16666666666666666</v>
      </c>
      <c r="F339" s="305" t="s">
        <v>282</v>
      </c>
      <c r="G339" s="305">
        <v>2</v>
      </c>
      <c r="H339" s="235"/>
      <c r="I339" s="385"/>
      <c r="J339" s="1187"/>
      <c r="K339" s="1187"/>
    </row>
    <row r="340" spans="1:13" ht="18" hidden="1" customHeight="1" outlineLevel="1" x14ac:dyDescent="0.25">
      <c r="A340" s="1187"/>
      <c r="B340" s="175" t="s">
        <v>1873</v>
      </c>
      <c r="C340" s="2085" t="s">
        <v>2817</v>
      </c>
      <c r="D340" s="2086" t="s">
        <v>1872</v>
      </c>
      <c r="E340" s="305">
        <f>((S_B)/((K_SB_ana)+(S_B)))</f>
        <v>0.16666666666666666</v>
      </c>
      <c r="F340" s="305" t="s">
        <v>282</v>
      </c>
      <c r="G340" s="305">
        <v>2</v>
      </c>
      <c r="H340" s="235"/>
      <c r="I340" s="385"/>
      <c r="J340" s="1187"/>
      <c r="K340" s="1187"/>
    </row>
    <row r="341" spans="1:13" ht="18" hidden="1" customHeight="1" outlineLevel="1" x14ac:dyDescent="0.25">
      <c r="A341" s="1187"/>
      <c r="B341" s="175" t="s">
        <v>1799</v>
      </c>
      <c r="C341" s="2085" t="s">
        <v>2818</v>
      </c>
      <c r="D341" s="2086" t="s">
        <v>1800</v>
      </c>
      <c r="E341" s="305">
        <f>((S_MEOL)/((K_MEOL_OHO)+(S_MEOL)))</f>
        <v>9.9999999999999994E-50</v>
      </c>
      <c r="F341" s="305" t="s">
        <v>282</v>
      </c>
      <c r="G341" s="305">
        <v>2</v>
      </c>
      <c r="H341" s="235"/>
      <c r="I341" s="385"/>
      <c r="J341" s="1187"/>
      <c r="K341" s="1187"/>
    </row>
    <row r="342" spans="1:13" customFormat="1" ht="18" hidden="1" customHeight="1" outlineLevel="1" x14ac:dyDescent="0.25">
      <c r="A342" s="1281"/>
      <c r="B342" s="1505" t="s">
        <v>2482</v>
      </c>
      <c r="C342" s="2085" t="s">
        <v>2825</v>
      </c>
      <c r="D342" s="2112" t="s">
        <v>2483</v>
      </c>
      <c r="E342" s="432">
        <f>((S_NO2)/((K_NO2_OHO)+(S_NO2)))</f>
        <v>0.66666666666666663</v>
      </c>
      <c r="F342" s="432" t="s">
        <v>282</v>
      </c>
      <c r="G342" s="432">
        <v>2</v>
      </c>
      <c r="H342" s="1997"/>
      <c r="I342" s="2044"/>
      <c r="J342" s="1281"/>
      <c r="K342" s="1281"/>
    </row>
    <row r="343" spans="1:13" s="493" customFormat="1" ht="18" hidden="1" customHeight="1" outlineLevel="1" x14ac:dyDescent="0.25">
      <c r="A343" s="1298"/>
      <c r="B343" s="1505" t="s">
        <v>2484</v>
      </c>
      <c r="C343" s="2085" t="s">
        <v>2824</v>
      </c>
      <c r="D343" s="2112" t="s">
        <v>2485</v>
      </c>
      <c r="E343" s="432">
        <f>((S_NO3)/((K_NO3_OHO)+(S_NO3)))</f>
        <v>0.98039215686274517</v>
      </c>
      <c r="F343" s="432" t="s">
        <v>282</v>
      </c>
      <c r="G343" s="432">
        <v>2</v>
      </c>
      <c r="H343" s="1997"/>
      <c r="I343" s="2044"/>
      <c r="J343" s="1298"/>
      <c r="K343" s="1298"/>
    </row>
    <row r="344" spans="1:13" ht="18" hidden="1" customHeight="1" outlineLevel="1" x14ac:dyDescent="0.25">
      <c r="A344" s="1187"/>
      <c r="B344" s="175" t="s">
        <v>1797</v>
      </c>
      <c r="C344" s="2085" t="s">
        <v>2819</v>
      </c>
      <c r="D344" s="2086" t="s">
        <v>1798</v>
      </c>
      <c r="E344" s="305">
        <f>((S_O2)/((K_O2_OHO)+(S_O2)))</f>
        <v>0.93023255813953487</v>
      </c>
      <c r="F344" s="305" t="s">
        <v>282</v>
      </c>
      <c r="G344" s="305">
        <v>2</v>
      </c>
      <c r="H344" s="235"/>
      <c r="I344" s="385"/>
      <c r="J344" s="1187"/>
      <c r="K344" s="1187"/>
    </row>
    <row r="345" spans="1:13" ht="18" hidden="1" customHeight="1" outlineLevel="1" x14ac:dyDescent="0.25">
      <c r="A345" s="1187"/>
      <c r="B345" s="175" t="s">
        <v>894</v>
      </c>
      <c r="C345" s="2085" t="s">
        <v>2820</v>
      </c>
      <c r="D345" s="2086" t="s">
        <v>895</v>
      </c>
      <c r="E345" s="305">
        <f>((S_VFA)/((K_VFA)+(S_VFA)))</f>
        <v>1.9607843137254902E-2</v>
      </c>
      <c r="F345" s="305" t="s">
        <v>282</v>
      </c>
      <c r="G345" s="305">
        <v>2</v>
      </c>
      <c r="H345" s="235"/>
      <c r="I345" s="385"/>
      <c r="J345" s="1187"/>
      <c r="K345" s="1187"/>
    </row>
    <row r="346" spans="1:13" ht="18" hidden="1" customHeight="1" outlineLevel="1" x14ac:dyDescent="0.25">
      <c r="A346" s="1187"/>
      <c r="B346" s="175" t="s">
        <v>2216</v>
      </c>
      <c r="C346" s="2085" t="s">
        <v>2214</v>
      </c>
      <c r="D346" s="1927" t="s">
        <v>4654</v>
      </c>
      <c r="E346" s="1934">
        <f>((S_VFA)/((S_VFA)+(K_VFA_FERM)*EXP(((K_VFA_FERM)-(S_VFA))*(L_ogslopeVFA_FERM))))</f>
        <v>4.4767737282903354E-217</v>
      </c>
      <c r="F346" s="305" t="s">
        <v>282</v>
      </c>
      <c r="G346" s="305">
        <v>2</v>
      </c>
      <c r="H346" s="235"/>
      <c r="I346" s="385"/>
      <c r="J346" s="1187"/>
      <c r="K346" s="1187"/>
    </row>
    <row r="347" spans="1:13" ht="18" hidden="1" customHeight="1" outlineLevel="1" x14ac:dyDescent="0.25">
      <c r="A347" s="1187"/>
      <c r="B347" s="175" t="s">
        <v>2217</v>
      </c>
      <c r="C347" s="2085" t="s">
        <v>2215</v>
      </c>
      <c r="D347" s="1927" t="s">
        <v>4655</v>
      </c>
      <c r="E347" s="1934">
        <f>(1-(S_VFA)/((S_VFA)+(K_VFA_FERM)*EXP(((K_VFA_FERM)-(S_VFA))*(L_ogslopeVFA_FERM))))</f>
        <v>1</v>
      </c>
      <c r="F347" s="305" t="s">
        <v>282</v>
      </c>
      <c r="G347" s="305">
        <v>2</v>
      </c>
      <c r="H347" s="235"/>
      <c r="I347" s="385"/>
      <c r="J347" s="1187"/>
      <c r="K347" s="1187"/>
    </row>
    <row r="348" spans="1:13" ht="18" hidden="1" customHeight="1" outlineLevel="1" x14ac:dyDescent="0.25">
      <c r="A348" s="1187"/>
      <c r="B348" s="296" t="s">
        <v>3601</v>
      </c>
      <c r="C348" s="2113" t="s">
        <v>2821</v>
      </c>
      <c r="D348" s="2114" t="s">
        <v>3602</v>
      </c>
      <c r="E348" s="306">
        <f>((K_iO2_MEOLO)/((K_iO2_MEOLO)+(S_O2)))</f>
        <v>2.4390243902439029E-2</v>
      </c>
      <c r="F348" s="306" t="s">
        <v>282</v>
      </c>
      <c r="G348" s="306">
        <v>2</v>
      </c>
      <c r="H348" s="307"/>
      <c r="I348" s="386"/>
      <c r="J348" s="1187"/>
      <c r="K348" s="1187"/>
    </row>
    <row r="349" spans="1:13" customFormat="1" ht="18" hidden="1" customHeight="1" outlineLevel="1" x14ac:dyDescent="0.25">
      <c r="A349" s="1187"/>
      <c r="B349" s="296" t="s">
        <v>2391</v>
      </c>
      <c r="C349" s="2113" t="s">
        <v>2826</v>
      </c>
      <c r="D349" s="2114" t="s">
        <v>2392</v>
      </c>
      <c r="E349" s="692">
        <f>((K_NO2_MEOLO)/((K_NO2_MEOLO)+(S_NO2)))</f>
        <v>0.16666666666666666</v>
      </c>
      <c r="F349" s="306" t="s">
        <v>282</v>
      </c>
      <c r="G349" s="306">
        <v>2</v>
      </c>
      <c r="H349" s="307"/>
      <c r="I349" s="386"/>
      <c r="J349" s="1281"/>
      <c r="K349" s="1281"/>
    </row>
    <row r="350" spans="1:13" customFormat="1" ht="18" hidden="1" customHeight="1" outlineLevel="1" x14ac:dyDescent="0.25">
      <c r="A350" s="1187"/>
      <c r="B350" s="296" t="s">
        <v>2393</v>
      </c>
      <c r="C350" s="2113" t="s">
        <v>2827</v>
      </c>
      <c r="D350" s="2114" t="s">
        <v>2394</v>
      </c>
      <c r="E350" s="692">
        <f>((K_NO3_MEOLO)/((K_NO3_MEOLO)+(S_NO3)))</f>
        <v>9.9009900990099011E-3</v>
      </c>
      <c r="F350" s="306" t="s">
        <v>282</v>
      </c>
      <c r="G350" s="306">
        <v>2</v>
      </c>
      <c r="H350" s="307"/>
      <c r="I350" s="386"/>
      <c r="J350" s="1281"/>
      <c r="K350" s="1281"/>
    </row>
    <row r="351" spans="1:13" customFormat="1" ht="18" hidden="1" customHeight="1" outlineLevel="1" x14ac:dyDescent="0.25">
      <c r="A351" s="1187"/>
      <c r="B351" s="296" t="s">
        <v>1801</v>
      </c>
      <c r="C351" s="2113" t="s">
        <v>2822</v>
      </c>
      <c r="D351" s="2114" t="s">
        <v>1802</v>
      </c>
      <c r="E351" s="692">
        <f>((S_MEOL)/((K_MEOL)+(S_MEOL)))</f>
        <v>2E-50</v>
      </c>
      <c r="F351" s="306" t="s">
        <v>282</v>
      </c>
      <c r="G351" s="306">
        <v>2</v>
      </c>
      <c r="H351" s="307"/>
      <c r="I351" s="386"/>
      <c r="J351" s="1281"/>
      <c r="K351" s="1281"/>
    </row>
    <row r="352" spans="1:13" customFormat="1" ht="18" hidden="1" customHeight="1" outlineLevel="1" x14ac:dyDescent="0.25">
      <c r="A352" s="1187"/>
      <c r="B352" s="1506" t="s">
        <v>2395</v>
      </c>
      <c r="C352" s="2113" t="s">
        <v>2828</v>
      </c>
      <c r="D352" s="2115" t="s">
        <v>2396</v>
      </c>
      <c r="E352" s="693">
        <f>((S_NO2)/((K_NO2_MEOLO)+(S_NO2)))</f>
        <v>0.83333333333333326</v>
      </c>
      <c r="F352" s="307" t="s">
        <v>282</v>
      </c>
      <c r="G352" s="307">
        <v>2</v>
      </c>
      <c r="H352" s="1998"/>
      <c r="I352" s="2045"/>
      <c r="J352" s="1281"/>
      <c r="K352" s="1281"/>
    </row>
    <row r="353" spans="1:13" customFormat="1" ht="18" hidden="1" customHeight="1" outlineLevel="1" x14ac:dyDescent="0.25">
      <c r="A353" s="1187"/>
      <c r="B353" s="1506" t="s">
        <v>2397</v>
      </c>
      <c r="C353" s="2113" t="s">
        <v>2829</v>
      </c>
      <c r="D353" s="2115" t="s">
        <v>2398</v>
      </c>
      <c r="E353" s="693">
        <f>((S_NO3)/((K_NO3_MEOLO)+(S_NO3)))</f>
        <v>0.99009900990099009</v>
      </c>
      <c r="F353" s="307" t="s">
        <v>282</v>
      </c>
      <c r="G353" s="307">
        <v>2</v>
      </c>
      <c r="H353" s="1998"/>
      <c r="I353" s="2045"/>
      <c r="J353" s="1281"/>
      <c r="K353" s="1281"/>
    </row>
    <row r="354" spans="1:13" ht="18" hidden="1" customHeight="1" outlineLevel="1" x14ac:dyDescent="0.25">
      <c r="A354" s="1187"/>
      <c r="B354" s="296" t="s">
        <v>3603</v>
      </c>
      <c r="C354" s="2113" t="s">
        <v>2823</v>
      </c>
      <c r="D354" s="2114" t="s">
        <v>3604</v>
      </c>
      <c r="E354" s="306">
        <f>((S_O2)/((K_iO2_MEOLO)+(S_O2)))</f>
        <v>0.97560975609756106</v>
      </c>
      <c r="F354" s="306" t="s">
        <v>282</v>
      </c>
      <c r="G354" s="306">
        <v>2</v>
      </c>
      <c r="H354" s="307"/>
      <c r="I354" s="386"/>
      <c r="J354" s="1187"/>
      <c r="K354" s="1187"/>
    </row>
    <row r="355" spans="1:13" customFormat="1" ht="18" hidden="1" customHeight="1" outlineLevel="1" x14ac:dyDescent="0.25">
      <c r="A355" s="1187"/>
      <c r="B355" s="1507" t="s">
        <v>3997</v>
      </c>
      <c r="C355" s="2116" t="s">
        <v>2830</v>
      </c>
      <c r="D355" s="2077" t="s">
        <v>3998</v>
      </c>
      <c r="E355" s="694">
        <f>((K_NOx_AOB)/((K_NOx_AOB)+(S_NOx)))</f>
        <v>5.8479532163742687E-3</v>
      </c>
      <c r="F355" s="433" t="s">
        <v>282</v>
      </c>
      <c r="G355" s="433">
        <v>2</v>
      </c>
      <c r="H355" s="364"/>
      <c r="I355" s="2020"/>
      <c r="J355" s="1281"/>
      <c r="K355" s="1281"/>
    </row>
    <row r="356" spans="1:13" s="493" customFormat="1" ht="18" hidden="1" customHeight="1" outlineLevel="1" x14ac:dyDescent="0.25">
      <c r="A356" s="1187"/>
      <c r="B356" s="1507" t="s">
        <v>2399</v>
      </c>
      <c r="C356" s="2116" t="s">
        <v>2831</v>
      </c>
      <c r="D356" s="2077" t="s">
        <v>2400</v>
      </c>
      <c r="E356" s="694">
        <f>((K_O2_AOB)/((K_O2_AOB)+(S_O2)))</f>
        <v>0.1111111111111111</v>
      </c>
      <c r="F356" s="683" t="s">
        <v>282</v>
      </c>
      <c r="G356" s="683">
        <v>2</v>
      </c>
      <c r="H356" s="364"/>
      <c r="I356" s="2020"/>
      <c r="J356" s="1298"/>
      <c r="K356" s="1298"/>
    </row>
    <row r="357" spans="1:13" s="493" customFormat="1" ht="18" hidden="1" customHeight="1" outlineLevel="1" x14ac:dyDescent="0.25">
      <c r="A357" s="1187"/>
      <c r="B357" s="1507" t="s">
        <v>2401</v>
      </c>
      <c r="C357" s="2116" t="s">
        <v>2832</v>
      </c>
      <c r="D357" s="2077" t="s">
        <v>2402</v>
      </c>
      <c r="E357" s="694">
        <f>((S_NHx)/((K_NHx_AOB)+(S_NHx)))</f>
        <v>0.58823529411764708</v>
      </c>
      <c r="F357" s="433" t="s">
        <v>282</v>
      </c>
      <c r="G357" s="433">
        <v>2</v>
      </c>
      <c r="H357" s="364"/>
      <c r="I357" s="2020"/>
      <c r="J357" s="1298"/>
      <c r="K357" s="1298"/>
      <c r="L357" s="117"/>
      <c r="M357" s="117"/>
    </row>
    <row r="358" spans="1:13" s="493" customFormat="1" ht="18" hidden="1" customHeight="1" outlineLevel="1" x14ac:dyDescent="0.25">
      <c r="A358" s="1187"/>
      <c r="B358" s="1507" t="s">
        <v>3999</v>
      </c>
      <c r="C358" s="2116" t="s">
        <v>2833</v>
      </c>
      <c r="D358" s="2077" t="s">
        <v>4000</v>
      </c>
      <c r="E358" s="694">
        <f>((S_NOx)/((K_NOx_AOB)+(S_NOx)))</f>
        <v>0.99415204678362568</v>
      </c>
      <c r="F358" s="683" t="s">
        <v>282</v>
      </c>
      <c r="G358" s="683">
        <v>2</v>
      </c>
      <c r="H358" s="364"/>
      <c r="I358" s="2020"/>
      <c r="J358" s="1298"/>
      <c r="K358" s="1298"/>
    </row>
    <row r="359" spans="1:13" customFormat="1" ht="18" hidden="1" customHeight="1" outlineLevel="1" x14ac:dyDescent="0.25">
      <c r="A359" s="1187"/>
      <c r="B359" s="1507" t="s">
        <v>2403</v>
      </c>
      <c r="C359" s="2116" t="s">
        <v>2834</v>
      </c>
      <c r="D359" s="2077" t="s">
        <v>2404</v>
      </c>
      <c r="E359" s="694">
        <f>((S_O2)/((K_O2_AOB)+(S_O2)))</f>
        <v>0.88888888888888884</v>
      </c>
      <c r="F359" s="433" t="s">
        <v>282</v>
      </c>
      <c r="G359" s="433">
        <v>2</v>
      </c>
      <c r="H359" s="364"/>
      <c r="I359" s="2020"/>
      <c r="J359" s="1281"/>
      <c r="K359" s="1281"/>
    </row>
    <row r="360" spans="1:13" customFormat="1" ht="18" hidden="1" customHeight="1" outlineLevel="1" x14ac:dyDescent="0.25">
      <c r="A360" s="1187"/>
      <c r="B360" s="1508" t="s">
        <v>4001</v>
      </c>
      <c r="C360" s="2117" t="s">
        <v>2835</v>
      </c>
      <c r="D360" s="2118" t="s">
        <v>4002</v>
      </c>
      <c r="E360" s="695">
        <f>((K_NOx_NOB)/((K_NOx_NOB)+(S_NOx)))</f>
        <v>5.8479532163742687E-3</v>
      </c>
      <c r="F360" s="696" t="s">
        <v>282</v>
      </c>
      <c r="G360" s="696">
        <v>2</v>
      </c>
      <c r="H360" s="1999"/>
      <c r="I360" s="2046"/>
      <c r="J360" s="1281"/>
      <c r="K360" s="1281"/>
    </row>
    <row r="361" spans="1:13" s="493" customFormat="1" ht="18" hidden="1" customHeight="1" outlineLevel="1" x14ac:dyDescent="0.25">
      <c r="A361" s="1187"/>
      <c r="B361" s="1508" t="s">
        <v>2405</v>
      </c>
      <c r="C361" s="2117" t="s">
        <v>2836</v>
      </c>
      <c r="D361" s="2118" t="s">
        <v>2406</v>
      </c>
      <c r="E361" s="695">
        <f>((K_O2_NOB)/((K_O2_NOB)+(S_O2)))</f>
        <v>0.1111111111111111</v>
      </c>
      <c r="F361" s="696" t="s">
        <v>282</v>
      </c>
      <c r="G361" s="696">
        <v>2</v>
      </c>
      <c r="H361" s="1999"/>
      <c r="I361" s="2046"/>
      <c r="J361" s="1298"/>
      <c r="K361" s="1298"/>
    </row>
    <row r="362" spans="1:13" customFormat="1" ht="18" hidden="1" customHeight="1" outlineLevel="1" x14ac:dyDescent="0.25">
      <c r="A362" s="1187"/>
      <c r="B362" s="1508" t="s">
        <v>2407</v>
      </c>
      <c r="C362" s="2117" t="s">
        <v>2837</v>
      </c>
      <c r="D362" s="2118" t="s">
        <v>2408</v>
      </c>
      <c r="E362" s="695">
        <f>((S_NO2)/((K_NO2_NOB)+(S_NO2)))</f>
        <v>0.5</v>
      </c>
      <c r="F362" s="696" t="s">
        <v>282</v>
      </c>
      <c r="G362" s="696">
        <v>2</v>
      </c>
      <c r="H362" s="1999"/>
      <c r="I362" s="2046"/>
      <c r="J362" s="1281"/>
      <c r="K362" s="1281"/>
    </row>
    <row r="363" spans="1:13" customFormat="1" ht="18" hidden="1" customHeight="1" outlineLevel="1" x14ac:dyDescent="0.25">
      <c r="A363" s="1187"/>
      <c r="B363" s="1508" t="s">
        <v>4003</v>
      </c>
      <c r="C363" s="2117" t="s">
        <v>2838</v>
      </c>
      <c r="D363" s="2118" t="s">
        <v>4004</v>
      </c>
      <c r="E363" s="695">
        <f>((S_NOx)/((K_NOx_NOB)+(S_NOx)))</f>
        <v>0.99415204678362568</v>
      </c>
      <c r="F363" s="697" t="s">
        <v>282</v>
      </c>
      <c r="G363" s="697">
        <v>2</v>
      </c>
      <c r="H363" s="1999"/>
      <c r="I363" s="2046"/>
      <c r="J363" s="1281"/>
      <c r="K363" s="1281"/>
    </row>
    <row r="364" spans="1:13" s="493" customFormat="1" ht="18" hidden="1" customHeight="1" outlineLevel="1" x14ac:dyDescent="0.25">
      <c r="A364" s="1187"/>
      <c r="B364" s="1508" t="s">
        <v>2409</v>
      </c>
      <c r="C364" s="2117" t="s">
        <v>2839</v>
      </c>
      <c r="D364" s="2118" t="s">
        <v>2410</v>
      </c>
      <c r="E364" s="695">
        <f>((S_O2)/((K_O2_NOB)+(S_O2)))</f>
        <v>0.88888888888888884</v>
      </c>
      <c r="F364" s="697" t="s">
        <v>282</v>
      </c>
      <c r="G364" s="697">
        <v>2</v>
      </c>
      <c r="H364" s="1999"/>
      <c r="I364" s="2046"/>
      <c r="J364" s="1298"/>
      <c r="K364" s="1298"/>
    </row>
    <row r="365" spans="1:13" customFormat="1" ht="18" hidden="1" customHeight="1" outlineLevel="1" x14ac:dyDescent="0.25">
      <c r="A365" s="1187"/>
      <c r="B365" s="1509" t="s">
        <v>4005</v>
      </c>
      <c r="C365" s="2119" t="s">
        <v>2840</v>
      </c>
      <c r="D365" s="2120" t="s">
        <v>4006</v>
      </c>
      <c r="E365" s="698">
        <f>((K_NOx_AMX)/((K_NOx_AMX)+(S_NOx)))</f>
        <v>1.9230769230769235E-2</v>
      </c>
      <c r="F365" s="264" t="s">
        <v>282</v>
      </c>
      <c r="G365" s="264">
        <v>2</v>
      </c>
      <c r="H365" s="2000"/>
      <c r="I365" s="2047"/>
      <c r="J365" s="1281"/>
      <c r="K365" s="1281"/>
    </row>
    <row r="366" spans="1:13" s="493" customFormat="1" ht="18" hidden="1" customHeight="1" outlineLevel="1" x14ac:dyDescent="0.25">
      <c r="A366" s="1187"/>
      <c r="B366" s="1509" t="s">
        <v>3624</v>
      </c>
      <c r="C366" s="2119" t="s">
        <v>2841</v>
      </c>
      <c r="D366" s="2120" t="s">
        <v>3625</v>
      </c>
      <c r="E366" s="698">
        <f>((K_iO2_AMX)/((K_iO2_AMX)+(S_O2)))</f>
        <v>0.16666666666666669</v>
      </c>
      <c r="F366" s="264" t="s">
        <v>282</v>
      </c>
      <c r="G366" s="264">
        <v>2</v>
      </c>
      <c r="H366" s="2000"/>
      <c r="I366" s="2047"/>
      <c r="J366" s="1298"/>
      <c r="K366" s="1298"/>
    </row>
    <row r="367" spans="1:13" s="493" customFormat="1" ht="18" hidden="1" customHeight="1" outlineLevel="1" x14ac:dyDescent="0.25">
      <c r="A367" s="1187"/>
      <c r="B367" s="1509" t="s">
        <v>2411</v>
      </c>
      <c r="C367" s="2119" t="s">
        <v>2842</v>
      </c>
      <c r="D367" s="2120" t="s">
        <v>2412</v>
      </c>
      <c r="E367" s="698">
        <f>((S_NHx)/((K_NHx_AMX)+(S_NHx)))</f>
        <v>0.33333333333333331</v>
      </c>
      <c r="F367" s="264" t="s">
        <v>282</v>
      </c>
      <c r="G367" s="264">
        <v>2</v>
      </c>
      <c r="H367" s="2000"/>
      <c r="I367" s="2047"/>
      <c r="J367" s="1298"/>
      <c r="K367" s="1298"/>
    </row>
    <row r="368" spans="1:13" customFormat="1" ht="18" hidden="1" customHeight="1" outlineLevel="1" x14ac:dyDescent="0.25">
      <c r="A368" s="1187"/>
      <c r="B368" s="1509" t="s">
        <v>2413</v>
      </c>
      <c r="C368" s="2119" t="s">
        <v>2843</v>
      </c>
      <c r="D368" s="2120" t="s">
        <v>2414</v>
      </c>
      <c r="E368" s="698">
        <f>((S_NO2)/((K_NO2_AMX)+(S_NO2)))</f>
        <v>9.0909090909090912E-2</v>
      </c>
      <c r="F368" s="465" t="s">
        <v>282</v>
      </c>
      <c r="G368" s="465">
        <v>2</v>
      </c>
      <c r="H368" s="2000"/>
      <c r="I368" s="2047"/>
      <c r="J368" s="1281"/>
      <c r="K368" s="1281"/>
    </row>
    <row r="369" spans="1:13" s="493" customFormat="1" ht="18" hidden="1" customHeight="1" outlineLevel="1" x14ac:dyDescent="0.25">
      <c r="A369" s="1187"/>
      <c r="B369" s="1509" t="s">
        <v>4007</v>
      </c>
      <c r="C369" s="2119" t="s">
        <v>2844</v>
      </c>
      <c r="D369" s="2120" t="s">
        <v>4008</v>
      </c>
      <c r="E369" s="698">
        <f>((S_NOx)/((K_NOx_AMX)+(S_NOx)))</f>
        <v>0.98076923076923084</v>
      </c>
      <c r="F369" s="465" t="s">
        <v>282</v>
      </c>
      <c r="G369" s="465">
        <v>2</v>
      </c>
      <c r="H369" s="2000"/>
      <c r="I369" s="2047"/>
      <c r="J369" s="1298"/>
      <c r="K369" s="1298"/>
      <c r="L369" s="117"/>
      <c r="M369" s="117"/>
    </row>
    <row r="370" spans="1:13" customFormat="1" ht="18" hidden="1" customHeight="1" outlineLevel="1" x14ac:dyDescent="0.25">
      <c r="A370" s="1187"/>
      <c r="B370" s="1509" t="s">
        <v>3626</v>
      </c>
      <c r="C370" s="2119" t="s">
        <v>2845</v>
      </c>
      <c r="D370" s="2120" t="s">
        <v>3627</v>
      </c>
      <c r="E370" s="698">
        <f>((S_O2)/((K_iO2_AMX)+(S_O2)))</f>
        <v>0.83333333333333337</v>
      </c>
      <c r="F370" s="264" t="s">
        <v>282</v>
      </c>
      <c r="G370" s="264">
        <v>2</v>
      </c>
      <c r="H370" s="2000"/>
      <c r="I370" s="2047"/>
      <c r="J370" s="1281"/>
      <c r="K370" s="1281"/>
    </row>
    <row r="371" spans="1:13" ht="18" hidden="1" customHeight="1" outlineLevel="1" x14ac:dyDescent="0.25">
      <c r="A371" s="1187"/>
      <c r="B371" s="151" t="s">
        <v>4369</v>
      </c>
      <c r="C371" s="2096" t="s">
        <v>4370</v>
      </c>
      <c r="D371" s="2095" t="s">
        <v>4371</v>
      </c>
      <c r="E371" s="454">
        <f>((K_NO2_CASTO)/((K_NO2_CASTO)+(S_NO2)))</f>
        <v>0.33333333333333331</v>
      </c>
      <c r="F371" s="376" t="s">
        <v>282</v>
      </c>
      <c r="G371" s="376">
        <v>2</v>
      </c>
      <c r="H371" s="229"/>
      <c r="I371" s="387"/>
      <c r="J371" s="1187"/>
      <c r="K371" s="1187"/>
    </row>
    <row r="372" spans="1:13" ht="18" hidden="1" customHeight="1" outlineLevel="1" x14ac:dyDescent="0.25">
      <c r="A372" s="1187"/>
      <c r="B372" s="151" t="s">
        <v>4372</v>
      </c>
      <c r="C372" s="2096" t="s">
        <v>4373</v>
      </c>
      <c r="D372" s="2095" t="s">
        <v>4374</v>
      </c>
      <c r="E372" s="454">
        <f>((K_NO3_CASTO)/((K_NO3_CASTO)+(S_NO3)))</f>
        <v>1.9607843137254905E-2</v>
      </c>
      <c r="F372" s="376" t="s">
        <v>282</v>
      </c>
      <c r="G372" s="376">
        <v>2</v>
      </c>
      <c r="H372" s="229"/>
      <c r="I372" s="387"/>
      <c r="J372" s="1187"/>
      <c r="K372" s="1187"/>
    </row>
    <row r="373" spans="1:13" ht="18" hidden="1" customHeight="1" outlineLevel="1" x14ac:dyDescent="0.25">
      <c r="A373" s="1187"/>
      <c r="B373" s="151" t="s">
        <v>4375</v>
      </c>
      <c r="C373" s="2096" t="s">
        <v>4376</v>
      </c>
      <c r="D373" s="2095" t="s">
        <v>4377</v>
      </c>
      <c r="E373" s="376">
        <f>((K_O2_CASTO)/((K_O2_CASTO)+(S_O2)))</f>
        <v>2.4390243902439029E-2</v>
      </c>
      <c r="F373" s="376" t="s">
        <v>282</v>
      </c>
      <c r="G373" s="376">
        <v>2</v>
      </c>
      <c r="H373" s="229"/>
      <c r="I373" s="387"/>
      <c r="J373" s="1187"/>
      <c r="K373" s="1187"/>
    </row>
    <row r="374" spans="1:13" ht="18" hidden="1" customHeight="1" outlineLevel="1" x14ac:dyDescent="0.25">
      <c r="A374" s="1187"/>
      <c r="B374" s="530" t="s">
        <v>2846</v>
      </c>
      <c r="C374" s="2096" t="s">
        <v>2847</v>
      </c>
      <c r="D374" s="2096" t="s">
        <v>2848</v>
      </c>
      <c r="E374" s="376">
        <f>((K_iPO4_lim)/((K_iPO4_lim)+(S_PO4)))</f>
        <v>9.9009900990099011E-3</v>
      </c>
      <c r="F374" s="376" t="s">
        <v>282</v>
      </c>
      <c r="G374" s="376">
        <v>2</v>
      </c>
      <c r="H374" s="229"/>
      <c r="I374" s="387"/>
      <c r="J374" s="1187"/>
      <c r="K374" s="1187"/>
    </row>
    <row r="375" spans="1:13" ht="18" hidden="1" customHeight="1" outlineLevel="1" x14ac:dyDescent="0.25">
      <c r="A375" s="1187"/>
      <c r="B375" s="151" t="s">
        <v>4378</v>
      </c>
      <c r="C375" s="2094" t="s">
        <v>4379</v>
      </c>
      <c r="D375" s="2094" t="s">
        <v>4380</v>
      </c>
      <c r="E375" s="376">
        <f>(((X_STC)/(X_CASTO))/((X_STC)/(X_CASTO)+(K_STC)))</f>
        <v>0.31506849315068486</v>
      </c>
      <c r="F375" s="376" t="s">
        <v>282</v>
      </c>
      <c r="G375" s="376">
        <v>2</v>
      </c>
      <c r="H375" s="229"/>
      <c r="I375" s="387"/>
      <c r="J375" s="1187"/>
      <c r="K375" s="1187"/>
    </row>
    <row r="376" spans="1:13" ht="18" hidden="1" customHeight="1" outlineLevel="1" x14ac:dyDescent="0.25">
      <c r="A376" s="1187"/>
      <c r="B376" s="1382" t="s">
        <v>1827</v>
      </c>
      <c r="C376" s="2094" t="s">
        <v>4381</v>
      </c>
      <c r="D376" s="2094" t="s">
        <v>1828</v>
      </c>
      <c r="E376" s="1475">
        <f>(((X_PHA)/(X_PAO))/((X_PHA)/(X_PAO)+(K_PHA)))</f>
        <v>0.8214285714285714</v>
      </c>
      <c r="F376" s="1475" t="s">
        <v>282</v>
      </c>
      <c r="G376" s="1475">
        <v>2</v>
      </c>
      <c r="H376" s="1476"/>
      <c r="I376" s="1477"/>
      <c r="J376" s="1187"/>
      <c r="K376" s="1187"/>
    </row>
    <row r="377" spans="1:13" ht="18" hidden="1" customHeight="1" outlineLevel="1" x14ac:dyDescent="0.25">
      <c r="A377" s="1187"/>
      <c r="B377" s="1382" t="s">
        <v>4382</v>
      </c>
      <c r="C377" s="2094" t="s">
        <v>4383</v>
      </c>
      <c r="D377" s="2094" t="s">
        <v>4384</v>
      </c>
      <c r="E377" s="1475">
        <f>(((K_PHA_cle))/((X_PHA)/(X_PAO)+(K_PHA_cle)))</f>
        <v>0.68493150684931503</v>
      </c>
      <c r="F377" s="1475" t="s">
        <v>282</v>
      </c>
      <c r="G377" s="1475">
        <v>2</v>
      </c>
      <c r="H377" s="1476"/>
      <c r="I377" s="1477"/>
      <c r="J377" s="1187"/>
      <c r="K377" s="1187"/>
    </row>
    <row r="378" spans="1:13" ht="18" hidden="1" customHeight="1" outlineLevel="1" x14ac:dyDescent="0.25">
      <c r="A378" s="1187"/>
      <c r="B378" s="1382" t="s">
        <v>4385</v>
      </c>
      <c r="C378" s="2094" t="s">
        <v>4386</v>
      </c>
      <c r="D378" s="2094" t="s">
        <v>4387</v>
      </c>
      <c r="E378" s="1475">
        <f>(((K_STC))/((X_STC)/(X_CASTO)+(K_STC)))</f>
        <v>0.68493150684931503</v>
      </c>
      <c r="F378" s="1475" t="s">
        <v>282</v>
      </c>
      <c r="G378" s="1475">
        <v>2</v>
      </c>
      <c r="H378" s="1476"/>
      <c r="I378" s="1477"/>
      <c r="J378" s="1187"/>
      <c r="K378" s="1187"/>
    </row>
    <row r="379" spans="1:13" ht="18" hidden="1" customHeight="1" outlineLevel="1" x14ac:dyDescent="0.25">
      <c r="A379" s="1187"/>
      <c r="B379" s="151" t="s">
        <v>2240</v>
      </c>
      <c r="C379" s="2094" t="s">
        <v>4388</v>
      </c>
      <c r="D379" s="2095" t="s">
        <v>2241</v>
      </c>
      <c r="E379" s="376">
        <f>(((K_PP))/((X_PP)/(X_PAO)+(K_PP)))</f>
        <v>6.7567567567567571E-2</v>
      </c>
      <c r="F379" s="376" t="s">
        <v>282</v>
      </c>
      <c r="G379" s="376">
        <v>2</v>
      </c>
      <c r="H379" s="229"/>
      <c r="I379" s="387"/>
      <c r="J379" s="1187"/>
      <c r="K379" s="1187"/>
    </row>
    <row r="380" spans="1:13" ht="18" hidden="1" customHeight="1" outlineLevel="1" x14ac:dyDescent="0.25">
      <c r="A380" s="1187"/>
      <c r="B380" s="151" t="s">
        <v>2157</v>
      </c>
      <c r="C380" s="2094" t="s">
        <v>4389</v>
      </c>
      <c r="D380" s="2095" t="s">
        <v>2144</v>
      </c>
      <c r="E380" s="376">
        <f>(((X_PP)/(X_PAO))/((X_PP)/(X_PAO)+(K_PP)))</f>
        <v>0.93243243243243235</v>
      </c>
      <c r="F380" s="376" t="s">
        <v>282</v>
      </c>
      <c r="G380" s="376">
        <v>2</v>
      </c>
      <c r="H380" s="229"/>
      <c r="I380" s="387"/>
      <c r="J380" s="1187"/>
      <c r="K380" s="1187"/>
    </row>
    <row r="381" spans="1:13" ht="18" hidden="1" customHeight="1" outlineLevel="1" x14ac:dyDescent="0.25">
      <c r="A381" s="1187"/>
      <c r="B381" s="151" t="s">
        <v>1815</v>
      </c>
      <c r="C381" s="2096" t="s">
        <v>2849</v>
      </c>
      <c r="D381" s="2095" t="s">
        <v>1816</v>
      </c>
      <c r="E381" s="376">
        <f>((S_Ca)/((K_Ca_PAO)+(S_Ca)))</f>
        <v>0.9999933333777774</v>
      </c>
      <c r="F381" s="376" t="s">
        <v>282</v>
      </c>
      <c r="G381" s="376">
        <v>2</v>
      </c>
      <c r="H381" s="229"/>
      <c r="I381" s="387"/>
      <c r="J381" s="1187"/>
      <c r="K381" s="1187"/>
    </row>
    <row r="382" spans="1:13" ht="18" hidden="1" customHeight="1" outlineLevel="1" x14ac:dyDescent="0.25">
      <c r="A382" s="1187"/>
      <c r="B382" s="151" t="s">
        <v>1819</v>
      </c>
      <c r="C382" s="2096" t="s">
        <v>2850</v>
      </c>
      <c r="D382" s="2095" t="s">
        <v>1820</v>
      </c>
      <c r="E382" s="376">
        <f>((S_K)/((K_K_PAO)+(S_K)))</f>
        <v>0.9999333377774815</v>
      </c>
      <c r="F382" s="376" t="s">
        <v>282</v>
      </c>
      <c r="G382" s="376">
        <v>2</v>
      </c>
      <c r="H382" s="229"/>
      <c r="I382" s="387"/>
      <c r="J382" s="1187"/>
      <c r="K382" s="1187"/>
    </row>
    <row r="383" spans="1:13" ht="18" hidden="1" customHeight="1" outlineLevel="1" x14ac:dyDescent="0.25">
      <c r="A383" s="1187"/>
      <c r="B383" s="151" t="s">
        <v>1817</v>
      </c>
      <c r="C383" s="2096" t="s">
        <v>2851</v>
      </c>
      <c r="D383" s="2095" t="s">
        <v>1818</v>
      </c>
      <c r="E383" s="376">
        <f>((S_Mg)/((K_Mg_PAO)+(S_Mg)))</f>
        <v>0.9999333377774815</v>
      </c>
      <c r="F383" s="376" t="s">
        <v>282</v>
      </c>
      <c r="G383" s="376">
        <v>2</v>
      </c>
      <c r="H383" s="229"/>
      <c r="I383" s="387"/>
      <c r="J383" s="1187"/>
      <c r="K383" s="1187"/>
    </row>
    <row r="384" spans="1:13" customFormat="1" ht="18" hidden="1" customHeight="1" outlineLevel="1" x14ac:dyDescent="0.25">
      <c r="A384" s="1187"/>
      <c r="B384" s="1510" t="s">
        <v>4390</v>
      </c>
      <c r="C384" s="2096" t="s">
        <v>4391</v>
      </c>
      <c r="D384" s="2121" t="s">
        <v>4392</v>
      </c>
      <c r="E384" s="699">
        <f>((S_NO2)/((K_NO2_CASTO)+(S_NO2)))</f>
        <v>0.66666666666666663</v>
      </c>
      <c r="F384" s="221" t="s">
        <v>282</v>
      </c>
      <c r="G384" s="221">
        <v>2</v>
      </c>
      <c r="H384" s="2001"/>
      <c r="I384" s="2048"/>
      <c r="J384" s="1281"/>
      <c r="K384" s="1281"/>
    </row>
    <row r="385" spans="1:11" s="493" customFormat="1" ht="18" hidden="1" customHeight="1" outlineLevel="1" x14ac:dyDescent="0.25">
      <c r="A385" s="1187"/>
      <c r="B385" s="1510" t="s">
        <v>4393</v>
      </c>
      <c r="C385" s="2096" t="s">
        <v>4394</v>
      </c>
      <c r="D385" s="2121" t="s">
        <v>4395</v>
      </c>
      <c r="E385" s="699">
        <f>((S_NO3)/((K_NO3_CASTO)+(S_NO3)))</f>
        <v>0.98039215686274517</v>
      </c>
      <c r="F385" s="221" t="s">
        <v>282</v>
      </c>
      <c r="G385" s="221">
        <v>2</v>
      </c>
      <c r="H385" s="2001"/>
      <c r="I385" s="2048"/>
      <c r="J385" s="1298"/>
      <c r="K385" s="1298"/>
    </row>
    <row r="386" spans="1:11" ht="18" hidden="1" customHeight="1" outlineLevel="1" x14ac:dyDescent="0.25">
      <c r="A386" s="1187"/>
      <c r="B386" s="151" t="s">
        <v>4396</v>
      </c>
      <c r="C386" s="2096" t="s">
        <v>4397</v>
      </c>
      <c r="D386" s="2095" t="s">
        <v>4398</v>
      </c>
      <c r="E386" s="376">
        <f>((S_O2)/((K_O2_CASTO)+(S_O2)))</f>
        <v>0.97560975609756106</v>
      </c>
      <c r="F386" s="376" t="s">
        <v>282</v>
      </c>
      <c r="G386" s="376">
        <v>2</v>
      </c>
      <c r="H386" s="229"/>
      <c r="I386" s="387"/>
      <c r="J386" s="1187"/>
      <c r="K386" s="1187"/>
    </row>
    <row r="387" spans="1:11" ht="18" hidden="1" customHeight="1" outlineLevel="1" x14ac:dyDescent="0.25">
      <c r="A387" s="1187"/>
      <c r="B387" s="1382" t="s">
        <v>4215</v>
      </c>
      <c r="C387" s="2122" t="s">
        <v>4399</v>
      </c>
      <c r="D387" s="2123" t="s">
        <v>4656</v>
      </c>
      <c r="E387" s="1383">
        <f>((S_PO4)/((S_PO4)+(K_PO4_PAO)*EXP(((K_PO4_PAO)-(S_PO4))*(L_ogslopePO4_PAO_sat))))</f>
        <v>0.99228953824191124</v>
      </c>
      <c r="F387" s="1383" t="s">
        <v>282</v>
      </c>
      <c r="G387" s="1383">
        <v>2</v>
      </c>
      <c r="H387" s="1101"/>
      <c r="I387" s="1384"/>
      <c r="J387" s="1187"/>
      <c r="K387" s="1187"/>
    </row>
    <row r="388" spans="1:11" ht="18" hidden="1" customHeight="1" outlineLevel="1" x14ac:dyDescent="0.25">
      <c r="A388" s="1187"/>
      <c r="B388" s="151" t="s">
        <v>1813</v>
      </c>
      <c r="C388" s="2096" t="s">
        <v>2852</v>
      </c>
      <c r="D388" s="2095" t="s">
        <v>1814</v>
      </c>
      <c r="E388" s="376">
        <f>((S_PO4)/((K_PO4_PAO)+(S_PO4)))</f>
        <v>0.625</v>
      </c>
      <c r="F388" s="376" t="s">
        <v>282</v>
      </c>
      <c r="G388" s="376">
        <v>2</v>
      </c>
      <c r="H388" s="229"/>
      <c r="I388" s="387"/>
      <c r="J388" s="1187"/>
      <c r="K388" s="1187"/>
    </row>
    <row r="389" spans="1:11" ht="18" hidden="1" customHeight="1" outlineLevel="1" x14ac:dyDescent="0.25">
      <c r="A389" s="1187"/>
      <c r="B389" s="151" t="s">
        <v>4400</v>
      </c>
      <c r="C389" s="2096" t="s">
        <v>4401</v>
      </c>
      <c r="D389" s="2095" t="s">
        <v>4402</v>
      </c>
      <c r="E389" s="376">
        <f>((S_VFA)/((K_VFA_CASTO)+(S_VFA)))</f>
        <v>1.9960079840319364E-3</v>
      </c>
      <c r="F389" s="376" t="s">
        <v>282</v>
      </c>
      <c r="G389" s="376">
        <v>2</v>
      </c>
      <c r="H389" s="229"/>
      <c r="I389" s="387"/>
      <c r="J389" s="1187"/>
      <c r="K389" s="1187"/>
    </row>
    <row r="390" spans="1:11" ht="18" hidden="1" customHeight="1" outlineLevel="1" x14ac:dyDescent="0.25">
      <c r="A390" s="1187"/>
      <c r="B390" s="151" t="s">
        <v>4547</v>
      </c>
      <c r="C390" s="2096" t="s">
        <v>4548</v>
      </c>
      <c r="D390" s="2123" t="s">
        <v>4657</v>
      </c>
      <c r="E390" s="376">
        <f>((X_PP)/((X_PP)+(K_PO4_PAO)*EXP(((K_PO4_PAO)-(X_PP))*(L_ogslopePP_PAO_sat))))</f>
        <v>1</v>
      </c>
      <c r="F390" s="376" t="s">
        <v>282</v>
      </c>
      <c r="G390" s="376">
        <v>2</v>
      </c>
      <c r="H390" s="229"/>
      <c r="I390" s="387"/>
      <c r="J390" s="1187"/>
      <c r="K390" s="1187"/>
    </row>
    <row r="391" spans="1:11" ht="18" hidden="1" customHeight="1" outlineLevel="1" x14ac:dyDescent="0.25">
      <c r="A391" s="1187"/>
      <c r="B391" s="151" t="s">
        <v>2145</v>
      </c>
      <c r="C391" s="2096" t="s">
        <v>2853</v>
      </c>
      <c r="D391" s="2095" t="s">
        <v>2146</v>
      </c>
      <c r="E391" s="376">
        <f>((X_PP)/((K_PP_lim)+(X_PP)))</f>
        <v>0.99996666777774068</v>
      </c>
      <c r="F391" s="376" t="s">
        <v>282</v>
      </c>
      <c r="G391" s="376">
        <v>2</v>
      </c>
      <c r="H391" s="229"/>
      <c r="I391" s="387"/>
      <c r="J391" s="1187"/>
      <c r="K391" s="1187"/>
    </row>
    <row r="392" spans="1:11" s="137" customFormat="1" ht="18" hidden="1" customHeight="1" outlineLevel="1" x14ac:dyDescent="0.25">
      <c r="A392" s="1187"/>
      <c r="B392" s="151" t="s">
        <v>2176</v>
      </c>
      <c r="C392" s="2094" t="s">
        <v>4403</v>
      </c>
      <c r="D392" s="2123" t="s">
        <v>4658</v>
      </c>
      <c r="E392" s="454">
        <f>(1-(X_PHA/X_PAO)/((X_PHA/X_PAO)+(K_iPHA_PAO_max)*EXP(((K_iPHA_PAO_max)-(X_PHA/X_PAO))*(L_ogslopePHA_PAO_inh))))</f>
        <v>1</v>
      </c>
      <c r="F392" s="376" t="s">
        <v>282</v>
      </c>
      <c r="G392" s="376">
        <v>2</v>
      </c>
      <c r="H392" s="229"/>
      <c r="I392" s="387"/>
      <c r="J392" s="1189"/>
      <c r="K392" s="1189"/>
    </row>
    <row r="393" spans="1:11" s="137" customFormat="1" ht="18" hidden="1" customHeight="1" outlineLevel="1" x14ac:dyDescent="0.25">
      <c r="A393" s="1187"/>
      <c r="B393" s="151" t="s">
        <v>2177</v>
      </c>
      <c r="C393" s="2094" t="s">
        <v>4404</v>
      </c>
      <c r="D393" s="2123" t="s">
        <v>4659</v>
      </c>
      <c r="E393" s="454">
        <f>(1-(X_PP/X_PAO)/((X_PP/X_PAO)+(K_iPP_PAO_max)*EXP(((K_iPP_PAO_max)-(X_PP/X_PAO))*(L_ogslopePP_PAO_inh))))</f>
        <v>0.99999999945571982</v>
      </c>
      <c r="F393" s="376" t="s">
        <v>282</v>
      </c>
      <c r="G393" s="376">
        <v>2</v>
      </c>
      <c r="H393" s="229"/>
      <c r="I393" s="387"/>
      <c r="J393" s="1189"/>
      <c r="K393" s="1189"/>
    </row>
    <row r="394" spans="1:11" s="137" customFormat="1" ht="18" hidden="1" customHeight="1" outlineLevel="1" x14ac:dyDescent="0.25">
      <c r="A394" s="1187"/>
      <c r="B394" s="442" t="s">
        <v>2178</v>
      </c>
      <c r="C394" s="2124" t="s">
        <v>4405</v>
      </c>
      <c r="D394" s="1930" t="s">
        <v>4660</v>
      </c>
      <c r="E394" s="453">
        <f>(1-(X_GLY/X_GAO)/((X_GLY/X_GAO)+(K_iGLY_GAO_max)*EXP(((K_iGLY_GAO_max)-(X_GLY/X_GAO))*(L_ogslopeGLY_GAO_inh))))</f>
        <v>1</v>
      </c>
      <c r="F394" s="444" t="s">
        <v>282</v>
      </c>
      <c r="G394" s="444">
        <v>2</v>
      </c>
      <c r="H394" s="443"/>
      <c r="I394" s="445"/>
      <c r="J394" s="1189"/>
      <c r="K394" s="1189"/>
    </row>
    <row r="395" spans="1:11" ht="18" hidden="1" customHeight="1" outlineLevel="1" x14ac:dyDescent="0.25">
      <c r="A395" s="1187"/>
      <c r="B395" s="442" t="s">
        <v>2171</v>
      </c>
      <c r="C395" s="2124" t="s">
        <v>2855</v>
      </c>
      <c r="D395" s="2125" t="s">
        <v>2172</v>
      </c>
      <c r="E395" s="444">
        <f>(((K_GLY))/((X_GLY)/(X_GAO)+(K_GLY)))</f>
        <v>0.52083333333333337</v>
      </c>
      <c r="F395" s="444" t="s">
        <v>282</v>
      </c>
      <c r="G395" s="444">
        <v>2</v>
      </c>
      <c r="H395" s="443"/>
      <c r="I395" s="445"/>
      <c r="J395" s="1187"/>
      <c r="K395" s="1187"/>
    </row>
    <row r="396" spans="1:11" ht="18" hidden="1" customHeight="1" outlineLevel="1" x14ac:dyDescent="0.25">
      <c r="A396" s="1187"/>
      <c r="B396" s="442" t="s">
        <v>2148</v>
      </c>
      <c r="C396" s="2124" t="s">
        <v>2854</v>
      </c>
      <c r="D396" s="2125" t="s">
        <v>2149</v>
      </c>
      <c r="E396" s="444">
        <f>(((X_GLY)/(X_GAO))/((X_GLY)/(X_GAO)+(K_GLY)))</f>
        <v>0.47916666666666663</v>
      </c>
      <c r="F396" s="444" t="s">
        <v>282</v>
      </c>
      <c r="G396" s="444">
        <v>2</v>
      </c>
      <c r="H396" s="443"/>
      <c r="I396" s="445"/>
      <c r="J396" s="1187"/>
      <c r="K396" s="1187"/>
    </row>
    <row r="397" spans="1:11" ht="18" hidden="1" customHeight="1" outlineLevel="1" x14ac:dyDescent="0.25">
      <c r="A397" s="1187"/>
      <c r="B397" s="181" t="s">
        <v>1832</v>
      </c>
      <c r="C397" s="2103" t="s">
        <v>2856</v>
      </c>
      <c r="D397" s="2104" t="s">
        <v>4009</v>
      </c>
      <c r="E397" s="378">
        <f>((K_NOx_AMETO)/((K_NOx_AMETO)+(S_NOx)))</f>
        <v>9.7087378640776708E-3</v>
      </c>
      <c r="F397" s="378" t="s">
        <v>282</v>
      </c>
      <c r="G397" s="378">
        <v>2</v>
      </c>
      <c r="H397" s="182"/>
      <c r="I397" s="188"/>
      <c r="J397" s="1187"/>
      <c r="K397" s="1187"/>
    </row>
    <row r="398" spans="1:11" ht="18" hidden="1" customHeight="1" outlineLevel="1" x14ac:dyDescent="0.25">
      <c r="A398" s="1187"/>
      <c r="B398" s="181" t="s">
        <v>3605</v>
      </c>
      <c r="C398" s="2103" t="s">
        <v>2857</v>
      </c>
      <c r="D398" s="2104" t="s">
        <v>3606</v>
      </c>
      <c r="E398" s="378">
        <f>((K_iO2_AMETO)/((K_iO2_AMETO)+(S_O2)))</f>
        <v>2.4390243902439029E-2</v>
      </c>
      <c r="F398" s="378" t="s">
        <v>282</v>
      </c>
      <c r="G398" s="378">
        <v>2</v>
      </c>
      <c r="H398" s="182"/>
      <c r="I398" s="188"/>
      <c r="J398" s="1187"/>
      <c r="K398" s="1187"/>
    </row>
    <row r="399" spans="1:11" ht="18" hidden="1" customHeight="1" outlineLevel="1" x14ac:dyDescent="0.25">
      <c r="A399" s="1187"/>
      <c r="B399" s="181" t="s">
        <v>1821</v>
      </c>
      <c r="C399" s="2103" t="s">
        <v>2858</v>
      </c>
      <c r="D399" s="2126" t="s">
        <v>4010</v>
      </c>
      <c r="E399" s="378">
        <f>((S_NOx)/((K_NOx_AMETO)+(S_NOx)))</f>
        <v>0.99029126213592233</v>
      </c>
      <c r="F399" s="378" t="s">
        <v>282</v>
      </c>
      <c r="G399" s="378">
        <v>2</v>
      </c>
      <c r="H399" s="182"/>
      <c r="I399" s="188"/>
      <c r="J399" s="1187"/>
      <c r="K399" s="1187"/>
    </row>
    <row r="400" spans="1:11" ht="18" hidden="1" customHeight="1" outlineLevel="1" x14ac:dyDescent="0.25">
      <c r="A400" s="1187"/>
      <c r="B400" s="181" t="s">
        <v>3607</v>
      </c>
      <c r="C400" s="2103" t="s">
        <v>2859</v>
      </c>
      <c r="D400" s="2104" t="s">
        <v>3608</v>
      </c>
      <c r="E400" s="378">
        <f>((S_O2)/((K_iO2_AMETO)+(S_O2)))</f>
        <v>0.97560975609756106</v>
      </c>
      <c r="F400" s="378" t="s">
        <v>282</v>
      </c>
      <c r="G400" s="378">
        <v>2</v>
      </c>
      <c r="H400" s="182"/>
      <c r="I400" s="188"/>
      <c r="J400" s="1187"/>
      <c r="K400" s="1187"/>
    </row>
    <row r="401" spans="1:11" ht="18" hidden="1" customHeight="1" outlineLevel="1" x14ac:dyDescent="0.25">
      <c r="A401" s="1187"/>
      <c r="B401" s="181" t="s">
        <v>2009</v>
      </c>
      <c r="C401" s="2103" t="s">
        <v>2860</v>
      </c>
      <c r="D401" s="2103" t="s">
        <v>2866</v>
      </c>
      <c r="E401" s="378">
        <f>((S_VFA)/((K_VFA_AMETO)+(S_VFA)+((S_VFA)^2/(K_iVFA_AMETO))))</f>
        <v>2.4999375015562114E-5</v>
      </c>
      <c r="F401" s="378" t="s">
        <v>282</v>
      </c>
      <c r="G401" s="378">
        <v>2</v>
      </c>
      <c r="H401" s="182"/>
      <c r="I401" s="188"/>
      <c r="J401" s="1187"/>
      <c r="K401" s="1187"/>
    </row>
    <row r="402" spans="1:11" ht="18" hidden="1" customHeight="1" outlineLevel="1" x14ac:dyDescent="0.25">
      <c r="A402" s="1187"/>
      <c r="B402" s="218" t="s">
        <v>1833</v>
      </c>
      <c r="C402" s="2127" t="s">
        <v>2861</v>
      </c>
      <c r="D402" s="2128" t="s">
        <v>4011</v>
      </c>
      <c r="E402" s="309">
        <f>((K_NOx_HMETO)/((K_NOx_HMETO)+(S_NOx)))</f>
        <v>9.7087378640776708E-3</v>
      </c>
      <c r="F402" s="309" t="s">
        <v>282</v>
      </c>
      <c r="G402" s="309">
        <v>2</v>
      </c>
      <c r="H402" s="308"/>
      <c r="I402" s="388"/>
      <c r="J402" s="1187"/>
      <c r="K402" s="1187"/>
    </row>
    <row r="403" spans="1:11" ht="18" hidden="1" customHeight="1" outlineLevel="1" x14ac:dyDescent="0.25">
      <c r="A403" s="1187"/>
      <c r="B403" s="218" t="s">
        <v>3609</v>
      </c>
      <c r="C403" s="2127" t="s">
        <v>2862</v>
      </c>
      <c r="D403" s="2128" t="s">
        <v>3610</v>
      </c>
      <c r="E403" s="309">
        <f>((K_iO2_HMETO)/((K_iO2_HMETO)+(S_O2)))</f>
        <v>2.4390243902439029E-2</v>
      </c>
      <c r="F403" s="309" t="s">
        <v>282</v>
      </c>
      <c r="G403" s="309">
        <v>2</v>
      </c>
      <c r="H403" s="308"/>
      <c r="I403" s="388"/>
      <c r="J403" s="1187"/>
      <c r="K403" s="1187"/>
    </row>
    <row r="404" spans="1:11" ht="18" hidden="1" customHeight="1" outlineLevel="1" x14ac:dyDescent="0.25">
      <c r="A404" s="1187"/>
      <c r="B404" s="218" t="s">
        <v>1825</v>
      </c>
      <c r="C404" s="2127" t="s">
        <v>2863</v>
      </c>
      <c r="D404" s="2128" t="s">
        <v>1826</v>
      </c>
      <c r="E404" s="309">
        <f>((S_H2)/((K_H2_HMETO)+(S_H2)))</f>
        <v>9.0909090909090912E-2</v>
      </c>
      <c r="F404" s="309" t="s">
        <v>282</v>
      </c>
      <c r="G404" s="309">
        <v>2</v>
      </c>
      <c r="H404" s="308"/>
      <c r="I404" s="388"/>
      <c r="J404" s="1187"/>
      <c r="K404" s="1187"/>
    </row>
    <row r="405" spans="1:11" ht="18" hidden="1" customHeight="1" outlineLevel="1" x14ac:dyDescent="0.25">
      <c r="A405" s="1187"/>
      <c r="B405" s="218" t="s">
        <v>1822</v>
      </c>
      <c r="C405" s="2127" t="s">
        <v>2864</v>
      </c>
      <c r="D405" s="2129" t="s">
        <v>4012</v>
      </c>
      <c r="E405" s="309">
        <f>((S_NOx)/((K_NOx_HMETO)+(S_NOx)))</f>
        <v>0.99029126213592233</v>
      </c>
      <c r="F405" s="309" t="s">
        <v>282</v>
      </c>
      <c r="G405" s="309">
        <v>2</v>
      </c>
      <c r="H405" s="308"/>
      <c r="I405" s="388"/>
      <c r="J405" s="1187"/>
      <c r="K405" s="1187"/>
    </row>
    <row r="406" spans="1:11" ht="18" hidden="1" customHeight="1" outlineLevel="1" x14ac:dyDescent="0.25">
      <c r="A406" s="1187"/>
      <c r="B406" s="218" t="s">
        <v>3612</v>
      </c>
      <c r="C406" s="2127" t="s">
        <v>2865</v>
      </c>
      <c r="D406" s="2128" t="s">
        <v>3611</v>
      </c>
      <c r="E406" s="309">
        <f>((S_O2)/((K_iO2_HMETO)+(S_O2)))</f>
        <v>0.97560975609756106</v>
      </c>
      <c r="F406" s="309" t="s">
        <v>282</v>
      </c>
      <c r="G406" s="309">
        <v>2</v>
      </c>
      <c r="H406" s="308"/>
      <c r="I406" s="388"/>
      <c r="J406" s="1187"/>
      <c r="K406" s="1187"/>
    </row>
    <row r="407" spans="1:11" ht="18" hidden="1" customHeight="1" outlineLevel="1" x14ac:dyDescent="0.25">
      <c r="A407" s="1187"/>
      <c r="B407" s="590" t="s">
        <v>2867</v>
      </c>
      <c r="C407" s="2130" t="s">
        <v>3005</v>
      </c>
      <c r="D407" s="2130" t="s">
        <v>2868</v>
      </c>
      <c r="E407" s="313">
        <f>((K_iNHx_ASSIM)/((K_iNHx_ASSIM)+(S_NHx)))</f>
        <v>4.9975012493753133E-4</v>
      </c>
      <c r="F407" s="313" t="s">
        <v>282</v>
      </c>
      <c r="G407" s="313">
        <v>2</v>
      </c>
      <c r="H407" s="311"/>
      <c r="I407" s="389"/>
      <c r="J407" s="1187"/>
      <c r="K407" s="1187"/>
    </row>
    <row r="408" spans="1:11" ht="18" hidden="1" customHeight="1" outlineLevel="1" x14ac:dyDescent="0.25">
      <c r="A408" s="1187"/>
      <c r="B408" s="310" t="s">
        <v>1883</v>
      </c>
      <c r="C408" s="2130" t="s">
        <v>2869</v>
      </c>
      <c r="D408" s="2131" t="s">
        <v>4013</v>
      </c>
      <c r="E408" s="313">
        <f>(((C_B)/(X_BIO))/((C_B)/(X_BIO)+(K_FLOC)))</f>
        <v>9.3852651337400297E-3</v>
      </c>
      <c r="F408" s="313" t="s">
        <v>282</v>
      </c>
      <c r="G408" s="313">
        <v>2</v>
      </c>
      <c r="H408" s="311"/>
      <c r="I408" s="389"/>
      <c r="J408" s="1187"/>
      <c r="K408" s="1187"/>
    </row>
    <row r="409" spans="1:11" ht="18" hidden="1" customHeight="1" outlineLevel="1" x14ac:dyDescent="0.25">
      <c r="A409" s="1187"/>
      <c r="B409" s="310" t="s">
        <v>1884</v>
      </c>
      <c r="C409" s="2130" t="s">
        <v>3664</v>
      </c>
      <c r="D409" s="2131" t="s">
        <v>4014</v>
      </c>
      <c r="E409" s="313">
        <f>(((C_U)/(X_BIO))/((C_U)/(X_BIO)+(K_FLOC)))</f>
        <v>9.3852651337400297E-3</v>
      </c>
      <c r="F409" s="313" t="s">
        <v>282</v>
      </c>
      <c r="G409" s="313">
        <v>2</v>
      </c>
      <c r="H409" s="311"/>
      <c r="I409" s="389"/>
      <c r="J409" s="1187"/>
      <c r="K409" s="1187"/>
    </row>
    <row r="410" spans="1:11" ht="18" hidden="1" customHeight="1" outlineLevel="1" x14ac:dyDescent="0.25">
      <c r="A410" s="1187"/>
      <c r="B410" s="310" t="s">
        <v>1885</v>
      </c>
      <c r="C410" s="2130" t="s">
        <v>2870</v>
      </c>
      <c r="D410" s="2131" t="s">
        <v>4015</v>
      </c>
      <c r="E410" s="313">
        <f>(((X_B)/(X_BIO))/((X_B)/(X_BIO)+(K_HYD)))</f>
        <v>0.20965930363159865</v>
      </c>
      <c r="F410" s="313" t="s">
        <v>282</v>
      </c>
      <c r="G410" s="313">
        <v>2</v>
      </c>
      <c r="H410" s="311"/>
      <c r="I410" s="389"/>
      <c r="J410" s="1187"/>
      <c r="K410" s="1187"/>
    </row>
    <row r="411" spans="1:11" ht="18" hidden="1" customHeight="1" outlineLevel="1" x14ac:dyDescent="0.25">
      <c r="A411" s="1187"/>
      <c r="B411" s="312" t="s">
        <v>1886</v>
      </c>
      <c r="C411" s="2130" t="s">
        <v>2871</v>
      </c>
      <c r="D411" s="2131" t="s">
        <v>4016</v>
      </c>
      <c r="E411" s="313">
        <f>(((X_E_ana)/(X_BIO))/((X_E_ana)/(X_BIO)+(K_HYD)))</f>
        <v>1.8912529550827422E-3</v>
      </c>
      <c r="F411" s="313" t="s">
        <v>282</v>
      </c>
      <c r="G411" s="313">
        <v>2</v>
      </c>
      <c r="H411" s="311"/>
      <c r="I411" s="389"/>
      <c r="J411" s="1187"/>
      <c r="K411" s="1187"/>
    </row>
    <row r="412" spans="1:11" ht="18" hidden="1" customHeight="1" outlineLevel="1" x14ac:dyDescent="0.25">
      <c r="A412" s="1187"/>
      <c r="B412" s="1504" t="s">
        <v>2431</v>
      </c>
      <c r="C412" s="2132" t="s">
        <v>2872</v>
      </c>
      <c r="D412" s="2133" t="s">
        <v>2432</v>
      </c>
      <c r="E412" s="495">
        <f>((S_NO2)/((K_NO2_ASSIM)+(S_NO2)))</f>
        <v>0.99009900990099009</v>
      </c>
      <c r="F412" s="304" t="s">
        <v>282</v>
      </c>
      <c r="G412" s="304">
        <v>2</v>
      </c>
      <c r="H412" s="365"/>
      <c r="I412" s="2049"/>
      <c r="J412" s="1187"/>
      <c r="K412" s="1187"/>
    </row>
    <row r="413" spans="1:11" ht="18" hidden="1" customHeight="1" outlineLevel="1" x14ac:dyDescent="0.25">
      <c r="A413" s="1187"/>
      <c r="B413" s="1504" t="s">
        <v>2433</v>
      </c>
      <c r="C413" s="2132" t="s">
        <v>2873</v>
      </c>
      <c r="D413" s="2133" t="s">
        <v>2434</v>
      </c>
      <c r="E413" s="390">
        <f>((S_NO3)/((K_NO3_ASSIM)+(S_NO3)))</f>
        <v>0.99980003999200151</v>
      </c>
      <c r="F413" s="390" t="s">
        <v>282</v>
      </c>
      <c r="G413" s="390">
        <v>2</v>
      </c>
      <c r="H413" s="304"/>
      <c r="I413" s="392"/>
      <c r="J413" s="1187"/>
      <c r="K413" s="1187"/>
    </row>
    <row r="414" spans="1:11" ht="18" hidden="1" customHeight="1" outlineLevel="1" x14ac:dyDescent="0.25">
      <c r="A414" s="1187"/>
      <c r="B414" s="303" t="s">
        <v>2429</v>
      </c>
      <c r="C414" s="1802" t="s">
        <v>2874</v>
      </c>
      <c r="D414" s="2134" t="s">
        <v>2430</v>
      </c>
      <c r="E414" s="494">
        <f>((K_NO2_ASSIM)/((K_NO2_ASSIM)+(S_NO2)))</f>
        <v>9.9009900990099011E-3</v>
      </c>
      <c r="F414" s="390" t="s">
        <v>282</v>
      </c>
      <c r="G414" s="390">
        <v>2</v>
      </c>
      <c r="H414" s="304"/>
      <c r="I414" s="392"/>
      <c r="J414" s="1187"/>
      <c r="K414" s="1187"/>
    </row>
    <row r="415" spans="1:11" ht="18" hidden="1" customHeight="1" outlineLevel="1" x14ac:dyDescent="0.25">
      <c r="A415" s="1187"/>
      <c r="B415" s="806" t="s">
        <v>4037</v>
      </c>
      <c r="C415" s="1039" t="s">
        <v>2875</v>
      </c>
      <c r="D415" s="2135" t="s">
        <v>4661</v>
      </c>
      <c r="E415" s="808">
        <f>(1-(S_PO4)/((S_PO4)+(K_iP_HFO_DISS)*EXP(((K_iP_HFO_DISS)-(S_PO4))*(L_ogslopeP_HFO_DISS))))</f>
        <v>0</v>
      </c>
      <c r="F415" s="808" t="s">
        <v>282</v>
      </c>
      <c r="G415" s="808">
        <v>2</v>
      </c>
      <c r="H415" s="807"/>
      <c r="I415" s="809"/>
      <c r="J415" s="1187"/>
      <c r="K415" s="1187"/>
    </row>
    <row r="416" spans="1:11" ht="18" hidden="1" customHeight="1" outlineLevel="1" x14ac:dyDescent="0.25">
      <c r="A416" s="1187"/>
      <c r="B416" s="806" t="s">
        <v>4038</v>
      </c>
      <c r="C416" s="1039" t="s">
        <v>3458</v>
      </c>
      <c r="D416" s="1039" t="s">
        <v>4039</v>
      </c>
      <c r="E416" s="808">
        <f>((K_iP_HFO_DESORP)/((K_iP_HFO_DESORP)+(S_PO4)))</f>
        <v>0.16666666666666669</v>
      </c>
      <c r="F416" s="808" t="s">
        <v>282</v>
      </c>
      <c r="G416" s="808">
        <v>2</v>
      </c>
      <c r="H416" s="807"/>
      <c r="I416" s="809"/>
      <c r="J416" s="1187"/>
      <c r="K416" s="1187"/>
    </row>
    <row r="417" spans="1:11" ht="18" hidden="1" customHeight="1" outlineLevel="1" x14ac:dyDescent="0.25">
      <c r="A417" s="1187"/>
      <c r="B417" s="806" t="s">
        <v>4040</v>
      </c>
      <c r="C417" s="2136" t="s">
        <v>2876</v>
      </c>
      <c r="D417" s="2136" t="s">
        <v>4041</v>
      </c>
      <c r="E417" s="390">
        <f>((S_PO4)/((K_P_HFO_BIND)+(S_PO4)))</f>
        <v>0.83333333333333337</v>
      </c>
      <c r="F417" s="390" t="s">
        <v>282</v>
      </c>
      <c r="G417" s="390">
        <v>2</v>
      </c>
      <c r="H417" s="304"/>
      <c r="I417" s="392"/>
      <c r="J417" s="1187"/>
      <c r="K417" s="1187"/>
    </row>
    <row r="418" spans="1:11" hidden="1" outlineLevel="1" x14ac:dyDescent="0.25">
      <c r="A418" s="1187"/>
      <c r="B418" s="806" t="s">
        <v>4022</v>
      </c>
      <c r="C418" s="1039" t="s">
        <v>4023</v>
      </c>
      <c r="D418" s="2135" t="s">
        <v>4662</v>
      </c>
      <c r="E418" s="1097">
        <f>(1-(S_PO4)/((S_PO4)+(K_iP_HAO_DISS)*EXP(((K_iP_HAO_DISS)-(S_PO4))*(L_ogslopeP_HAO_DISS))))</f>
        <v>0</v>
      </c>
      <c r="F418" s="1097" t="s">
        <v>282</v>
      </c>
      <c r="G418" s="1097">
        <v>2</v>
      </c>
      <c r="H418" s="1057"/>
      <c r="I418" s="809"/>
      <c r="J418" s="1187"/>
      <c r="K418" s="1187"/>
    </row>
    <row r="419" spans="1:11" hidden="1" outlineLevel="1" x14ac:dyDescent="0.25">
      <c r="A419" s="1187"/>
      <c r="B419" s="806" t="s">
        <v>4024</v>
      </c>
      <c r="C419" s="1039" t="s">
        <v>4025</v>
      </c>
      <c r="D419" s="1039" t="s">
        <v>4026</v>
      </c>
      <c r="E419" s="1097">
        <f>((K_iP_HAO_DESORP)/((K_iP_HAO_DESORP)+(S_PO4)))</f>
        <v>0.16666666666666669</v>
      </c>
      <c r="F419" s="1097" t="s">
        <v>282</v>
      </c>
      <c r="G419" s="1097">
        <v>2</v>
      </c>
      <c r="H419" s="1057"/>
      <c r="I419" s="809"/>
      <c r="J419" s="1187"/>
      <c r="K419" s="1187"/>
    </row>
    <row r="420" spans="1:11" hidden="1" outlineLevel="1" x14ac:dyDescent="0.25">
      <c r="A420" s="1187"/>
      <c r="B420" s="806" t="s">
        <v>4027</v>
      </c>
      <c r="C420" s="2136" t="s">
        <v>4028</v>
      </c>
      <c r="D420" s="2136" t="s">
        <v>4029</v>
      </c>
      <c r="E420" s="1097">
        <f>((S_PO4)/((K_P_HAO_BIND)+(S_PO4)))</f>
        <v>0.83333333333333337</v>
      </c>
      <c r="F420" s="1097" t="s">
        <v>282</v>
      </c>
      <c r="G420" s="1097">
        <v>2</v>
      </c>
      <c r="H420" s="1057"/>
      <c r="I420" s="1038"/>
      <c r="J420" s="1187"/>
      <c r="K420" s="1187"/>
    </row>
    <row r="421" spans="1:11" ht="18" hidden="1" customHeight="1" outlineLevel="1" x14ac:dyDescent="0.25">
      <c r="A421" s="1187"/>
      <c r="B421" s="501" t="s">
        <v>2877</v>
      </c>
      <c r="C421" s="1802" t="s">
        <v>2878</v>
      </c>
      <c r="D421" s="1802" t="s">
        <v>2879</v>
      </c>
      <c r="E421" s="390">
        <f>((X_ACP)/((K_ACP_DISS)+(X_ACP)))</f>
        <v>9.9999999999999997E-49</v>
      </c>
      <c r="F421" s="390" t="s">
        <v>282</v>
      </c>
      <c r="G421" s="390">
        <v>2</v>
      </c>
      <c r="H421" s="304"/>
      <c r="I421" s="391"/>
      <c r="J421" s="1187"/>
      <c r="K421" s="1187"/>
    </row>
    <row r="422" spans="1:11" ht="18" hidden="1" customHeight="1" outlineLevel="1" x14ac:dyDescent="0.25">
      <c r="A422" s="1187"/>
      <c r="B422" s="806" t="s">
        <v>3954</v>
      </c>
      <c r="C422" s="1039" t="s">
        <v>3955</v>
      </c>
      <c r="D422" s="1039" t="s">
        <v>3956</v>
      </c>
      <c r="E422" s="1480">
        <f>((X_BSH)/((K_BSH_DISS)+(X_BSH)))</f>
        <v>9.9999999999999997E-49</v>
      </c>
      <c r="F422" s="1097" t="s">
        <v>282</v>
      </c>
      <c r="G422" s="1097">
        <v>2</v>
      </c>
      <c r="H422" s="1057"/>
      <c r="I422" s="809"/>
      <c r="J422" s="1187"/>
      <c r="K422" s="1187"/>
    </row>
    <row r="423" spans="1:11" ht="18" hidden="1" customHeight="1" outlineLevel="1" x14ac:dyDescent="0.25">
      <c r="A423" s="1187"/>
      <c r="B423" s="501" t="s">
        <v>2880</v>
      </c>
      <c r="C423" s="1802" t="s">
        <v>2881</v>
      </c>
      <c r="D423" s="1802" t="s">
        <v>2882</v>
      </c>
      <c r="E423" s="390">
        <f>((X_CaCO3)/((K_CaCO3_DISS)+(X_CaCO3)))</f>
        <v>9.9999999999999997E-49</v>
      </c>
      <c r="F423" s="390" t="s">
        <v>282</v>
      </c>
      <c r="G423" s="390">
        <v>2</v>
      </c>
      <c r="H423" s="304"/>
      <c r="I423" s="391"/>
      <c r="J423" s="1187"/>
      <c r="K423" s="1187"/>
    </row>
    <row r="424" spans="1:11" ht="18" hidden="1" customHeight="1" outlineLevel="1" x14ac:dyDescent="0.25">
      <c r="A424" s="1187"/>
      <c r="B424" s="501" t="s">
        <v>2883</v>
      </c>
      <c r="C424" s="1802" t="s">
        <v>2884</v>
      </c>
      <c r="D424" s="1802" t="s">
        <v>2885</v>
      </c>
      <c r="E424" s="390">
        <f>((X_STR)/((K_STR_DISS)+(X_STR)))</f>
        <v>9.9999999999999997E-49</v>
      </c>
      <c r="F424" s="390" t="s">
        <v>282</v>
      </c>
      <c r="G424" s="390">
        <v>2</v>
      </c>
      <c r="H424" s="304"/>
      <c r="I424" s="391"/>
      <c r="J424" s="1187"/>
      <c r="K424" s="1187"/>
    </row>
    <row r="425" spans="1:11" ht="18" hidden="1" customHeight="1" outlineLevel="1" thickBot="1" x14ac:dyDescent="0.3">
      <c r="A425" s="1187"/>
      <c r="B425" s="325" t="s">
        <v>2886</v>
      </c>
      <c r="C425" s="2137" t="s">
        <v>2887</v>
      </c>
      <c r="D425" s="2137" t="s">
        <v>2888</v>
      </c>
      <c r="E425" s="393">
        <f>((X_Vivi)/((K_Vivi_DISS)+(X_Vivi)))</f>
        <v>9.9999999999999997E-49</v>
      </c>
      <c r="F425" s="393" t="s">
        <v>282</v>
      </c>
      <c r="G425" s="393">
        <v>2</v>
      </c>
      <c r="H425" s="326"/>
      <c r="I425" s="394"/>
      <c r="J425" s="1187"/>
      <c r="K425" s="1187"/>
    </row>
    <row r="426" spans="1:11" customFormat="1" ht="18" customHeight="1" collapsed="1" thickBot="1" x14ac:dyDescent="0.3">
      <c r="A426" s="1281"/>
      <c r="B426" s="1285"/>
      <c r="C426" s="1285"/>
      <c r="D426" s="1285"/>
      <c r="E426" s="2527"/>
      <c r="F426" s="1285"/>
      <c r="G426" s="1285"/>
      <c r="H426" s="1285"/>
      <c r="I426" s="1285"/>
      <c r="J426" s="1281"/>
      <c r="K426" s="1281"/>
    </row>
    <row r="427" spans="1:11" customFormat="1" ht="18" customHeight="1" thickBot="1" x14ac:dyDescent="0.3">
      <c r="A427" s="1281"/>
      <c r="B427" s="1187"/>
      <c r="C427" s="1390" t="s">
        <v>2187</v>
      </c>
      <c r="D427" s="1335" t="s">
        <v>299</v>
      </c>
      <c r="E427" s="1335"/>
      <c r="F427" s="1187"/>
      <c r="G427" s="1187"/>
      <c r="H427" s="1187"/>
      <c r="I427" s="1187"/>
      <c r="J427" s="1281"/>
      <c r="K427" s="1281"/>
    </row>
    <row r="428" spans="1:11" customFormat="1" ht="18" customHeight="1" thickBot="1" x14ac:dyDescent="0.3">
      <c r="A428" s="1281"/>
      <c r="B428" s="2532" t="s">
        <v>0</v>
      </c>
      <c r="C428" s="2535" t="s">
        <v>1</v>
      </c>
      <c r="D428" s="2538" t="s">
        <v>5</v>
      </c>
      <c r="E428" s="2538" t="s">
        <v>152</v>
      </c>
      <c r="F428" s="2538" t="s">
        <v>2</v>
      </c>
      <c r="G428" s="2538" t="s">
        <v>298</v>
      </c>
      <c r="H428" s="2538" t="s">
        <v>116</v>
      </c>
      <c r="I428" s="2541" t="s">
        <v>117</v>
      </c>
      <c r="J428" s="1281"/>
      <c r="K428" s="1281"/>
    </row>
    <row r="429" spans="1:11" ht="18" hidden="1" customHeight="1" outlineLevel="1" x14ac:dyDescent="0.25">
      <c r="A429" s="1187"/>
      <c r="B429" s="321" t="s">
        <v>1836</v>
      </c>
      <c r="C429" s="2138" t="s">
        <v>2892</v>
      </c>
      <c r="D429" s="2139" t="s">
        <v>1837</v>
      </c>
      <c r="E429" s="395">
        <f>µ_OHO*((θ_µ_OHO)^((T__)-(T_base)))</f>
        <v>4</v>
      </c>
      <c r="F429" s="395" t="s">
        <v>443</v>
      </c>
      <c r="G429" s="322">
        <v>2</v>
      </c>
      <c r="H429" s="322"/>
      <c r="I429" s="396"/>
      <c r="J429" s="1187"/>
      <c r="K429" s="1187"/>
    </row>
    <row r="430" spans="1:11" ht="18" hidden="1" customHeight="1" outlineLevel="1" x14ac:dyDescent="0.25">
      <c r="A430" s="1187"/>
      <c r="B430" s="149" t="s">
        <v>1838</v>
      </c>
      <c r="C430" s="2140" t="s">
        <v>2893</v>
      </c>
      <c r="D430" s="203" t="s">
        <v>1839</v>
      </c>
      <c r="E430" s="235">
        <f>µ_FERM_OHO*((θ_FERM_OHO)^((T__)-(T_base)))</f>
        <v>0.3</v>
      </c>
      <c r="F430" s="235" t="s">
        <v>443</v>
      </c>
      <c r="G430" s="242">
        <v>2</v>
      </c>
      <c r="H430" s="242"/>
      <c r="I430" s="397"/>
      <c r="J430" s="1187"/>
      <c r="K430" s="1187"/>
    </row>
    <row r="431" spans="1:11" ht="18" hidden="1" customHeight="1" outlineLevel="1" x14ac:dyDescent="0.25">
      <c r="A431" s="1187"/>
      <c r="B431" s="149" t="s">
        <v>1840</v>
      </c>
      <c r="C431" s="2140" t="s">
        <v>2894</v>
      </c>
      <c r="D431" s="203" t="s">
        <v>1841</v>
      </c>
      <c r="E431" s="235">
        <f>b_OHO*((θ_b_OHO)^((T__)-(T_base)))</f>
        <v>0.62</v>
      </c>
      <c r="F431" s="235" t="s">
        <v>443</v>
      </c>
      <c r="G431" s="242">
        <v>2</v>
      </c>
      <c r="H431" s="242"/>
      <c r="I431" s="397"/>
      <c r="J431" s="1187"/>
      <c r="K431" s="1187"/>
    </row>
    <row r="432" spans="1:11" ht="18" hidden="1" customHeight="1" outlineLevel="1" x14ac:dyDescent="0.25">
      <c r="A432" s="1187"/>
      <c r="B432" s="149" t="s">
        <v>1842</v>
      </c>
      <c r="C432" s="2140" t="s">
        <v>2895</v>
      </c>
      <c r="D432" s="203" t="s">
        <v>1843</v>
      </c>
      <c r="E432" s="235">
        <f>µ_MEOLO*((θ_µ_MEOLO)^((T__)-(T_base)))</f>
        <v>1.3</v>
      </c>
      <c r="F432" s="235" t="s">
        <v>443</v>
      </c>
      <c r="G432" s="242">
        <v>2</v>
      </c>
      <c r="H432" s="242"/>
      <c r="I432" s="397"/>
      <c r="J432" s="1187"/>
      <c r="K432" s="1187"/>
    </row>
    <row r="433" spans="1:11" ht="18" hidden="1" customHeight="1" outlineLevel="1" x14ac:dyDescent="0.25">
      <c r="A433" s="1187"/>
      <c r="B433" s="149" t="s">
        <v>1844</v>
      </c>
      <c r="C433" s="2140" t="s">
        <v>2896</v>
      </c>
      <c r="D433" s="203" t="s">
        <v>1845</v>
      </c>
      <c r="E433" s="235">
        <f>b_MEOLO*((θ_b_MEOLO)^((T__)-(T_base)))</f>
        <v>0.05</v>
      </c>
      <c r="F433" s="235" t="s">
        <v>443</v>
      </c>
      <c r="G433" s="242">
        <v>2</v>
      </c>
      <c r="H433" s="242"/>
      <c r="I433" s="397"/>
      <c r="J433" s="1187"/>
      <c r="K433" s="1187"/>
    </row>
    <row r="434" spans="1:11" ht="18" hidden="1" customHeight="1" outlineLevel="1" x14ac:dyDescent="0.25">
      <c r="A434" s="1187"/>
      <c r="B434" s="243" t="s">
        <v>4406</v>
      </c>
      <c r="C434" s="2141" t="s">
        <v>4407</v>
      </c>
      <c r="D434" s="2141" t="s">
        <v>4408</v>
      </c>
      <c r="E434" s="229">
        <f>µ_CASTO*((θ_µ_CASTO)^((T__)-(T_base)))</f>
        <v>1</v>
      </c>
      <c r="F434" s="229" t="s">
        <v>443</v>
      </c>
      <c r="G434" s="244">
        <v>2</v>
      </c>
      <c r="H434" s="244"/>
      <c r="I434" s="398"/>
      <c r="J434" s="1187"/>
      <c r="K434" s="1187"/>
    </row>
    <row r="435" spans="1:11" ht="30" hidden="1" outlineLevel="1" x14ac:dyDescent="0.25">
      <c r="A435" s="1187"/>
      <c r="B435" s="243" t="s">
        <v>1874</v>
      </c>
      <c r="C435" s="534" t="s">
        <v>2897</v>
      </c>
      <c r="D435" s="449" t="s">
        <v>1877</v>
      </c>
      <c r="E435" s="229">
        <f>µ_PAO_lim*((θ_µ_PAO_lim)^((T__)-(T_base)))</f>
        <v>0.49</v>
      </c>
      <c r="F435" s="229" t="s">
        <v>443</v>
      </c>
      <c r="G435" s="244">
        <v>2</v>
      </c>
      <c r="H435" s="244"/>
      <c r="I435" s="398"/>
      <c r="J435" s="1187"/>
      <c r="K435" s="1187"/>
    </row>
    <row r="436" spans="1:11" ht="18" hidden="1" customHeight="1" outlineLevel="1" x14ac:dyDescent="0.25">
      <c r="A436" s="1187"/>
      <c r="B436" s="559" t="s">
        <v>2889</v>
      </c>
      <c r="C436" s="534" t="s">
        <v>2890</v>
      </c>
      <c r="D436" s="534" t="s">
        <v>2891</v>
      </c>
      <c r="E436" s="455">
        <f>µ_FERM_PAO*((θ_FERM_PAO)^((T__)-(T_base)))</f>
        <v>0.45</v>
      </c>
      <c r="F436" s="455" t="s">
        <v>443</v>
      </c>
      <c r="G436" s="591">
        <v>2</v>
      </c>
      <c r="H436" s="591"/>
      <c r="I436" s="592"/>
      <c r="J436" s="1187"/>
      <c r="K436" s="1187"/>
    </row>
    <row r="437" spans="1:11" ht="18" hidden="1" customHeight="1" outlineLevel="1" x14ac:dyDescent="0.25">
      <c r="A437" s="1187"/>
      <c r="B437" s="1051" t="s">
        <v>4019</v>
      </c>
      <c r="C437" s="1048" t="s">
        <v>4020</v>
      </c>
      <c r="D437" s="1048" t="s">
        <v>4021</v>
      </c>
      <c r="E437" s="1101">
        <f>q_PAO_PP*((θ_q_PAO_PP)^((T__)-(T_base)))</f>
        <v>0.1</v>
      </c>
      <c r="F437" s="1101" t="s">
        <v>443</v>
      </c>
      <c r="G437" s="1100">
        <v>2</v>
      </c>
      <c r="H437" s="1100"/>
      <c r="I437" s="1102"/>
      <c r="J437" s="1187"/>
      <c r="K437" s="1187"/>
    </row>
    <row r="438" spans="1:11" ht="18" hidden="1" customHeight="1" outlineLevel="1" x14ac:dyDescent="0.25">
      <c r="A438" s="1187"/>
      <c r="B438" s="243" t="s">
        <v>1846</v>
      </c>
      <c r="C438" s="534" t="s">
        <v>2898</v>
      </c>
      <c r="D438" s="449" t="s">
        <v>1847</v>
      </c>
      <c r="E438" s="229">
        <f>q_PAO_PHA*((θ_q_PAO_PHA)^((T__)-(T_base)))</f>
        <v>7</v>
      </c>
      <c r="F438" s="229" t="s">
        <v>443</v>
      </c>
      <c r="G438" s="244">
        <v>2</v>
      </c>
      <c r="H438" s="244"/>
      <c r="I438" s="398"/>
      <c r="J438" s="1187"/>
      <c r="K438" s="1187"/>
    </row>
    <row r="439" spans="1:11" ht="18" hidden="1" customHeight="1" outlineLevel="1" x14ac:dyDescent="0.25">
      <c r="A439" s="1187"/>
      <c r="B439" s="211" t="s">
        <v>2159</v>
      </c>
      <c r="C439" s="2142" t="s">
        <v>2900</v>
      </c>
      <c r="D439" s="212" t="s">
        <v>2160</v>
      </c>
      <c r="E439" s="443">
        <f>q_GAO_GLY*((θ_q_GAO_GLY)^((T__)-(T_base)))</f>
        <v>4</v>
      </c>
      <c r="F439" s="443" t="s">
        <v>443</v>
      </c>
      <c r="G439" s="447">
        <v>2</v>
      </c>
      <c r="H439" s="447"/>
      <c r="I439" s="448"/>
      <c r="J439" s="1187"/>
      <c r="K439" s="1187"/>
    </row>
    <row r="440" spans="1:11" ht="30" hidden="1" outlineLevel="1" x14ac:dyDescent="0.25">
      <c r="A440" s="1187"/>
      <c r="B440" s="243" t="s">
        <v>4409</v>
      </c>
      <c r="C440" s="2141" t="s">
        <v>4410</v>
      </c>
      <c r="D440" s="2141" t="s">
        <v>4411</v>
      </c>
      <c r="E440" s="229">
        <f>b_STC*((θ_b_STC)^((T__)-(T_base)))</f>
        <v>7.0000000000000007E-2</v>
      </c>
      <c r="F440" s="229" t="s">
        <v>443</v>
      </c>
      <c r="G440" s="244">
        <v>2</v>
      </c>
      <c r="H440" s="244"/>
      <c r="I440" s="398"/>
      <c r="J440" s="1187"/>
      <c r="K440" s="1187"/>
    </row>
    <row r="441" spans="1:11" ht="30" hidden="1" outlineLevel="1" x14ac:dyDescent="0.25">
      <c r="A441" s="1187"/>
      <c r="B441" s="243" t="s">
        <v>2153</v>
      </c>
      <c r="C441" s="534" t="s">
        <v>2899</v>
      </c>
      <c r="D441" s="449" t="s">
        <v>2154</v>
      </c>
      <c r="E441" s="229">
        <f>b_PP_ana*((θ_b_PP_ana)^((T__)-(T_base)))</f>
        <v>5.0000000000000001E-3</v>
      </c>
      <c r="F441" s="229" t="s">
        <v>443</v>
      </c>
      <c r="G441" s="244">
        <v>2</v>
      </c>
      <c r="H441" s="244"/>
      <c r="I441" s="398"/>
      <c r="J441" s="1187"/>
      <c r="K441" s="1187"/>
    </row>
    <row r="442" spans="1:11" ht="18" hidden="1" customHeight="1" outlineLevel="1" x14ac:dyDescent="0.25">
      <c r="A442" s="1187"/>
      <c r="B442" s="243" t="s">
        <v>4412</v>
      </c>
      <c r="C442" s="2141" t="s">
        <v>4413</v>
      </c>
      <c r="D442" s="2141" t="s">
        <v>4414</v>
      </c>
      <c r="E442" s="229">
        <f>b_CASTO*((θ_b_CASTO)^((T__)-(T_base)))</f>
        <v>0.08</v>
      </c>
      <c r="F442" s="229" t="s">
        <v>443</v>
      </c>
      <c r="G442" s="244">
        <v>2</v>
      </c>
      <c r="H442" s="244"/>
      <c r="I442" s="398"/>
      <c r="J442" s="1187"/>
      <c r="K442" s="1187"/>
    </row>
    <row r="443" spans="1:11" customFormat="1" ht="18" hidden="1" customHeight="1" outlineLevel="1" x14ac:dyDescent="0.25">
      <c r="A443" s="1281"/>
      <c r="B443" s="1513" t="s">
        <v>2415</v>
      </c>
      <c r="C443" s="2143" t="s">
        <v>2901</v>
      </c>
      <c r="D443" s="2144" t="s">
        <v>2416</v>
      </c>
      <c r="E443" s="1511">
        <f>µ_AOB*((θ_µ_AOB)^((T__)-(T_base)))</f>
        <v>0.9</v>
      </c>
      <c r="F443" s="1511" t="s">
        <v>443</v>
      </c>
      <c r="G443" s="1511">
        <v>2</v>
      </c>
      <c r="H443" s="1511"/>
      <c r="I443" s="1511"/>
      <c r="J443" s="1281"/>
      <c r="K443" s="1281"/>
    </row>
    <row r="444" spans="1:11" customFormat="1" ht="18" hidden="1" customHeight="1" outlineLevel="1" x14ac:dyDescent="0.25">
      <c r="A444" s="1281"/>
      <c r="B444" s="1513" t="s">
        <v>2417</v>
      </c>
      <c r="C444" s="2143" t="s">
        <v>2902</v>
      </c>
      <c r="D444" s="2144" t="s">
        <v>2418</v>
      </c>
      <c r="E444" s="1511">
        <f>b_AOB*((θ_b_AOB)^((T__)-(T_base)))</f>
        <v>0.17</v>
      </c>
      <c r="F444" s="1511" t="s">
        <v>443</v>
      </c>
      <c r="G444" s="1511">
        <v>2</v>
      </c>
      <c r="H444" s="1511"/>
      <c r="I444" s="1511"/>
      <c r="J444" s="1281"/>
      <c r="K444" s="1281"/>
    </row>
    <row r="445" spans="1:11" customFormat="1" ht="18" hidden="1" customHeight="1" outlineLevel="1" x14ac:dyDescent="0.25">
      <c r="A445" s="1281"/>
      <c r="B445" s="1513" t="s">
        <v>2419</v>
      </c>
      <c r="C445" s="2143" t="s">
        <v>2903</v>
      </c>
      <c r="D445" s="2144" t="s">
        <v>2420</v>
      </c>
      <c r="E445" s="1511">
        <f>µ_NOB*((θ_µ_NOB)^((T__)-(T_base)))</f>
        <v>0.65</v>
      </c>
      <c r="F445" s="1511" t="s">
        <v>443</v>
      </c>
      <c r="G445" s="1511">
        <v>2</v>
      </c>
      <c r="H445" s="1511"/>
      <c r="I445" s="1511"/>
      <c r="J445" s="1281"/>
      <c r="K445" s="1281"/>
    </row>
    <row r="446" spans="1:11" customFormat="1" ht="18" hidden="1" customHeight="1" outlineLevel="1" x14ac:dyDescent="0.25">
      <c r="A446" s="1281"/>
      <c r="B446" s="1513" t="s">
        <v>2421</v>
      </c>
      <c r="C446" s="2143" t="s">
        <v>2904</v>
      </c>
      <c r="D446" s="2144" t="s">
        <v>2422</v>
      </c>
      <c r="E446" s="1511">
        <f>b_NOB*((θ_b_NOB)^((T__)-(T_base)))</f>
        <v>0.15</v>
      </c>
      <c r="F446" s="1511" t="s">
        <v>443</v>
      </c>
      <c r="G446" s="1511">
        <v>2</v>
      </c>
      <c r="H446" s="1511"/>
      <c r="I446" s="1511"/>
      <c r="J446" s="1281"/>
      <c r="K446" s="1281"/>
    </row>
    <row r="447" spans="1:11" customFormat="1" ht="18" hidden="1" customHeight="1" outlineLevel="1" x14ac:dyDescent="0.25">
      <c r="A447" s="1281"/>
      <c r="B447" s="1514" t="s">
        <v>2423</v>
      </c>
      <c r="C447" s="544" t="s">
        <v>2905</v>
      </c>
      <c r="D447" s="2145" t="s">
        <v>2424</v>
      </c>
      <c r="E447" s="1512">
        <f>µ_AMX*((θ_µ_AMX)^((T__)-(T_base)))</f>
        <v>0.1</v>
      </c>
      <c r="F447" s="1512" t="s">
        <v>443</v>
      </c>
      <c r="G447" s="1512">
        <v>2</v>
      </c>
      <c r="H447" s="1512"/>
      <c r="I447" s="1512"/>
      <c r="J447" s="1281"/>
      <c r="K447" s="1281"/>
    </row>
    <row r="448" spans="1:11" customFormat="1" ht="18" hidden="1" customHeight="1" outlineLevel="1" x14ac:dyDescent="0.25">
      <c r="A448" s="1281"/>
      <c r="B448" s="1514" t="s">
        <v>2425</v>
      </c>
      <c r="C448" s="544" t="s">
        <v>2906</v>
      </c>
      <c r="D448" s="2145" t="s">
        <v>2426</v>
      </c>
      <c r="E448" s="1512">
        <f>b_AMX*((θ_b_AMX)^((T__)-(T_base)))</f>
        <v>1.9E-2</v>
      </c>
      <c r="F448" s="1512" t="s">
        <v>443</v>
      </c>
      <c r="G448" s="1512">
        <v>2</v>
      </c>
      <c r="H448" s="1512"/>
      <c r="I448" s="1512"/>
      <c r="J448" s="1281"/>
      <c r="K448" s="1281"/>
    </row>
    <row r="449" spans="1:11" ht="18" hidden="1" customHeight="1" outlineLevel="1" x14ac:dyDescent="0.25">
      <c r="A449" s="1187"/>
      <c r="B449" s="150" t="s">
        <v>1848</v>
      </c>
      <c r="C449" s="2146" t="s">
        <v>2907</v>
      </c>
      <c r="D449" s="352" t="s">
        <v>1849</v>
      </c>
      <c r="E449" s="182">
        <f>µ_AMETO*((θ_µ_AMETO)^((T__)-(T_base)))</f>
        <v>0.3</v>
      </c>
      <c r="F449" s="182" t="s">
        <v>443</v>
      </c>
      <c r="G449" s="105">
        <v>2</v>
      </c>
      <c r="H449" s="105"/>
      <c r="I449" s="399"/>
      <c r="J449" s="1187"/>
      <c r="K449" s="1187"/>
    </row>
    <row r="450" spans="1:11" ht="18" hidden="1" customHeight="1" outlineLevel="1" x14ac:dyDescent="0.25">
      <c r="A450" s="1187"/>
      <c r="B450" s="150" t="s">
        <v>1850</v>
      </c>
      <c r="C450" s="2146" t="s">
        <v>2908</v>
      </c>
      <c r="D450" s="352" t="s">
        <v>1851</v>
      </c>
      <c r="E450" s="182">
        <f>b_AMETO*((θ_b_AMETO)^((T__)-(T_base)))</f>
        <v>0.03</v>
      </c>
      <c r="F450" s="182" t="s">
        <v>443</v>
      </c>
      <c r="G450" s="105">
        <v>2</v>
      </c>
      <c r="H450" s="105"/>
      <c r="I450" s="399"/>
      <c r="J450" s="1187"/>
      <c r="K450" s="1187"/>
    </row>
    <row r="451" spans="1:11" ht="18" hidden="1" customHeight="1" outlineLevel="1" x14ac:dyDescent="0.25">
      <c r="A451" s="1187"/>
      <c r="B451" s="150" t="s">
        <v>1852</v>
      </c>
      <c r="C451" s="2146" t="s">
        <v>2909</v>
      </c>
      <c r="D451" s="352" t="s">
        <v>1853</v>
      </c>
      <c r="E451" s="182">
        <f>µ_HMETO*((θ_µ_HMETO)^((T__)-(T_base)))</f>
        <v>1.3</v>
      </c>
      <c r="F451" s="182" t="s">
        <v>443</v>
      </c>
      <c r="G451" s="105">
        <v>2</v>
      </c>
      <c r="H451" s="105"/>
      <c r="I451" s="399"/>
      <c r="J451" s="1187"/>
      <c r="K451" s="1187"/>
    </row>
    <row r="452" spans="1:11" ht="18" hidden="1" customHeight="1" outlineLevel="1" x14ac:dyDescent="0.25">
      <c r="A452" s="1187"/>
      <c r="B452" s="150" t="s">
        <v>1854</v>
      </c>
      <c r="C452" s="2146" t="s">
        <v>2910</v>
      </c>
      <c r="D452" s="352" t="s">
        <v>1855</v>
      </c>
      <c r="E452" s="182">
        <f>b_HMETO*((θ_b_HMETO)^((T__)-(T_base)))</f>
        <v>0.13</v>
      </c>
      <c r="F452" s="182" t="s">
        <v>443</v>
      </c>
      <c r="G452" s="105">
        <v>2</v>
      </c>
      <c r="H452" s="105"/>
      <c r="I452" s="399"/>
      <c r="J452" s="1187"/>
      <c r="K452" s="1187"/>
    </row>
    <row r="453" spans="1:11" ht="18" hidden="1" customHeight="1" outlineLevel="1" x14ac:dyDescent="0.25">
      <c r="A453" s="1187"/>
      <c r="B453" s="204" t="s">
        <v>1856</v>
      </c>
      <c r="C453" s="2147" t="s">
        <v>2911</v>
      </c>
      <c r="D453" s="107" t="s">
        <v>1857</v>
      </c>
      <c r="E453" s="304">
        <f>q_FLOC*((θ_q_FLOC)^((T__)-(T_base)))</f>
        <v>50</v>
      </c>
      <c r="F453" s="304" t="s">
        <v>443</v>
      </c>
      <c r="G453" s="245">
        <v>2</v>
      </c>
      <c r="H453" s="245"/>
      <c r="I453" s="400"/>
      <c r="J453" s="1187"/>
      <c r="K453" s="1187"/>
    </row>
    <row r="454" spans="1:11" ht="18" hidden="1" customHeight="1" outlineLevel="1" x14ac:dyDescent="0.25">
      <c r="A454" s="1187"/>
      <c r="B454" s="204" t="s">
        <v>1858</v>
      </c>
      <c r="C454" s="2147" t="s">
        <v>2912</v>
      </c>
      <c r="D454" s="107" t="s">
        <v>1859</v>
      </c>
      <c r="E454" s="304">
        <f>q_HYD*((θ_q_HYD)^((T__)-(T_base)))</f>
        <v>2</v>
      </c>
      <c r="F454" s="304" t="s">
        <v>443</v>
      </c>
      <c r="G454" s="245">
        <v>2</v>
      </c>
      <c r="H454" s="245"/>
      <c r="I454" s="400"/>
      <c r="J454" s="1187"/>
      <c r="K454" s="1187"/>
    </row>
    <row r="455" spans="1:11" ht="18" hidden="1" customHeight="1" outlineLevel="1" x14ac:dyDescent="0.25">
      <c r="A455" s="1187"/>
      <c r="B455" s="204" t="s">
        <v>1860</v>
      </c>
      <c r="C455" s="2147" t="s">
        <v>2913</v>
      </c>
      <c r="D455" s="107" t="s">
        <v>1861</v>
      </c>
      <c r="E455" s="304">
        <f>q_AMMON*((θ_q_AMMON)^((T__)-(T_base)))</f>
        <v>0.05</v>
      </c>
      <c r="F455" s="304" t="s">
        <v>443</v>
      </c>
      <c r="G455" s="245">
        <v>2</v>
      </c>
      <c r="H455" s="245"/>
      <c r="I455" s="400"/>
      <c r="J455" s="1187"/>
      <c r="K455" s="1187"/>
    </row>
    <row r="456" spans="1:11" ht="18" hidden="1" customHeight="1" outlineLevel="1" x14ac:dyDescent="0.25">
      <c r="A456" s="1187"/>
      <c r="B456" s="204" t="s">
        <v>1875</v>
      </c>
      <c r="C456" s="2147" t="s">
        <v>2914</v>
      </c>
      <c r="D456" s="107" t="s">
        <v>1876</v>
      </c>
      <c r="E456" s="304">
        <f>q_SPB*((θ_q_SPB)^((T__)-(T_base)))</f>
        <v>0.5</v>
      </c>
      <c r="F456" s="304" t="s">
        <v>443</v>
      </c>
      <c r="G456" s="245">
        <v>2</v>
      </c>
      <c r="H456" s="245"/>
      <c r="I456" s="400"/>
      <c r="J456" s="1187"/>
      <c r="K456" s="1187"/>
    </row>
    <row r="457" spans="1:11" ht="18" hidden="1" customHeight="1" outlineLevel="1" x14ac:dyDescent="0.25">
      <c r="A457" s="1187"/>
      <c r="B457" s="204" t="s">
        <v>1878</v>
      </c>
      <c r="C457" s="2147" t="s">
        <v>2915</v>
      </c>
      <c r="D457" s="107" t="s">
        <v>1879</v>
      </c>
      <c r="E457" s="304">
        <f>q_XE*((θ_q_XE)^((T__)-(T_base)))</f>
        <v>7.0000000000000001E-3</v>
      </c>
      <c r="F457" s="304" t="s">
        <v>443</v>
      </c>
      <c r="G457" s="245">
        <v>2</v>
      </c>
      <c r="H457" s="245"/>
      <c r="I457" s="400"/>
      <c r="J457" s="1187"/>
      <c r="K457" s="1187"/>
    </row>
    <row r="458" spans="1:11" ht="18" hidden="1" customHeight="1" outlineLevel="1" x14ac:dyDescent="0.25">
      <c r="A458" s="1187"/>
      <c r="B458" s="204" t="s">
        <v>1862</v>
      </c>
      <c r="C458" s="2147" t="s">
        <v>2916</v>
      </c>
      <c r="D458" s="107" t="s">
        <v>1863</v>
      </c>
      <c r="E458" s="304">
        <f>q_ASSIM*((θ_q_ASSIM)^((T__)-(T_base)))</f>
        <v>1</v>
      </c>
      <c r="F458" s="304" t="s">
        <v>443</v>
      </c>
      <c r="G458" s="245">
        <v>2</v>
      </c>
      <c r="H458" s="245"/>
      <c r="I458" s="400"/>
      <c r="J458" s="1187"/>
      <c r="K458" s="1187"/>
    </row>
    <row r="459" spans="1:11" ht="18" hidden="1" customHeight="1" outlineLevel="1" x14ac:dyDescent="0.25">
      <c r="A459" s="1187"/>
      <c r="B459" s="206" t="s">
        <v>2919</v>
      </c>
      <c r="C459" s="2148" t="s">
        <v>2917</v>
      </c>
      <c r="D459" s="197" t="s">
        <v>2920</v>
      </c>
      <c r="E459" s="401">
        <f>q_Fe2_OX*((θ_q_Fe2_OX)^((T__)-(T_base)))</f>
        <v>1</v>
      </c>
      <c r="F459" s="401" t="s">
        <v>443</v>
      </c>
      <c r="G459" s="246">
        <v>2</v>
      </c>
      <c r="H459" s="246"/>
      <c r="I459" s="402"/>
      <c r="J459" s="1187"/>
      <c r="K459" s="1187"/>
    </row>
    <row r="460" spans="1:11" ht="18" hidden="1" customHeight="1" outlineLevel="1" thickBot="1" x14ac:dyDescent="0.3">
      <c r="A460" s="1187"/>
      <c r="B460" s="323" t="s">
        <v>1880</v>
      </c>
      <c r="C460" s="2149" t="s">
        <v>2918</v>
      </c>
      <c r="D460" s="2149" t="s">
        <v>1881</v>
      </c>
      <c r="E460" s="403">
        <f>q_HFO_RED*((θ_q_HFO_RED)^((T__)-(T_base)))</f>
        <v>2</v>
      </c>
      <c r="F460" s="403" t="s">
        <v>443</v>
      </c>
      <c r="G460" s="324">
        <v>2</v>
      </c>
      <c r="H460" s="324"/>
      <c r="I460" s="404"/>
      <c r="J460" s="1187"/>
      <c r="K460" s="1187"/>
    </row>
    <row r="461" spans="1:11" customFormat="1" ht="18" customHeight="1" collapsed="1" thickBot="1" x14ac:dyDescent="0.3">
      <c r="A461" s="1281"/>
      <c r="B461" s="1285"/>
      <c r="C461" s="1285"/>
      <c r="D461" s="1285"/>
      <c r="E461" s="2527"/>
      <c r="F461" s="1285"/>
      <c r="G461" s="1285"/>
      <c r="H461" s="1285"/>
      <c r="I461" s="1285"/>
      <c r="J461" s="1281"/>
      <c r="K461" s="1281"/>
    </row>
    <row r="462" spans="1:11" customFormat="1" ht="18" customHeight="1" thickBot="1" x14ac:dyDescent="0.3">
      <c r="A462" s="1281"/>
      <c r="B462" s="1187"/>
      <c r="C462" s="1390" t="s">
        <v>336</v>
      </c>
      <c r="D462" s="1335" t="s">
        <v>317</v>
      </c>
      <c r="E462" s="1335"/>
      <c r="F462" s="1187"/>
      <c r="G462" s="1187"/>
      <c r="H462" s="1187"/>
      <c r="I462" s="1187"/>
      <c r="J462" s="1281"/>
      <c r="K462" s="1281"/>
    </row>
    <row r="463" spans="1:11" customFormat="1" ht="18" customHeight="1" thickBot="1" x14ac:dyDescent="0.3">
      <c r="A463" s="1281"/>
      <c r="B463" s="2532" t="s">
        <v>0</v>
      </c>
      <c r="C463" s="2535" t="s">
        <v>1</v>
      </c>
      <c r="D463" s="2538" t="s">
        <v>5</v>
      </c>
      <c r="E463" s="2538" t="s">
        <v>152</v>
      </c>
      <c r="F463" s="2538" t="s">
        <v>2</v>
      </c>
      <c r="G463" s="2538" t="s">
        <v>298</v>
      </c>
      <c r="H463" s="2538" t="s">
        <v>116</v>
      </c>
      <c r="I463" s="2541" t="s">
        <v>117</v>
      </c>
      <c r="J463" s="1281"/>
      <c r="K463" s="1281"/>
    </row>
    <row r="464" spans="1:11" ht="18" hidden="1" customHeight="1" outlineLevel="1" x14ac:dyDescent="0.25">
      <c r="A464" s="1187"/>
      <c r="B464" s="261" t="s">
        <v>909</v>
      </c>
      <c r="C464" s="2150" t="s">
        <v>906</v>
      </c>
      <c r="D464" s="2150" t="s">
        <v>1864</v>
      </c>
      <c r="E464" s="405">
        <f>1.82483*10^6*ρ__^(0.5)*(ε__*T_K)^(-1.5)</f>
        <v>0.50517320931567189</v>
      </c>
      <c r="F464" s="262" t="s">
        <v>1906</v>
      </c>
      <c r="G464" s="262">
        <v>3</v>
      </c>
      <c r="H464" s="262" t="s">
        <v>11</v>
      </c>
      <c r="I464" s="406"/>
      <c r="J464" s="1187"/>
      <c r="K464" s="1187"/>
    </row>
    <row r="465" spans="1:11" ht="18" hidden="1" customHeight="1" outlineLevel="1" x14ac:dyDescent="0.25">
      <c r="A465" s="1187"/>
      <c r="B465" s="261" t="s">
        <v>908</v>
      </c>
      <c r="C465" s="2150" t="s">
        <v>3006</v>
      </c>
      <c r="D465" s="2150" t="s">
        <v>943</v>
      </c>
      <c r="E465" s="405">
        <f>2727.586+0.6224107*T_K-466.9151*LN(T_K)-(52000.87/T_K)</f>
        <v>80.261801298291488</v>
      </c>
      <c r="F465" s="262" t="s">
        <v>1906</v>
      </c>
      <c r="G465" s="262">
        <v>3</v>
      </c>
      <c r="H465" s="262" t="s">
        <v>11</v>
      </c>
      <c r="I465" s="406"/>
      <c r="J465" s="1187"/>
      <c r="K465" s="1187"/>
    </row>
    <row r="466" spans="1:11" ht="18" hidden="1" customHeight="1" outlineLevel="1" x14ac:dyDescent="0.25">
      <c r="A466" s="1187"/>
      <c r="B466" s="261" t="s">
        <v>910</v>
      </c>
      <c r="C466" s="2150" t="s">
        <v>3007</v>
      </c>
      <c r="D466" s="2150" t="s">
        <v>907</v>
      </c>
      <c r="E466" s="405">
        <f>1-(T__-3.9863)^2*(T__+288.9414)/(508929.2*(T__+68.12963))+0.011445*EXP(-374.3/T__)</f>
        <v>0.99823363622515204</v>
      </c>
      <c r="F466" s="262" t="s">
        <v>1906</v>
      </c>
      <c r="G466" s="262">
        <v>3</v>
      </c>
      <c r="H466" s="262" t="s">
        <v>11</v>
      </c>
      <c r="I466" s="406"/>
      <c r="J466" s="1187"/>
      <c r="K466" s="1187"/>
    </row>
    <row r="467" spans="1:11" ht="18" hidden="1" customHeight="1" outlineLevel="1" x14ac:dyDescent="0.25">
      <c r="A467" s="1187"/>
      <c r="B467" s="263" t="s">
        <v>3409</v>
      </c>
      <c r="C467" s="2151" t="s">
        <v>3410</v>
      </c>
      <c r="D467" s="2152" t="s">
        <v>3411</v>
      </c>
      <c r="E467" s="750">
        <f>f_mono_ISlim-I_Slim*S_lopeIS_corr</f>
        <v>0.78560775368648972</v>
      </c>
      <c r="F467" s="496" t="s">
        <v>1906</v>
      </c>
      <c r="G467" s="496">
        <v>3</v>
      </c>
      <c r="H467" s="496" t="s">
        <v>11</v>
      </c>
      <c r="I467" s="752"/>
      <c r="J467" s="1187"/>
      <c r="K467" s="1187"/>
    </row>
    <row r="468" spans="1:11" ht="18" hidden="1" customHeight="1" outlineLevel="1" x14ac:dyDescent="0.25">
      <c r="A468" s="1187"/>
      <c r="B468" s="263" t="s">
        <v>3412</v>
      </c>
      <c r="C468" s="2151" t="s">
        <v>3413</v>
      </c>
      <c r="D468" s="2152" t="s">
        <v>3414</v>
      </c>
      <c r="E468" s="750">
        <f>f_di_ISlim-I_Slim*S_lopeIS_corr</f>
        <v>0.38072284713919508</v>
      </c>
      <c r="F468" s="496" t="s">
        <v>1906</v>
      </c>
      <c r="G468" s="496">
        <v>3</v>
      </c>
      <c r="H468" s="496" t="s">
        <v>11</v>
      </c>
      <c r="I468" s="752"/>
      <c r="J468" s="1187"/>
      <c r="K468" s="1187"/>
    </row>
    <row r="469" spans="1:11" ht="18" hidden="1" customHeight="1" outlineLevel="1" x14ac:dyDescent="0.25">
      <c r="A469" s="1187"/>
      <c r="B469" s="263" t="s">
        <v>3415</v>
      </c>
      <c r="C469" s="2151" t="s">
        <v>3416</v>
      </c>
      <c r="D469" s="2152" t="s">
        <v>3417</v>
      </c>
      <c r="E469" s="750">
        <f>f_tri_ISlim-I_Slim*S_lopeIS_corr</f>
        <v>0.11392518696837291</v>
      </c>
      <c r="F469" s="496" t="s">
        <v>1906</v>
      </c>
      <c r="G469" s="496">
        <v>3</v>
      </c>
      <c r="H469" s="496" t="s">
        <v>11</v>
      </c>
      <c r="I469" s="752"/>
      <c r="J469" s="1187"/>
      <c r="K469" s="1187"/>
    </row>
    <row r="470" spans="1:11" ht="18" hidden="1" customHeight="1" outlineLevel="1" x14ac:dyDescent="0.25">
      <c r="A470" s="1187"/>
      <c r="B470" s="263" t="s">
        <v>3418</v>
      </c>
      <c r="C470" s="2151" t="s">
        <v>3419</v>
      </c>
      <c r="D470" s="2152" t="s">
        <v>2019</v>
      </c>
      <c r="E470" s="750">
        <f>10^(-A_Davies*1^(2)*(I_Slim^(0.5)/(1+1.5*I_Slim^(0.5))-0.3*I_Slim))</f>
        <v>0.78540775368648974</v>
      </c>
      <c r="F470" s="496" t="s">
        <v>1906</v>
      </c>
      <c r="G470" s="496">
        <v>3</v>
      </c>
      <c r="H470" s="496" t="s">
        <v>11</v>
      </c>
      <c r="I470" s="752"/>
      <c r="J470" s="1187"/>
      <c r="K470" s="1187"/>
    </row>
    <row r="471" spans="1:11" ht="18" hidden="1" customHeight="1" outlineLevel="1" x14ac:dyDescent="0.25">
      <c r="A471" s="1187"/>
      <c r="B471" s="753" t="s">
        <v>3420</v>
      </c>
      <c r="C471" s="2152" t="s">
        <v>3421</v>
      </c>
      <c r="D471" s="2152" t="s">
        <v>2020</v>
      </c>
      <c r="E471" s="754">
        <f>10^(-A_Davies*2^(2)*(I_Slim^(0.5)/(1+1.5*I_Slim^(0.5))-0.3*I_Slim))</f>
        <v>0.3805228471391951</v>
      </c>
      <c r="F471" s="755" t="s">
        <v>1906</v>
      </c>
      <c r="G471" s="756">
        <v>3</v>
      </c>
      <c r="H471" s="749" t="s">
        <v>11</v>
      </c>
      <c r="I471" s="757"/>
      <c r="J471" s="1187"/>
      <c r="K471" s="1187"/>
    </row>
    <row r="472" spans="1:11" ht="18" hidden="1" customHeight="1" outlineLevel="1" x14ac:dyDescent="0.25">
      <c r="A472" s="1187"/>
      <c r="B472" s="1515" t="s">
        <v>3422</v>
      </c>
      <c r="C472" s="2109" t="s">
        <v>3423</v>
      </c>
      <c r="D472" s="2109" t="s">
        <v>2021</v>
      </c>
      <c r="E472" s="1516">
        <f>10^(-A_Davies*3^(2)*(I_Slim^(0.5)/(1+1.5*I_Slim^(0.5))-0.3*I_Slim))</f>
        <v>0.1137251869683729</v>
      </c>
      <c r="F472" s="1516" t="s">
        <v>1906</v>
      </c>
      <c r="G472" s="1517">
        <v>3</v>
      </c>
      <c r="H472" s="1473" t="s">
        <v>11</v>
      </c>
      <c r="I472" s="1518"/>
      <c r="J472" s="1187"/>
      <c r="K472" s="1187"/>
    </row>
    <row r="473" spans="1:11" ht="18" hidden="1" customHeight="1" outlineLevel="1" x14ac:dyDescent="0.25">
      <c r="A473" s="1187"/>
      <c r="B473" s="1515" t="s">
        <v>337</v>
      </c>
      <c r="C473" s="2109" t="s">
        <v>338</v>
      </c>
      <c r="D473" s="2109" t="s">
        <v>3424</v>
      </c>
      <c r="E473" s="1516">
        <f>IF(I_S&lt;I_Slim,10^(-A_Davies*1^(2)*(I_S^(0.5)/(1+1.5*I_S^(0.5))-0.3*I_S)),S_lopeIS_corr*I_S+y_fmono)</f>
        <v>0.87920810737341937</v>
      </c>
      <c r="F473" s="1473" t="s">
        <v>1906</v>
      </c>
      <c r="G473" s="1517">
        <v>3</v>
      </c>
      <c r="H473" s="1473" t="s">
        <v>11</v>
      </c>
      <c r="I473" s="1518"/>
      <c r="J473" s="1187"/>
      <c r="K473" s="1187"/>
    </row>
    <row r="474" spans="1:11" ht="18" hidden="1" customHeight="1" outlineLevel="1" x14ac:dyDescent="0.25">
      <c r="A474" s="1187"/>
      <c r="B474" s="753" t="s">
        <v>339</v>
      </c>
      <c r="C474" s="2152" t="s">
        <v>340</v>
      </c>
      <c r="D474" s="2152" t="s">
        <v>3425</v>
      </c>
      <c r="E474" s="754">
        <f>IF(I_S&lt;I_Slim,10^(-A_Davies*2^(2)*(I_S^(0.5)/(1+1.5*I_S^(0.5))-0.3*I_S)),S_lopeIS_corr*I_S+y_fdi)</f>
        <v>0.59753966137355408</v>
      </c>
      <c r="F474" s="755" t="s">
        <v>1906</v>
      </c>
      <c r="G474" s="756">
        <v>3</v>
      </c>
      <c r="H474" s="749" t="s">
        <v>11</v>
      </c>
      <c r="I474" s="757"/>
      <c r="J474" s="1187"/>
      <c r="K474" s="1187"/>
    </row>
    <row r="475" spans="1:11" ht="18" hidden="1" customHeight="1" outlineLevel="1" thickBot="1" x14ac:dyDescent="0.3">
      <c r="A475" s="1187"/>
      <c r="B475" s="758" t="s">
        <v>341</v>
      </c>
      <c r="C475" s="909" t="s">
        <v>342</v>
      </c>
      <c r="D475" s="909" t="s">
        <v>3426</v>
      </c>
      <c r="E475" s="760">
        <f>IF(I_S&lt;I_Slim,10^(-A_Davies*3^(2)*(I_S^(0.5)/(1+1.5*I_S^(0.5))-0.3*I_S)),S_lopeIS_corr*I_S+y_ftri)</f>
        <v>0.31392446113440575</v>
      </c>
      <c r="F475" s="760" t="s">
        <v>1906</v>
      </c>
      <c r="G475" s="761">
        <v>3</v>
      </c>
      <c r="H475" s="759" t="s">
        <v>11</v>
      </c>
      <c r="I475" s="762"/>
      <c r="J475" s="1187"/>
      <c r="K475" s="1187"/>
    </row>
    <row r="476" spans="1:11" customFormat="1" ht="18" customHeight="1" collapsed="1" thickBot="1" x14ac:dyDescent="0.3">
      <c r="A476" s="1281"/>
      <c r="B476" s="1285"/>
      <c r="C476" s="1285"/>
      <c r="D476" s="1285"/>
      <c r="E476" s="2527"/>
      <c r="F476" s="1285"/>
      <c r="G476" s="1285"/>
      <c r="H476" s="1285"/>
      <c r="I476" s="1285"/>
      <c r="J476" s="1281"/>
      <c r="K476" s="1281"/>
    </row>
    <row r="477" spans="1:11" customFormat="1" ht="18" customHeight="1" thickBot="1" x14ac:dyDescent="0.3">
      <c r="A477" s="1281"/>
      <c r="B477" s="1187"/>
      <c r="C477" s="1390" t="s">
        <v>945</v>
      </c>
      <c r="D477" s="1335" t="s">
        <v>317</v>
      </c>
      <c r="E477" s="1335"/>
      <c r="F477" s="1187"/>
      <c r="G477" s="1187"/>
      <c r="H477" s="1187"/>
      <c r="I477" s="1187"/>
      <c r="J477" s="1281"/>
      <c r="K477" s="1281"/>
    </row>
    <row r="478" spans="1:11" customFormat="1" ht="18" customHeight="1" thickBot="1" x14ac:dyDescent="0.3">
      <c r="A478" s="1281"/>
      <c r="B478" s="2532" t="s">
        <v>0</v>
      </c>
      <c r="C478" s="2535" t="s">
        <v>1</v>
      </c>
      <c r="D478" s="2538" t="s">
        <v>5</v>
      </c>
      <c r="E478" s="2538" t="s">
        <v>152</v>
      </c>
      <c r="F478" s="2538" t="s">
        <v>2</v>
      </c>
      <c r="G478" s="2538" t="s">
        <v>298</v>
      </c>
      <c r="H478" s="2538" t="s">
        <v>116</v>
      </c>
      <c r="I478" s="2541" t="s">
        <v>117</v>
      </c>
      <c r="J478" s="1281"/>
      <c r="K478" s="1281"/>
    </row>
    <row r="479" spans="1:11" ht="18" hidden="1" customHeight="1" outlineLevel="1" x14ac:dyDescent="0.25">
      <c r="A479" s="1187"/>
      <c r="B479" s="269" t="s">
        <v>946</v>
      </c>
      <c r="C479" s="2153" t="s">
        <v>2922</v>
      </c>
      <c r="D479" s="2154" t="s">
        <v>3233</v>
      </c>
      <c r="E479" s="435">
        <f>K_W_param*EXP(d_Hdiss_H2O/R__*(1/T_st_K-1/T_K))</f>
        <v>6.7545152316627035E-15</v>
      </c>
      <c r="F479" s="262" t="s">
        <v>1906</v>
      </c>
      <c r="G479" s="412">
        <v>3</v>
      </c>
      <c r="H479" s="270" t="s">
        <v>11</v>
      </c>
      <c r="I479" s="413"/>
      <c r="J479" s="1187"/>
      <c r="K479" s="1187"/>
    </row>
    <row r="480" spans="1:11" ht="18" hidden="1" customHeight="1" outlineLevel="1" x14ac:dyDescent="0.25">
      <c r="A480" s="1187"/>
      <c r="B480" s="267" t="s">
        <v>947</v>
      </c>
      <c r="C480" s="565" t="s">
        <v>2923</v>
      </c>
      <c r="D480" s="2155" t="s">
        <v>1865</v>
      </c>
      <c r="E480" s="407">
        <f>10^(-(3404.7/T_K-14.8435+T_K*0.03279))</f>
        <v>4.1392419480646479E-7</v>
      </c>
      <c r="F480" s="262" t="s">
        <v>1906</v>
      </c>
      <c r="G480" s="408">
        <v>3</v>
      </c>
      <c r="H480" s="264" t="s">
        <v>11</v>
      </c>
      <c r="I480" s="409"/>
      <c r="J480" s="1187"/>
      <c r="K480" s="1187"/>
    </row>
    <row r="481" spans="1:11" ht="18" hidden="1" customHeight="1" outlineLevel="1" x14ac:dyDescent="0.25">
      <c r="A481" s="1187"/>
      <c r="B481" s="267" t="s">
        <v>948</v>
      </c>
      <c r="C481" s="565" t="s">
        <v>2924</v>
      </c>
      <c r="D481" s="2155" t="s">
        <v>1866</v>
      </c>
      <c r="E481" s="407">
        <f>10^(-(2902.4/T_K-6.498+T_K*0.02379))</f>
        <v>4.1997949506593592E-11</v>
      </c>
      <c r="F481" s="262" t="s">
        <v>1906</v>
      </c>
      <c r="G481" s="408">
        <v>3</v>
      </c>
      <c r="H481" s="264" t="s">
        <v>11</v>
      </c>
      <c r="I481" s="409"/>
      <c r="J481" s="1187"/>
      <c r="K481" s="1187"/>
    </row>
    <row r="482" spans="1:11" ht="18" hidden="1" customHeight="1" outlineLevel="1" x14ac:dyDescent="0.25">
      <c r="A482" s="1187"/>
      <c r="B482" s="267" t="s">
        <v>949</v>
      </c>
      <c r="C482" s="565" t="s">
        <v>2925</v>
      </c>
      <c r="D482" s="2155" t="s">
        <v>1867</v>
      </c>
      <c r="E482" s="407">
        <f>10^(-(799.3/T_K-4.5535+T_K*0.01349))</f>
        <v>7.4527408036475567E-3</v>
      </c>
      <c r="F482" s="262" t="s">
        <v>1906</v>
      </c>
      <c r="G482" s="408">
        <v>3</v>
      </c>
      <c r="H482" s="264" t="s">
        <v>11</v>
      </c>
      <c r="I482" s="409"/>
      <c r="J482" s="1187"/>
      <c r="K482" s="1187"/>
    </row>
    <row r="483" spans="1:11" ht="18" hidden="1" customHeight="1" outlineLevel="1" x14ac:dyDescent="0.25">
      <c r="A483" s="1187"/>
      <c r="B483" s="267" t="s">
        <v>950</v>
      </c>
      <c r="C483" s="565" t="s">
        <v>2926</v>
      </c>
      <c r="D483" s="2155" t="s">
        <v>1868</v>
      </c>
      <c r="E483" s="407">
        <f>10^(-(1979.5/T_K-5.3541+T_K*0.01984))</f>
        <v>6.1022250881622208E-8</v>
      </c>
      <c r="F483" s="262" t="s">
        <v>1906</v>
      </c>
      <c r="G483" s="408">
        <v>3</v>
      </c>
      <c r="H483" s="264" t="s">
        <v>11</v>
      </c>
      <c r="I483" s="409"/>
      <c r="J483" s="1187"/>
      <c r="K483" s="1187"/>
    </row>
    <row r="484" spans="1:11" ht="18" hidden="1" customHeight="1" outlineLevel="1" x14ac:dyDescent="0.25">
      <c r="A484" s="1187"/>
      <c r="B484" s="267" t="s">
        <v>951</v>
      </c>
      <c r="C484" s="565" t="s">
        <v>2927</v>
      </c>
      <c r="D484" s="2155" t="s">
        <v>3234</v>
      </c>
      <c r="E484" s="407">
        <f>K_P3_param*EXP(d_Hdiss_PO4_3/R__*(1/T_st_K-1/T_K))</f>
        <v>3.7853629756273106E-13</v>
      </c>
      <c r="F484" s="407" t="s">
        <v>1906</v>
      </c>
      <c r="G484" s="408">
        <v>3</v>
      </c>
      <c r="H484" s="264" t="s">
        <v>11</v>
      </c>
      <c r="I484" s="409"/>
      <c r="J484" s="1187"/>
      <c r="K484" s="1187"/>
    </row>
    <row r="485" spans="1:11" ht="18" hidden="1" customHeight="1" outlineLevel="1" x14ac:dyDescent="0.25">
      <c r="A485" s="1187"/>
      <c r="B485" s="267" t="s">
        <v>2953</v>
      </c>
      <c r="C485" s="565" t="s">
        <v>2928</v>
      </c>
      <c r="D485" s="2155" t="s">
        <v>1869</v>
      </c>
      <c r="E485" s="407">
        <f>10^(-(1170.5/T_K-3.165+T_K*0.0134))</f>
        <v>1.7536929986944336E-5</v>
      </c>
      <c r="F485" s="407" t="s">
        <v>1906</v>
      </c>
      <c r="G485" s="408">
        <v>3</v>
      </c>
      <c r="H485" s="264" t="s">
        <v>11</v>
      </c>
      <c r="I485" s="409"/>
      <c r="J485" s="1187"/>
      <c r="K485" s="1187"/>
    </row>
    <row r="486" spans="1:11" ht="18" hidden="1" customHeight="1" outlineLevel="1" x14ac:dyDescent="0.25">
      <c r="A486" s="1187"/>
      <c r="B486" s="267" t="s">
        <v>2954</v>
      </c>
      <c r="C486" s="565" t="s">
        <v>2938</v>
      </c>
      <c r="D486" s="2155" t="s">
        <v>3235</v>
      </c>
      <c r="E486" s="407">
        <f>K_NO2_param*EXP(d_Hdiss_NO2/R__*(1/T_st_K-1/T_K))</f>
        <v>4.0484694649180739E-4</v>
      </c>
      <c r="F486" s="496" t="s">
        <v>1906</v>
      </c>
      <c r="G486" s="408">
        <v>3</v>
      </c>
      <c r="H486" s="264" t="s">
        <v>11</v>
      </c>
      <c r="I486" s="409"/>
      <c r="J486" s="1187"/>
      <c r="K486" s="1187"/>
    </row>
    <row r="487" spans="1:11" ht="18" hidden="1" customHeight="1" outlineLevel="1" thickBot="1" x14ac:dyDescent="0.3">
      <c r="A487" s="1187"/>
      <c r="B487" s="268" t="s">
        <v>2944</v>
      </c>
      <c r="C487" s="437" t="s">
        <v>2929</v>
      </c>
      <c r="D487" s="437" t="s">
        <v>1057</v>
      </c>
      <c r="E487" s="414">
        <f>10^(-(2835.8/T_K-0.6322+0.00123*T_K))</f>
        <v>3.9635061259550542E-10</v>
      </c>
      <c r="F487" s="414" t="s">
        <v>1906</v>
      </c>
      <c r="G487" s="410">
        <v>3</v>
      </c>
      <c r="H487" s="266" t="s">
        <v>11</v>
      </c>
      <c r="I487" s="411"/>
      <c r="J487" s="1187"/>
      <c r="K487" s="1187"/>
    </row>
    <row r="488" spans="1:11" customFormat="1" ht="18" customHeight="1" collapsed="1" thickBot="1" x14ac:dyDescent="0.3">
      <c r="A488" s="1281"/>
      <c r="B488" s="1285"/>
      <c r="C488" s="1285"/>
      <c r="D488" s="1285"/>
      <c r="E488" s="2527"/>
      <c r="F488" s="1285"/>
      <c r="G488" s="1285"/>
      <c r="H488" s="1285"/>
      <c r="I488" s="1285"/>
      <c r="J488" s="1281"/>
      <c r="K488" s="1281"/>
    </row>
    <row r="489" spans="1:11" customFormat="1" ht="18" customHeight="1" thickBot="1" x14ac:dyDescent="0.3">
      <c r="A489" s="1281"/>
      <c r="B489" s="1187"/>
      <c r="C489" s="1390" t="s">
        <v>983</v>
      </c>
      <c r="D489" s="1335" t="s">
        <v>317</v>
      </c>
      <c r="E489" s="1335"/>
      <c r="F489" s="1187"/>
      <c r="G489" s="1187"/>
      <c r="H489" s="1187"/>
      <c r="I489" s="1187"/>
      <c r="J489" s="1281"/>
      <c r="K489" s="1281"/>
    </row>
    <row r="490" spans="1:11" customFormat="1" ht="18" customHeight="1" thickBot="1" x14ac:dyDescent="0.3">
      <c r="A490" s="1281"/>
      <c r="B490" s="2532" t="s">
        <v>0</v>
      </c>
      <c r="C490" s="2535" t="s">
        <v>1</v>
      </c>
      <c r="D490" s="2538" t="s">
        <v>5</v>
      </c>
      <c r="E490" s="2538" t="s">
        <v>152</v>
      </c>
      <c r="F490" s="2538" t="s">
        <v>2</v>
      </c>
      <c r="G490" s="2538" t="s">
        <v>298</v>
      </c>
      <c r="H490" s="2538" t="s">
        <v>116</v>
      </c>
      <c r="I490" s="2541" t="s">
        <v>117</v>
      </c>
      <c r="J490" s="1281"/>
      <c r="K490" s="1281"/>
    </row>
    <row r="491" spans="1:11" ht="18" hidden="1" customHeight="1" outlineLevel="1" x14ac:dyDescent="0.25">
      <c r="A491" s="1187"/>
      <c r="B491" s="327" t="s">
        <v>343</v>
      </c>
      <c r="C491" s="2153" t="s">
        <v>2930</v>
      </c>
      <c r="D491" s="2156" t="s">
        <v>952</v>
      </c>
      <c r="E491" s="436">
        <f>K_W_T/f_mono^2</f>
        <v>8.7379753867564399E-15</v>
      </c>
      <c r="F491" s="314" t="s">
        <v>1906</v>
      </c>
      <c r="G491" s="415">
        <v>3</v>
      </c>
      <c r="H491" s="314" t="s">
        <v>11</v>
      </c>
      <c r="I491" s="416"/>
      <c r="J491" s="1187"/>
      <c r="K491" s="1187"/>
    </row>
    <row r="492" spans="1:11" ht="18" hidden="1" customHeight="1" outlineLevel="1" x14ac:dyDescent="0.25">
      <c r="A492" s="1187"/>
      <c r="B492" s="267" t="s">
        <v>344</v>
      </c>
      <c r="C492" s="565" t="s">
        <v>2931</v>
      </c>
      <c r="D492" s="2155" t="s">
        <v>953</v>
      </c>
      <c r="E492" s="407">
        <f>K_C1_T/f_mono^2</f>
        <v>5.3547283589610541E-7</v>
      </c>
      <c r="F492" s="264" t="s">
        <v>1906</v>
      </c>
      <c r="G492" s="408">
        <v>3</v>
      </c>
      <c r="H492" s="264" t="s">
        <v>11</v>
      </c>
      <c r="I492" s="409"/>
      <c r="J492" s="1187"/>
      <c r="K492" s="1187"/>
    </row>
    <row r="493" spans="1:11" ht="18" hidden="1" customHeight="1" outlineLevel="1" x14ac:dyDescent="0.25">
      <c r="A493" s="1187"/>
      <c r="B493" s="267" t="s">
        <v>345</v>
      </c>
      <c r="C493" s="565" t="s">
        <v>2932</v>
      </c>
      <c r="D493" s="2155" t="s">
        <v>954</v>
      </c>
      <c r="E493" s="407">
        <f>K_C2_T/f_di</f>
        <v>7.0284789816384129E-11</v>
      </c>
      <c r="F493" s="264" t="s">
        <v>1906</v>
      </c>
      <c r="G493" s="408">
        <v>3</v>
      </c>
      <c r="H493" s="264" t="s">
        <v>11</v>
      </c>
      <c r="I493" s="409"/>
      <c r="J493" s="1187"/>
      <c r="K493" s="1187"/>
    </row>
    <row r="494" spans="1:11" ht="18" hidden="1" customHeight="1" outlineLevel="1" x14ac:dyDescent="0.25">
      <c r="A494" s="1187"/>
      <c r="B494" s="267" t="s">
        <v>355</v>
      </c>
      <c r="C494" s="565" t="s">
        <v>2933</v>
      </c>
      <c r="D494" s="2155" t="s">
        <v>955</v>
      </c>
      <c r="E494" s="407">
        <f>K_P1_T/f_mono^2</f>
        <v>9.6412345627529591E-3</v>
      </c>
      <c r="F494" s="264" t="s">
        <v>1906</v>
      </c>
      <c r="G494" s="408">
        <v>3</v>
      </c>
      <c r="H494" s="264" t="s">
        <v>11</v>
      </c>
      <c r="I494" s="409"/>
      <c r="J494" s="1187"/>
      <c r="K494" s="1187"/>
    </row>
    <row r="495" spans="1:11" ht="18" hidden="1" customHeight="1" outlineLevel="1" x14ac:dyDescent="0.25">
      <c r="A495" s="1187"/>
      <c r="B495" s="267" t="s">
        <v>356</v>
      </c>
      <c r="C495" s="565" t="s">
        <v>2934</v>
      </c>
      <c r="D495" s="2155" t="s">
        <v>956</v>
      </c>
      <c r="E495" s="407">
        <f>K_P2_T/f_di</f>
        <v>1.0212251140175602E-7</v>
      </c>
      <c r="F495" s="264" t="s">
        <v>1906</v>
      </c>
      <c r="G495" s="408">
        <v>3</v>
      </c>
      <c r="H495" s="264" t="s">
        <v>11</v>
      </c>
      <c r="I495" s="409"/>
      <c r="J495" s="1187"/>
      <c r="K495" s="1187"/>
    </row>
    <row r="496" spans="1:11" ht="18" hidden="1" customHeight="1" outlineLevel="1" x14ac:dyDescent="0.25">
      <c r="A496" s="1187"/>
      <c r="B496" s="267" t="s">
        <v>357</v>
      </c>
      <c r="C496" s="565" t="s">
        <v>2935</v>
      </c>
      <c r="D496" s="2155" t="s">
        <v>957</v>
      </c>
      <c r="E496" s="407">
        <f>K_P3_T/(f_mono*f_tri)*f_di</f>
        <v>8.1951597738298681E-13</v>
      </c>
      <c r="F496" s="407" t="s">
        <v>1906</v>
      </c>
      <c r="G496" s="408">
        <v>3</v>
      </c>
      <c r="H496" s="264" t="s">
        <v>11</v>
      </c>
      <c r="I496" s="409"/>
      <c r="J496" s="1187"/>
      <c r="K496" s="1187"/>
    </row>
    <row r="497" spans="1:11" ht="18" hidden="1" customHeight="1" outlineLevel="1" x14ac:dyDescent="0.25">
      <c r="A497" s="1187"/>
      <c r="B497" s="589" t="s">
        <v>2939</v>
      </c>
      <c r="C497" s="565" t="s">
        <v>2936</v>
      </c>
      <c r="D497" s="565" t="s">
        <v>2940</v>
      </c>
      <c r="E497" s="407">
        <f>K_Ac_T/f_mono^2</f>
        <v>2.268664105854261E-5</v>
      </c>
      <c r="F497" s="407" t="s">
        <v>1906</v>
      </c>
      <c r="G497" s="408">
        <v>3</v>
      </c>
      <c r="H497" s="264" t="s">
        <v>11</v>
      </c>
      <c r="I497" s="409"/>
      <c r="J497" s="1187"/>
      <c r="K497" s="1187"/>
    </row>
    <row r="498" spans="1:11" s="104" customFormat="1" ht="18" hidden="1" customHeight="1" outlineLevel="1" x14ac:dyDescent="0.25">
      <c r="A498" s="1185"/>
      <c r="B498" s="589" t="s">
        <v>2941</v>
      </c>
      <c r="C498" s="565" t="s">
        <v>3008</v>
      </c>
      <c r="D498" s="565" t="s">
        <v>2942</v>
      </c>
      <c r="E498" s="407">
        <f>K_NO2_T/f_mono^2</f>
        <v>5.2373005797162243E-4</v>
      </c>
      <c r="F498" s="496" t="s">
        <v>1906</v>
      </c>
      <c r="G498" s="408">
        <v>3</v>
      </c>
      <c r="H498" s="264" t="s">
        <v>11</v>
      </c>
      <c r="I498" s="409"/>
      <c r="J498" s="1185"/>
      <c r="K498" s="1185"/>
    </row>
    <row r="499" spans="1:11" ht="18" hidden="1" customHeight="1" outlineLevel="1" thickBot="1" x14ac:dyDescent="0.3">
      <c r="A499" s="1187"/>
      <c r="B499" s="593" t="s">
        <v>2943</v>
      </c>
      <c r="C499" s="437" t="s">
        <v>2937</v>
      </c>
      <c r="D499" s="2157" t="s">
        <v>2944</v>
      </c>
      <c r="E499" s="414">
        <f>K_NH3_T</f>
        <v>3.9635061259550542E-10</v>
      </c>
      <c r="F499" s="414" t="s">
        <v>1906</v>
      </c>
      <c r="G499" s="410">
        <v>3</v>
      </c>
      <c r="H499" s="266" t="s">
        <v>11</v>
      </c>
      <c r="I499" s="411"/>
      <c r="J499" s="1187"/>
      <c r="K499" s="1187"/>
    </row>
    <row r="500" spans="1:11" customFormat="1" ht="18" customHeight="1" collapsed="1" thickBot="1" x14ac:dyDescent="0.3">
      <c r="A500" s="1281"/>
      <c r="B500" s="1285"/>
      <c r="C500" s="1285"/>
      <c r="D500" s="1285"/>
      <c r="E500" s="2527"/>
      <c r="F500" s="1285"/>
      <c r="G500" s="1285"/>
      <c r="H500" s="1285"/>
      <c r="I500" s="1285"/>
      <c r="J500" s="1281"/>
      <c r="K500" s="1281"/>
    </row>
    <row r="501" spans="1:11" customFormat="1" ht="18" customHeight="1" thickBot="1" x14ac:dyDescent="0.3">
      <c r="A501" s="1281"/>
      <c r="B501" s="1187"/>
      <c r="C501" s="1390" t="s">
        <v>1320</v>
      </c>
      <c r="D501" s="1335" t="s">
        <v>317</v>
      </c>
      <c r="E501" s="1335"/>
      <c r="F501" s="1187"/>
      <c r="G501" s="1187"/>
      <c r="H501" s="1187"/>
      <c r="I501" s="1187"/>
      <c r="J501" s="1281"/>
      <c r="K501" s="1281"/>
    </row>
    <row r="502" spans="1:11" customFormat="1" ht="18" customHeight="1" thickBot="1" x14ac:dyDescent="0.3">
      <c r="A502" s="1281"/>
      <c r="B502" s="2532" t="s">
        <v>0</v>
      </c>
      <c r="C502" s="2535" t="s">
        <v>1</v>
      </c>
      <c r="D502" s="2538" t="s">
        <v>5</v>
      </c>
      <c r="E502" s="2538" t="s">
        <v>152</v>
      </c>
      <c r="F502" s="2538" t="s">
        <v>2</v>
      </c>
      <c r="G502" s="2538" t="s">
        <v>298</v>
      </c>
      <c r="H502" s="2538" t="s">
        <v>116</v>
      </c>
      <c r="I502" s="2541" t="s">
        <v>117</v>
      </c>
      <c r="J502" s="1281"/>
      <c r="K502" s="1281"/>
    </row>
    <row r="503" spans="1:11" ht="18" hidden="1" customHeight="1" outlineLevel="1" x14ac:dyDescent="0.25">
      <c r="A503" s="1187"/>
      <c r="B503" s="271" t="s">
        <v>1330</v>
      </c>
      <c r="C503" s="2158" t="s">
        <v>3009</v>
      </c>
      <c r="D503" s="2158" t="s">
        <v>4541</v>
      </c>
      <c r="E503" s="417">
        <f>K_sp_CaCO3_param/f_di</f>
        <v>7.4753798120141423E-7</v>
      </c>
      <c r="F503" s="417" t="s">
        <v>1906</v>
      </c>
      <c r="G503" s="418">
        <v>3</v>
      </c>
      <c r="H503" s="419" t="s">
        <v>11</v>
      </c>
      <c r="I503" s="420"/>
      <c r="J503" s="1187"/>
      <c r="K503" s="1187"/>
    </row>
    <row r="504" spans="1:11" ht="18" hidden="1" customHeight="1" outlineLevel="1" x14ac:dyDescent="0.25">
      <c r="A504" s="1187"/>
      <c r="B504" s="272" t="s">
        <v>1327</v>
      </c>
      <c r="C504" s="2159" t="s">
        <v>3010</v>
      </c>
      <c r="D504" s="2159" t="s">
        <v>4542</v>
      </c>
      <c r="E504" s="407">
        <f>K_sp_STR_param/(f_di^(1/3)*f_mono^(1/3)*f_tri^(1/3))</f>
        <v>1.2614964468037164E-13</v>
      </c>
      <c r="F504" s="407" t="s">
        <v>1906</v>
      </c>
      <c r="G504" s="408">
        <v>3</v>
      </c>
      <c r="H504" s="264" t="s">
        <v>11</v>
      </c>
      <c r="I504" s="409"/>
      <c r="J504" s="1187"/>
      <c r="K504" s="1187"/>
    </row>
    <row r="505" spans="1:11" ht="18" hidden="1" customHeight="1" outlineLevel="1" x14ac:dyDescent="0.25">
      <c r="A505" s="1187"/>
      <c r="B505" s="272" t="s">
        <v>1328</v>
      </c>
      <c r="C505" s="2159" t="s">
        <v>3011</v>
      </c>
      <c r="D505" s="2159" t="s">
        <v>4543</v>
      </c>
      <c r="E505" s="407">
        <f>K_sp_Vivi_param/(f_di^(3/5)*f_tri^(2/5))</f>
        <v>2.1649600914352904E-36</v>
      </c>
      <c r="F505" s="407" t="s">
        <v>1906</v>
      </c>
      <c r="G505" s="408">
        <v>3</v>
      </c>
      <c r="H505" s="264" t="s">
        <v>11</v>
      </c>
      <c r="I505" s="409"/>
      <c r="J505" s="1187"/>
      <c r="K505" s="1187"/>
    </row>
    <row r="506" spans="1:11" ht="18" hidden="1" customHeight="1" outlineLevel="1" x14ac:dyDescent="0.25">
      <c r="A506" s="1187"/>
      <c r="B506" s="272" t="s">
        <v>1329</v>
      </c>
      <c r="C506" s="2159" t="s">
        <v>3012</v>
      </c>
      <c r="D506" s="2159" t="s">
        <v>4544</v>
      </c>
      <c r="E506" s="407">
        <f>K_sp_ACP_param/(f_di^(3/5)*f_tri^(2/5))</f>
        <v>7.5067144345969344E-26</v>
      </c>
      <c r="F506" s="407" t="s">
        <v>1906</v>
      </c>
      <c r="G506" s="408">
        <v>3</v>
      </c>
      <c r="H506" s="264" t="s">
        <v>11</v>
      </c>
      <c r="I506" s="409"/>
      <c r="J506" s="1187"/>
      <c r="K506" s="1187"/>
    </row>
    <row r="507" spans="1:11" ht="18" hidden="1" customHeight="1" outlineLevel="1" thickBot="1" x14ac:dyDescent="0.3">
      <c r="A507" s="1187"/>
      <c r="B507" s="1098" t="s">
        <v>3957</v>
      </c>
      <c r="C507" s="2160" t="s">
        <v>3958</v>
      </c>
      <c r="D507" s="2160" t="s">
        <v>3959</v>
      </c>
      <c r="E507" s="1099">
        <f>K_sp_BSH_param/(f_di^(1/2)*f_di^(1/2))</f>
        <v>4.2037149897892104E-7</v>
      </c>
      <c r="F507" s="1099" t="s">
        <v>1906</v>
      </c>
      <c r="G507" s="761">
        <v>3</v>
      </c>
      <c r="H507" s="759" t="s">
        <v>11</v>
      </c>
      <c r="I507" s="762"/>
      <c r="J507" s="1187"/>
      <c r="K507" s="1187"/>
    </row>
    <row r="508" spans="1:11" customFormat="1" ht="18" customHeight="1" collapsed="1" thickBot="1" x14ac:dyDescent="0.3">
      <c r="A508" s="1281"/>
      <c r="B508" s="1285"/>
      <c r="C508" s="1285"/>
      <c r="D508" s="1285"/>
      <c r="E508" s="2527"/>
      <c r="F508" s="1285"/>
      <c r="G508" s="1285"/>
      <c r="H508" s="1285"/>
      <c r="I508" s="1285"/>
      <c r="J508" s="1281"/>
      <c r="K508" s="1281"/>
    </row>
    <row r="509" spans="1:11" customFormat="1" ht="18" customHeight="1" thickBot="1" x14ac:dyDescent="0.3">
      <c r="A509" s="1281"/>
      <c r="B509" s="1187"/>
      <c r="C509" s="1390" t="s">
        <v>393</v>
      </c>
      <c r="D509" s="1335" t="s">
        <v>317</v>
      </c>
      <c r="E509" s="1335"/>
      <c r="F509" s="1187"/>
      <c r="G509" s="1187"/>
      <c r="H509" s="1187"/>
      <c r="I509" s="1187"/>
      <c r="J509" s="1281"/>
      <c r="K509" s="1281"/>
    </row>
    <row r="510" spans="1:11" customFormat="1" ht="18" customHeight="1" thickBot="1" x14ac:dyDescent="0.3">
      <c r="A510" s="1281"/>
      <c r="B510" s="2532" t="s">
        <v>0</v>
      </c>
      <c r="C510" s="2535" t="s">
        <v>1</v>
      </c>
      <c r="D510" s="2538" t="s">
        <v>5</v>
      </c>
      <c r="E510" s="2538" t="s">
        <v>152</v>
      </c>
      <c r="F510" s="2538" t="s">
        <v>2</v>
      </c>
      <c r="G510" s="2538" t="s">
        <v>298</v>
      </c>
      <c r="H510" s="2538" t="s">
        <v>116</v>
      </c>
      <c r="I510" s="2541" t="s">
        <v>117</v>
      </c>
      <c r="J510" s="1281"/>
      <c r="K510" s="1281"/>
    </row>
    <row r="511" spans="1:11" ht="18" hidden="1" customHeight="1" outlineLevel="1" x14ac:dyDescent="0.25">
      <c r="A511" s="1187"/>
      <c r="B511" s="261" t="s">
        <v>896</v>
      </c>
      <c r="C511" s="2150" t="s">
        <v>897</v>
      </c>
      <c r="D511" s="2150" t="s">
        <v>1902</v>
      </c>
      <c r="E511" s="438">
        <f>conc_Hp_Ieq*K_P2/(conc_Hp_Ieq^3+conc_Hp_Ieq^2*K_P1+K_P2*conc_Hp_Ieq*K_P1+K_P2*K_P1*K_P3)*K_P1*S_PO4/(A_MP*1000)</f>
        <v>2.5493518636920041E-8</v>
      </c>
      <c r="F511" s="262" t="s">
        <v>383</v>
      </c>
      <c r="G511" s="262">
        <v>3</v>
      </c>
      <c r="H511" s="262" t="s">
        <v>11</v>
      </c>
      <c r="I511" s="406"/>
      <c r="J511" s="1187"/>
      <c r="K511" s="1187"/>
    </row>
    <row r="512" spans="1:11" ht="18" hidden="1" customHeight="1" outlineLevel="1" x14ac:dyDescent="0.25">
      <c r="A512" s="1187"/>
      <c r="B512" s="267" t="s">
        <v>898</v>
      </c>
      <c r="C512" s="2155" t="s">
        <v>899</v>
      </c>
      <c r="D512" s="2155" t="s">
        <v>1903</v>
      </c>
      <c r="E512" s="407">
        <f>conc_Hp_Ieq^2*K_P1*S_PO4/(A_MP*1000)/(conc_Hp_Ieq^3+conc_Hp_Ieq^2*K_P1+K_P2*conc_Hp_Ieq*K_P1+K_P2*K_P1*K_P3)</f>
        <v>1.6010694300937341E-5</v>
      </c>
      <c r="F512" s="262" t="s">
        <v>383</v>
      </c>
      <c r="G512" s="264">
        <v>3</v>
      </c>
      <c r="H512" s="264" t="s">
        <v>11</v>
      </c>
      <c r="I512" s="409"/>
      <c r="J512" s="1187"/>
      <c r="K512" s="1187"/>
    </row>
    <row r="513" spans="1:11" ht="18" hidden="1" customHeight="1" outlineLevel="1" x14ac:dyDescent="0.25">
      <c r="A513" s="1187"/>
      <c r="B513" s="267" t="s">
        <v>900</v>
      </c>
      <c r="C513" s="2155" t="s">
        <v>901</v>
      </c>
      <c r="D513" s="2155" t="s">
        <v>2955</v>
      </c>
      <c r="E513" s="407">
        <f>S_VFA/(4*A_MO*1000)*K_Ac/(conc_Hp_Ieq+K_Ac)</f>
        <v>4.0829449054993815E-8</v>
      </c>
      <c r="F513" s="262" t="s">
        <v>383</v>
      </c>
      <c r="G513" s="264">
        <v>3</v>
      </c>
      <c r="H513" s="264" t="s">
        <v>11</v>
      </c>
      <c r="I513" s="409"/>
      <c r="J513" s="1187"/>
      <c r="K513" s="1187"/>
    </row>
    <row r="514" spans="1:11" ht="18" hidden="1" customHeight="1" outlineLevel="1" x14ac:dyDescent="0.25">
      <c r="A514" s="1187"/>
      <c r="B514" s="267" t="s">
        <v>2440</v>
      </c>
      <c r="C514" s="2155" t="s">
        <v>2441</v>
      </c>
      <c r="D514" s="2155" t="s">
        <v>2956</v>
      </c>
      <c r="E514" s="407">
        <f>K_NO2*S_NO2/(A_MN*1000)/(conc_Hp_Ieq+K_NO2)</f>
        <v>6.3605297319967442E-6</v>
      </c>
      <c r="F514" s="496" t="s">
        <v>383</v>
      </c>
      <c r="G514" s="264">
        <v>3</v>
      </c>
      <c r="H514" s="264" t="s">
        <v>11</v>
      </c>
      <c r="I514" s="409"/>
      <c r="J514" s="1187"/>
      <c r="K514" s="1187"/>
    </row>
    <row r="515" spans="1:11" ht="38.25" hidden="1" outlineLevel="1" thickBot="1" x14ac:dyDescent="0.3">
      <c r="A515" s="1187"/>
      <c r="B515" s="265" t="s">
        <v>1284</v>
      </c>
      <c r="C515" s="437" t="s">
        <v>393</v>
      </c>
      <c r="D515" s="437" t="s">
        <v>2442</v>
      </c>
      <c r="E515" s="421">
        <f>(3*conc_PO43m_I+2*conc_HPO42m_I)-2*conc_HPO42m_Ieq+conc_H2PO4m_I-conc_H2PO4m_Ieq+conc_OHm_I+conc_NO2m_I-conc_NO2m_Ieq+conc_NH3_I+2*conc_CO32m_I+conc_HCO3m_I+conc_Acm_I-conc_Acm_Ieq-conc_Hp_I</f>
        <v>5.5299706224952441E-3</v>
      </c>
      <c r="F515" s="421" t="s">
        <v>1904</v>
      </c>
      <c r="G515" s="266">
        <v>4</v>
      </c>
      <c r="H515" s="266" t="s">
        <v>11</v>
      </c>
      <c r="I515" s="411"/>
      <c r="J515" s="1187"/>
      <c r="K515" s="1187"/>
    </row>
    <row r="516" spans="1:11" ht="15.75" collapsed="1" thickBot="1" x14ac:dyDescent="0.3">
      <c r="A516" s="1187"/>
      <c r="B516" s="1187"/>
      <c r="C516" s="1187"/>
      <c r="D516" s="1187"/>
      <c r="E516" s="1187"/>
      <c r="F516" s="1187"/>
      <c r="G516" s="1187"/>
      <c r="H516" s="1187"/>
      <c r="I516" s="1187"/>
      <c r="J516" s="1187"/>
      <c r="K516" s="1187"/>
    </row>
    <row r="517" spans="1:11" ht="15.75" thickBot="1" x14ac:dyDescent="0.3">
      <c r="A517" s="1187"/>
      <c r="B517" s="1187"/>
      <c r="C517" s="1834" t="s">
        <v>4565</v>
      </c>
      <c r="D517" s="1188" t="s">
        <v>317</v>
      </c>
      <c r="E517" s="1187"/>
      <c r="F517" s="1187"/>
      <c r="G517" s="1187"/>
      <c r="H517" s="1187"/>
      <c r="I517" s="1187"/>
      <c r="J517" s="1187"/>
      <c r="K517" s="1187"/>
    </row>
    <row r="518" spans="1:11" ht="15.75" thickBot="1" x14ac:dyDescent="0.3">
      <c r="A518" s="1187"/>
      <c r="B518" s="709" t="s">
        <v>0</v>
      </c>
      <c r="C518" s="2057" t="s">
        <v>1</v>
      </c>
      <c r="D518" s="1452" t="s">
        <v>5</v>
      </c>
      <c r="E518" s="1452" t="s">
        <v>152</v>
      </c>
      <c r="F518" s="1452" t="s">
        <v>2</v>
      </c>
      <c r="G518" s="1452" t="s">
        <v>298</v>
      </c>
      <c r="H518" s="1452" t="s">
        <v>116</v>
      </c>
      <c r="I518" s="710" t="s">
        <v>117</v>
      </c>
      <c r="J518" s="1187"/>
      <c r="K518" s="1187"/>
    </row>
    <row r="519" spans="1:11" hidden="1" outlineLevel="1" x14ac:dyDescent="0.25">
      <c r="A519" s="1187"/>
      <c r="B519" s="854" t="s">
        <v>15</v>
      </c>
      <c r="C519" s="2151" t="s">
        <v>378</v>
      </c>
      <c r="D519" s="2151" t="s">
        <v>4568</v>
      </c>
      <c r="E519" s="2050">
        <f>I_Sinput_AS</f>
        <v>0.02</v>
      </c>
      <c r="F519" s="1668" t="s">
        <v>380</v>
      </c>
      <c r="G519" s="1668">
        <v>3</v>
      </c>
      <c r="H519" s="262" t="s">
        <v>4575</v>
      </c>
      <c r="I519" s="752"/>
      <c r="J519" s="1187"/>
      <c r="K519" s="1187"/>
    </row>
    <row r="520" spans="1:11" hidden="1" outlineLevel="1" x14ac:dyDescent="0.25">
      <c r="A520" s="1187"/>
      <c r="B520" s="1847" t="s">
        <v>15</v>
      </c>
      <c r="C520" s="2161" t="s">
        <v>378</v>
      </c>
      <c r="D520" s="2161" t="s">
        <v>4569</v>
      </c>
      <c r="E520" s="1865">
        <f>I_Sinput_DIG</f>
        <v>0.1</v>
      </c>
      <c r="F520" s="1848" t="s">
        <v>380</v>
      </c>
      <c r="G520" s="1848">
        <v>3</v>
      </c>
      <c r="H520" s="1848" t="s">
        <v>4572</v>
      </c>
      <c r="I520" s="1852"/>
      <c r="J520" s="1187"/>
      <c r="K520" s="1187"/>
    </row>
    <row r="521" spans="1:11" ht="18.75" hidden="1" outlineLevel="1" thickBot="1" x14ac:dyDescent="0.3">
      <c r="A521" s="1187"/>
      <c r="B521" s="1836" t="s">
        <v>15</v>
      </c>
      <c r="C521" s="2162" t="s">
        <v>378</v>
      </c>
      <c r="D521" s="2162" t="s">
        <v>4573</v>
      </c>
      <c r="E521" s="1864">
        <f>I_Sinput_sidestream</f>
        <v>0.1</v>
      </c>
      <c r="F521" s="1863" t="s">
        <v>380</v>
      </c>
      <c r="G521" s="1863">
        <v>3</v>
      </c>
      <c r="H521" s="1863" t="s">
        <v>4574</v>
      </c>
      <c r="I521" s="1837"/>
      <c r="J521" s="1281"/>
      <c r="K521" s="1187"/>
    </row>
    <row r="522" spans="1:11" customFormat="1" ht="18" customHeight="1" collapsed="1" thickBot="1" x14ac:dyDescent="0.3">
      <c r="A522" s="1281"/>
      <c r="B522" s="1285"/>
      <c r="C522" s="1285"/>
      <c r="D522" s="1285"/>
      <c r="E522" s="2527"/>
      <c r="F522" s="1285"/>
      <c r="G522" s="1285"/>
      <c r="H522" s="1285"/>
      <c r="I522" s="1285"/>
      <c r="J522" s="1281"/>
      <c r="K522" s="1281"/>
    </row>
    <row r="523" spans="1:11" customFormat="1" ht="18" customHeight="1" thickBot="1" x14ac:dyDescent="0.3">
      <c r="A523" s="1281"/>
      <c r="B523" s="1187"/>
      <c r="C523" s="1866" t="s">
        <v>4565</v>
      </c>
      <c r="D523" s="1335" t="s">
        <v>317</v>
      </c>
      <c r="E523" s="1335"/>
      <c r="F523" s="1187"/>
      <c r="G523" s="1187"/>
      <c r="H523" s="1187"/>
      <c r="I523" s="1187"/>
      <c r="J523" s="1281"/>
      <c r="K523" s="1281"/>
    </row>
    <row r="524" spans="1:11" customFormat="1" ht="18" customHeight="1" thickBot="1" x14ac:dyDescent="0.3">
      <c r="A524" s="1281"/>
      <c r="B524" s="2534" t="s">
        <v>0</v>
      </c>
      <c r="C524" s="2537" t="s">
        <v>1</v>
      </c>
      <c r="D524" s="2540" t="s">
        <v>5</v>
      </c>
      <c r="E524" s="2540" t="s">
        <v>152</v>
      </c>
      <c r="F524" s="2540" t="s">
        <v>2</v>
      </c>
      <c r="G524" s="2540" t="s">
        <v>298</v>
      </c>
      <c r="H524" s="2540" t="s">
        <v>116</v>
      </c>
      <c r="I524" s="2543" t="s">
        <v>117</v>
      </c>
      <c r="J524" s="1281"/>
      <c r="K524" s="1281"/>
    </row>
    <row r="525" spans="1:11" hidden="1" outlineLevel="1" x14ac:dyDescent="0.25">
      <c r="A525" s="1187"/>
      <c r="B525" s="261" t="s">
        <v>15</v>
      </c>
      <c r="C525" s="2150" t="s">
        <v>378</v>
      </c>
      <c r="D525" s="2150" t="s">
        <v>4568</v>
      </c>
      <c r="E525" s="2051">
        <f>I_Sinput_AS</f>
        <v>0.02</v>
      </c>
      <c r="F525" s="1867" t="s">
        <v>380</v>
      </c>
      <c r="G525" s="1867">
        <v>3</v>
      </c>
      <c r="H525" s="262" t="s">
        <v>4576</v>
      </c>
      <c r="I525" s="406"/>
      <c r="J525" s="1281"/>
      <c r="K525" s="1187"/>
    </row>
    <row r="526" spans="1:11" hidden="1" outlineLevel="1" x14ac:dyDescent="0.25">
      <c r="A526" s="1187"/>
      <c r="B526" s="1847" t="s">
        <v>15</v>
      </c>
      <c r="C526" s="2161" t="s">
        <v>378</v>
      </c>
      <c r="D526" s="2161" t="s">
        <v>4569</v>
      </c>
      <c r="E526" s="1865">
        <f>I_Sinput_DIG</f>
        <v>0.1</v>
      </c>
      <c r="F526" s="1848" t="s">
        <v>380</v>
      </c>
      <c r="G526" s="1848">
        <v>3</v>
      </c>
      <c r="H526" s="1848" t="s">
        <v>4577</v>
      </c>
      <c r="I526" s="1852"/>
      <c r="J526" s="1281"/>
      <c r="K526" s="1187"/>
    </row>
    <row r="527" spans="1:11" ht="18.75" hidden="1" outlineLevel="1" thickBot="1" x14ac:dyDescent="0.3">
      <c r="A527" s="1187"/>
      <c r="B527" s="1836" t="s">
        <v>15</v>
      </c>
      <c r="C527" s="2162" t="s">
        <v>378</v>
      </c>
      <c r="D527" s="2162" t="s">
        <v>4573</v>
      </c>
      <c r="E527" s="1864">
        <f>I_Sinput_sidestream</f>
        <v>0.1</v>
      </c>
      <c r="F527" s="1863" t="s">
        <v>380</v>
      </c>
      <c r="G527" s="1863">
        <v>3</v>
      </c>
      <c r="H527" s="1863" t="s">
        <v>4578</v>
      </c>
      <c r="I527" s="1837"/>
      <c r="J527" s="1281"/>
      <c r="K527" s="1187"/>
    </row>
    <row r="528" spans="1:11" ht="15.75" collapsed="1" thickBot="1" x14ac:dyDescent="0.3">
      <c r="A528" s="1187"/>
      <c r="B528" s="1187"/>
      <c r="C528" s="1187"/>
      <c r="D528" s="1187"/>
      <c r="E528" s="1354"/>
      <c r="F528" s="1187"/>
      <c r="G528" s="1187"/>
      <c r="H528" s="1187"/>
      <c r="I528" s="1187"/>
      <c r="J528" s="1187"/>
      <c r="K528" s="1187"/>
    </row>
    <row r="529" spans="1:11" ht="15.75" thickBot="1" x14ac:dyDescent="0.3">
      <c r="A529" s="1187"/>
      <c r="B529" s="1187" t="s">
        <v>372</v>
      </c>
      <c r="C529" s="1835" t="s">
        <v>2186</v>
      </c>
      <c r="D529" s="1335" t="s">
        <v>317</v>
      </c>
      <c r="E529" s="1187"/>
      <c r="F529" s="1187"/>
      <c r="G529" s="1187"/>
      <c r="H529" s="1187"/>
      <c r="I529" s="1187"/>
      <c r="J529" s="1187"/>
      <c r="K529" s="1187"/>
    </row>
    <row r="530" spans="1:11" ht="15.75" thickBot="1" x14ac:dyDescent="0.3">
      <c r="A530" s="1187"/>
      <c r="B530" s="838" t="s">
        <v>0</v>
      </c>
      <c r="C530" s="2057" t="s">
        <v>1</v>
      </c>
      <c r="D530" s="1452" t="s">
        <v>373</v>
      </c>
      <c r="E530" s="1452" t="s">
        <v>152</v>
      </c>
      <c r="F530" s="1842" t="s">
        <v>374</v>
      </c>
      <c r="G530" s="1452" t="s">
        <v>375</v>
      </c>
      <c r="H530" s="1842" t="s">
        <v>2</v>
      </c>
      <c r="I530" s="1842" t="s">
        <v>298</v>
      </c>
      <c r="J530" s="1842" t="s">
        <v>116</v>
      </c>
      <c r="K530" s="710" t="s">
        <v>117</v>
      </c>
    </row>
    <row r="531" spans="1:11" ht="15" hidden="1" outlineLevel="1" x14ac:dyDescent="0.25">
      <c r="A531" s="1187"/>
      <c r="B531" s="854" t="s">
        <v>11</v>
      </c>
      <c r="C531" s="2151" t="s">
        <v>11</v>
      </c>
      <c r="D531" s="2151" t="s">
        <v>376</v>
      </c>
      <c r="E531" s="2050">
        <v>7.2</v>
      </c>
      <c r="F531" s="1668">
        <v>2</v>
      </c>
      <c r="G531" s="1668">
        <v>12</v>
      </c>
      <c r="H531" s="496" t="s">
        <v>377</v>
      </c>
      <c r="I531" s="496">
        <v>2</v>
      </c>
      <c r="J531" s="855" t="s">
        <v>1253</v>
      </c>
      <c r="K531" s="752"/>
    </row>
    <row r="532" spans="1:11" ht="15.75" hidden="1" outlineLevel="1" thickBot="1" x14ac:dyDescent="0.3">
      <c r="A532" s="1187"/>
      <c r="B532" s="1836" t="s">
        <v>15</v>
      </c>
      <c r="C532" s="2163" t="s">
        <v>378</v>
      </c>
      <c r="D532" s="2163" t="s">
        <v>379</v>
      </c>
      <c r="E532" s="1840">
        <v>0.01</v>
      </c>
      <c r="F532" s="1839">
        <v>0</v>
      </c>
      <c r="G532" s="1839">
        <v>0.5</v>
      </c>
      <c r="H532" s="1839" t="s">
        <v>380</v>
      </c>
      <c r="I532" s="1839">
        <v>2</v>
      </c>
      <c r="J532" s="1841" t="s">
        <v>4566</v>
      </c>
      <c r="K532" s="1837"/>
    </row>
    <row r="533" spans="1:11" ht="15.75" collapsed="1" thickBot="1" x14ac:dyDescent="0.3">
      <c r="A533" s="1187"/>
      <c r="B533" s="1187"/>
      <c r="C533" s="1187"/>
      <c r="D533" s="1187"/>
      <c r="E533" s="1187"/>
      <c r="F533" s="1187"/>
      <c r="G533" s="1187"/>
      <c r="H533" s="1187"/>
      <c r="I533" s="1187"/>
      <c r="J533" s="1187"/>
      <c r="K533" s="1187"/>
    </row>
    <row r="534" spans="1:11" ht="15.75" thickBot="1" x14ac:dyDescent="0.3">
      <c r="A534" s="1187"/>
      <c r="B534" s="1187" t="s">
        <v>372</v>
      </c>
      <c r="C534" s="1835" t="s">
        <v>3488</v>
      </c>
      <c r="D534" s="1335" t="s">
        <v>317</v>
      </c>
      <c r="E534" s="1187"/>
      <c r="F534" s="1187"/>
      <c r="G534" s="1187"/>
      <c r="H534" s="1187"/>
      <c r="I534" s="1187"/>
      <c r="J534" s="1187"/>
      <c r="K534" s="1187"/>
    </row>
    <row r="535" spans="1:11" ht="15.75" thickBot="1" x14ac:dyDescent="0.3">
      <c r="A535" s="1187"/>
      <c r="B535" s="838" t="s">
        <v>0</v>
      </c>
      <c r="C535" s="2056" t="s">
        <v>1</v>
      </c>
      <c r="D535" s="1452" t="s">
        <v>373</v>
      </c>
      <c r="E535" s="1842" t="s">
        <v>152</v>
      </c>
      <c r="F535" s="1842" t="s">
        <v>374</v>
      </c>
      <c r="G535" s="1452" t="s">
        <v>375</v>
      </c>
      <c r="H535" s="1842" t="s">
        <v>2</v>
      </c>
      <c r="I535" s="1842" t="s">
        <v>298</v>
      </c>
      <c r="J535" s="1452" t="s">
        <v>116</v>
      </c>
      <c r="K535" s="710" t="s">
        <v>117</v>
      </c>
    </row>
    <row r="536" spans="1:11" s="104" customFormat="1" hidden="1" outlineLevel="1" x14ac:dyDescent="0.25">
      <c r="A536" s="1185"/>
      <c r="B536" s="1843" t="s">
        <v>3041</v>
      </c>
      <c r="C536" s="2164" t="s">
        <v>3042</v>
      </c>
      <c r="D536" s="2164" t="s">
        <v>376</v>
      </c>
      <c r="E536" s="1844">
        <v>8.6899999999999998E-3</v>
      </c>
      <c r="F536" s="1668">
        <v>-10000</v>
      </c>
      <c r="G536" s="1668">
        <v>10000</v>
      </c>
      <c r="H536" s="1838" t="s">
        <v>383</v>
      </c>
      <c r="I536" s="1838">
        <v>2</v>
      </c>
      <c r="J536" s="1845" t="s">
        <v>3487</v>
      </c>
      <c r="K536" s="1846" t="s">
        <v>381</v>
      </c>
    </row>
    <row r="537" spans="1:11" ht="15" hidden="1" outlineLevel="1" x14ac:dyDescent="0.25">
      <c r="A537" s="1187"/>
      <c r="B537" s="1847" t="s">
        <v>15</v>
      </c>
      <c r="C537" s="2161" t="s">
        <v>378</v>
      </c>
      <c r="D537" s="2161" t="s">
        <v>379</v>
      </c>
      <c r="E537" s="1849">
        <v>0.01</v>
      </c>
      <c r="F537" s="1850" t="s">
        <v>382</v>
      </c>
      <c r="G537" s="1848">
        <v>0.5</v>
      </c>
      <c r="H537" s="1848" t="s">
        <v>380</v>
      </c>
      <c r="I537" s="1848">
        <v>2</v>
      </c>
      <c r="J537" s="1851" t="s">
        <v>3487</v>
      </c>
      <c r="K537" s="1852" t="s">
        <v>384</v>
      </c>
    </row>
    <row r="538" spans="1:11" ht="18.75" hidden="1" outlineLevel="1" thickBot="1" x14ac:dyDescent="0.3">
      <c r="A538" s="1187"/>
      <c r="B538" s="1836" t="s">
        <v>385</v>
      </c>
      <c r="C538" s="2163" t="s">
        <v>297</v>
      </c>
      <c r="D538" s="2163" t="s">
        <v>387</v>
      </c>
      <c r="E538" s="1840">
        <v>100</v>
      </c>
      <c r="F538" s="1839">
        <v>0</v>
      </c>
      <c r="G538" s="1839">
        <v>10000</v>
      </c>
      <c r="H538" s="1839" t="s">
        <v>1215</v>
      </c>
      <c r="I538" s="1839">
        <v>2</v>
      </c>
      <c r="J538" s="1841" t="s">
        <v>3487</v>
      </c>
      <c r="K538" s="1837" t="s">
        <v>386</v>
      </c>
    </row>
    <row r="539" spans="1:11" ht="15.75" collapsed="1" thickBot="1" x14ac:dyDescent="0.3">
      <c r="A539" s="1187"/>
      <c r="B539" s="1187"/>
      <c r="C539" s="1187"/>
      <c r="D539" s="1187"/>
      <c r="E539" s="1187"/>
      <c r="F539" s="1187"/>
      <c r="G539" s="1187"/>
      <c r="H539" s="1187"/>
      <c r="I539" s="1187"/>
      <c r="J539" s="1187"/>
      <c r="K539" s="1187"/>
    </row>
    <row r="540" spans="1:11" ht="15.75" thickBot="1" x14ac:dyDescent="0.3">
      <c r="A540" s="1187"/>
      <c r="B540" s="1187" t="s">
        <v>372</v>
      </c>
      <c r="C540" s="1835" t="s">
        <v>3484</v>
      </c>
      <c r="D540" s="1335" t="s">
        <v>317</v>
      </c>
      <c r="E540" s="1187"/>
      <c r="F540" s="1187"/>
      <c r="G540" s="1187"/>
      <c r="H540" s="1187"/>
      <c r="I540" s="1187"/>
      <c r="J540" s="1187"/>
      <c r="K540" s="1187"/>
    </row>
    <row r="541" spans="1:11" ht="15.75" thickBot="1" x14ac:dyDescent="0.3">
      <c r="A541" s="1187"/>
      <c r="B541" s="838" t="s">
        <v>0</v>
      </c>
      <c r="C541" s="2056" t="s">
        <v>1</v>
      </c>
      <c r="D541" s="1452" t="s">
        <v>373</v>
      </c>
      <c r="E541" s="1842" t="s">
        <v>152</v>
      </c>
      <c r="F541" s="1842" t="s">
        <v>374</v>
      </c>
      <c r="G541" s="1452" t="s">
        <v>375</v>
      </c>
      <c r="H541" s="1842" t="s">
        <v>2</v>
      </c>
      <c r="I541" s="1842" t="s">
        <v>298</v>
      </c>
      <c r="J541" s="1452" t="s">
        <v>116</v>
      </c>
      <c r="K541" s="710" t="s">
        <v>117</v>
      </c>
    </row>
    <row r="542" spans="1:11" s="104" customFormat="1" hidden="1" outlineLevel="1" x14ac:dyDescent="0.25">
      <c r="A542" s="1185"/>
      <c r="B542" s="1843" t="s">
        <v>3041</v>
      </c>
      <c r="C542" s="2164" t="s">
        <v>3042</v>
      </c>
      <c r="D542" s="2164" t="s">
        <v>376</v>
      </c>
      <c r="E542" s="1844">
        <v>8.6899999999999998E-3</v>
      </c>
      <c r="F542" s="1668">
        <v>-10000</v>
      </c>
      <c r="G542" s="1668">
        <v>10000</v>
      </c>
      <c r="H542" s="1838" t="s">
        <v>383</v>
      </c>
      <c r="I542" s="1838">
        <v>2</v>
      </c>
      <c r="J542" s="1845" t="s">
        <v>3485</v>
      </c>
      <c r="K542" s="1846" t="s">
        <v>381</v>
      </c>
    </row>
    <row r="543" spans="1:11" ht="15.75" hidden="1" outlineLevel="1" thickBot="1" x14ac:dyDescent="0.3">
      <c r="A543" s="1187"/>
      <c r="B543" s="1836" t="s">
        <v>15</v>
      </c>
      <c r="C543" s="2163" t="s">
        <v>378</v>
      </c>
      <c r="D543" s="2163" t="s">
        <v>379</v>
      </c>
      <c r="E543" s="1853">
        <v>0.01</v>
      </c>
      <c r="F543" s="1854">
        <v>0</v>
      </c>
      <c r="G543" s="1839">
        <v>0.5</v>
      </c>
      <c r="H543" s="1839" t="s">
        <v>380</v>
      </c>
      <c r="I543" s="1839">
        <v>2</v>
      </c>
      <c r="J543" s="1841" t="s">
        <v>3485</v>
      </c>
      <c r="K543" s="1837" t="s">
        <v>384</v>
      </c>
    </row>
    <row r="544" spans="1:11" ht="18" customHeight="1" collapsed="1" thickBot="1" x14ac:dyDescent="0.3">
      <c r="A544" s="1187"/>
      <c r="B544" s="1187"/>
      <c r="C544" s="1187"/>
      <c r="D544" s="1187"/>
      <c r="E544" s="1187"/>
      <c r="F544" s="1187"/>
      <c r="G544" s="1187"/>
      <c r="H544" s="1187"/>
      <c r="I544" s="1187"/>
      <c r="J544" s="1187"/>
      <c r="K544" s="1187"/>
    </row>
    <row r="545" spans="1:11" ht="15.75" thickBot="1" x14ac:dyDescent="0.3">
      <c r="A545" s="1187"/>
      <c r="B545" s="1187"/>
      <c r="C545" s="842" t="s">
        <v>3501</v>
      </c>
      <c r="D545" s="1335" t="s">
        <v>317</v>
      </c>
      <c r="E545" s="1188"/>
      <c r="F545" s="1187"/>
      <c r="G545" s="1187"/>
      <c r="H545" s="1187"/>
      <c r="I545" s="1187"/>
      <c r="J545" s="1187"/>
      <c r="K545" s="1187"/>
    </row>
    <row r="546" spans="1:11" ht="15.75" thickBot="1" x14ac:dyDescent="0.3">
      <c r="A546" s="1187"/>
      <c r="B546" s="440" t="s">
        <v>0</v>
      </c>
      <c r="C546" s="2055" t="s">
        <v>1</v>
      </c>
      <c r="D546" s="810" t="s">
        <v>5</v>
      </c>
      <c r="E546" s="810" t="s">
        <v>152</v>
      </c>
      <c r="F546" s="810" t="s">
        <v>2</v>
      </c>
      <c r="G546" s="810" t="s">
        <v>298</v>
      </c>
      <c r="H546" s="810" t="s">
        <v>116</v>
      </c>
      <c r="I546" s="710" t="s">
        <v>117</v>
      </c>
      <c r="J546" s="1187"/>
      <c r="K546" s="1187"/>
    </row>
    <row r="547" spans="1:11" hidden="1" outlineLevel="1" x14ac:dyDescent="0.25">
      <c r="A547" s="1187"/>
      <c r="B547" s="854" t="s">
        <v>3043</v>
      </c>
      <c r="C547" s="2151" t="s">
        <v>3044</v>
      </c>
      <c r="D547" s="2165" t="s">
        <v>3045</v>
      </c>
      <c r="E547" s="2286">
        <f>S_CAT_ini+S_IC*(A_MNa*1000)</f>
        <v>234.78109261</v>
      </c>
      <c r="F547" s="751" t="s">
        <v>1047</v>
      </c>
      <c r="G547" s="751">
        <v>2</v>
      </c>
      <c r="H547" s="496" t="s">
        <v>3502</v>
      </c>
      <c r="I547" s="752" t="s">
        <v>2498</v>
      </c>
      <c r="J547" s="1185"/>
      <c r="K547" s="1185"/>
    </row>
    <row r="548" spans="1:11" hidden="1" outlineLevel="1" x14ac:dyDescent="0.25">
      <c r="A548" s="1187"/>
      <c r="B548" s="589" t="s">
        <v>3046</v>
      </c>
      <c r="C548" s="2166" t="s">
        <v>3047</v>
      </c>
      <c r="D548" s="2167" t="s">
        <v>3048</v>
      </c>
      <c r="E548" s="2287">
        <f>S_AN_ini-S_IC*(A_MCl*1000)</f>
        <v>-158.08656999999999</v>
      </c>
      <c r="F548" s="713" t="s">
        <v>1049</v>
      </c>
      <c r="G548" s="713">
        <v>2</v>
      </c>
      <c r="H548" s="713" t="s">
        <v>3502</v>
      </c>
      <c r="I548" s="714" t="s">
        <v>2498</v>
      </c>
      <c r="J548" s="1185"/>
      <c r="K548" s="1185"/>
    </row>
    <row r="549" spans="1:11" hidden="1" outlineLevel="1" x14ac:dyDescent="0.25">
      <c r="A549" s="1187"/>
      <c r="B549" s="589" t="s">
        <v>1163</v>
      </c>
      <c r="C549" s="2151" t="s">
        <v>3049</v>
      </c>
      <c r="D549" s="2167" t="s">
        <v>3050</v>
      </c>
      <c r="E549" s="2287">
        <f>IF(S_CAT_ini_corr&gt;0,S_CAT_ini_corr,S_CAT_ini)</f>
        <v>234.78109261</v>
      </c>
      <c r="F549" s="845" t="s">
        <v>1047</v>
      </c>
      <c r="G549" s="845">
        <v>2</v>
      </c>
      <c r="H549" s="713" t="s">
        <v>3502</v>
      </c>
      <c r="I549" s="714" t="s">
        <v>2498</v>
      </c>
      <c r="J549" s="1185"/>
      <c r="K549" s="1185"/>
    </row>
    <row r="550" spans="1:11" ht="18.75" hidden="1" outlineLevel="1" thickBot="1" x14ac:dyDescent="0.3">
      <c r="A550" s="1187"/>
      <c r="B550" s="841" t="s">
        <v>2499</v>
      </c>
      <c r="C550" s="909" t="s">
        <v>3051</v>
      </c>
      <c r="D550" s="2168" t="s">
        <v>3052</v>
      </c>
      <c r="E550" s="2288">
        <f>IF(S_CAT_ini_corr&gt;0,S_AN_ini,S_AN_ini_corr)</f>
        <v>150</v>
      </c>
      <c r="F550" s="759" t="s">
        <v>1049</v>
      </c>
      <c r="G550" s="759">
        <v>2</v>
      </c>
      <c r="H550" s="759" t="s">
        <v>3502</v>
      </c>
      <c r="I550" s="762" t="s">
        <v>2498</v>
      </c>
      <c r="J550" s="1185"/>
      <c r="K550" s="1185"/>
    </row>
    <row r="551" spans="1:11" ht="15.75" collapsed="1" thickBot="1" x14ac:dyDescent="0.3">
      <c r="A551" s="1187"/>
      <c r="B551" s="1187"/>
      <c r="C551" s="1187"/>
      <c r="D551" s="1187"/>
      <c r="E551" s="1187"/>
      <c r="F551" s="1187"/>
      <c r="G551" s="1187"/>
      <c r="H551" s="1187"/>
      <c r="I551" s="1187"/>
      <c r="J551" s="1187"/>
      <c r="K551" s="1187"/>
    </row>
    <row r="552" spans="1:11" ht="15.75" thickBot="1" x14ac:dyDescent="0.3">
      <c r="A552" s="1187"/>
      <c r="B552" s="1187"/>
      <c r="C552" s="842" t="s">
        <v>3493</v>
      </c>
      <c r="D552" s="1335" t="s">
        <v>317</v>
      </c>
      <c r="E552" s="1188"/>
      <c r="F552" s="1187"/>
      <c r="G552" s="1187"/>
      <c r="H552" s="1187"/>
      <c r="I552" s="1187"/>
      <c r="J552" s="1187"/>
      <c r="K552" s="1187"/>
    </row>
    <row r="553" spans="1:11" ht="15.75" thickBot="1" x14ac:dyDescent="0.3">
      <c r="A553" s="1187"/>
      <c r="B553" s="440" t="s">
        <v>0</v>
      </c>
      <c r="C553" s="2055" t="s">
        <v>1</v>
      </c>
      <c r="D553" s="810" t="s">
        <v>5</v>
      </c>
      <c r="E553" s="810" t="s">
        <v>152</v>
      </c>
      <c r="F553" s="810" t="s">
        <v>2</v>
      </c>
      <c r="G553" s="810" t="s">
        <v>298</v>
      </c>
      <c r="H553" s="810" t="s">
        <v>116</v>
      </c>
      <c r="I553" s="710" t="s">
        <v>117</v>
      </c>
      <c r="J553" s="1187"/>
      <c r="K553" s="1187"/>
    </row>
    <row r="554" spans="1:11" hidden="1" outlineLevel="1" x14ac:dyDescent="0.25">
      <c r="A554" s="1187"/>
      <c r="B554" s="854" t="s">
        <v>3494</v>
      </c>
      <c r="C554" s="2151" t="s">
        <v>3044</v>
      </c>
      <c r="D554" s="2165" t="s">
        <v>3495</v>
      </c>
      <c r="E554" s="2286">
        <f>S_CAT_ini+S_IC*(A_MNa*1000)</f>
        <v>234.78109261</v>
      </c>
      <c r="F554" s="751" t="s">
        <v>1047</v>
      </c>
      <c r="G554" s="751">
        <v>2</v>
      </c>
      <c r="H554" s="496" t="s">
        <v>3496</v>
      </c>
      <c r="I554" s="752" t="s">
        <v>2498</v>
      </c>
      <c r="J554" s="1185"/>
      <c r="K554" s="1185"/>
    </row>
    <row r="555" spans="1:11" hidden="1" outlineLevel="1" x14ac:dyDescent="0.25">
      <c r="A555" s="1187"/>
      <c r="B555" s="589" t="s">
        <v>3497</v>
      </c>
      <c r="C555" s="2166" t="s">
        <v>3047</v>
      </c>
      <c r="D555" s="2167" t="s">
        <v>3498</v>
      </c>
      <c r="E555" s="2287">
        <f>S_AN_ini-S_IC*(A_MCl*1000)</f>
        <v>-158.08656999999999</v>
      </c>
      <c r="F555" s="713" t="s">
        <v>1049</v>
      </c>
      <c r="G555" s="713">
        <v>2</v>
      </c>
      <c r="H555" s="713" t="s">
        <v>3496</v>
      </c>
      <c r="I555" s="714" t="s">
        <v>2498</v>
      </c>
      <c r="J555" s="1185"/>
      <c r="K555" s="1185"/>
    </row>
    <row r="556" spans="1:11" hidden="1" outlineLevel="1" x14ac:dyDescent="0.25">
      <c r="A556" s="1187"/>
      <c r="B556" s="589" t="s">
        <v>1163</v>
      </c>
      <c r="C556" s="2151" t="s">
        <v>3049</v>
      </c>
      <c r="D556" s="2169" t="s">
        <v>3499</v>
      </c>
      <c r="E556" s="2287">
        <f>IF(S_CAT_ini_corr&gt;0,S_CAT_ini_corr,S_CAT_ini)</f>
        <v>234.78109261</v>
      </c>
      <c r="F556" s="845" t="s">
        <v>1047</v>
      </c>
      <c r="G556" s="845">
        <v>2</v>
      </c>
      <c r="H556" s="713" t="s">
        <v>3496</v>
      </c>
      <c r="I556" s="714" t="s">
        <v>2498</v>
      </c>
      <c r="J556" s="1185"/>
      <c r="K556" s="1185"/>
    </row>
    <row r="557" spans="1:11" ht="18.75" hidden="1" outlineLevel="1" thickBot="1" x14ac:dyDescent="0.3">
      <c r="A557" s="1187"/>
      <c r="B557" s="841" t="s">
        <v>2499</v>
      </c>
      <c r="C557" s="909" t="s">
        <v>3051</v>
      </c>
      <c r="D557" s="2168" t="s">
        <v>3500</v>
      </c>
      <c r="E557" s="2288">
        <f>IF(S_CAT_ini_corr&gt;0,S_AN_ini,S_AN_ini_corr)</f>
        <v>150</v>
      </c>
      <c r="F557" s="759" t="s">
        <v>1049</v>
      </c>
      <c r="G557" s="759">
        <v>2</v>
      </c>
      <c r="H557" s="759" t="s">
        <v>3496</v>
      </c>
      <c r="I557" s="762" t="s">
        <v>2498</v>
      </c>
      <c r="J557" s="1185"/>
      <c r="K557" s="1185"/>
    </row>
    <row r="558" spans="1:11" ht="18" customHeight="1" collapsed="1" thickBot="1" x14ac:dyDescent="0.3">
      <c r="A558" s="1187"/>
      <c r="B558" s="1187"/>
      <c r="C558" s="1187"/>
      <c r="D558" s="1187"/>
      <c r="E558" s="1187"/>
      <c r="F558" s="1187"/>
      <c r="G558" s="1187"/>
      <c r="H558" s="1187"/>
      <c r="I558" s="1187"/>
      <c r="J558" s="1187"/>
      <c r="K558" s="1187"/>
    </row>
    <row r="559" spans="1:11" ht="18" customHeight="1" thickBot="1" x14ac:dyDescent="0.3">
      <c r="A559" s="1187"/>
      <c r="B559" s="1187"/>
      <c r="C559" s="842" t="s">
        <v>3486</v>
      </c>
      <c r="D559" s="1188" t="s">
        <v>317</v>
      </c>
      <c r="E559" s="1188"/>
      <c r="F559" s="1187"/>
      <c r="G559" s="1187"/>
      <c r="H559" s="1187"/>
      <c r="I559" s="1187"/>
      <c r="J559" s="1187"/>
      <c r="K559" s="1187"/>
    </row>
    <row r="560" spans="1:11" ht="18" customHeight="1" thickBot="1" x14ac:dyDescent="0.3">
      <c r="A560" s="1187"/>
      <c r="B560" s="709" t="s">
        <v>0</v>
      </c>
      <c r="C560" s="2055" t="s">
        <v>1</v>
      </c>
      <c r="D560" s="810" t="s">
        <v>5</v>
      </c>
      <c r="E560" s="810" t="s">
        <v>152</v>
      </c>
      <c r="F560" s="810" t="s">
        <v>2</v>
      </c>
      <c r="G560" s="810" t="s">
        <v>298</v>
      </c>
      <c r="H560" s="810" t="s">
        <v>116</v>
      </c>
      <c r="I560" s="710" t="s">
        <v>117</v>
      </c>
      <c r="J560" s="1187"/>
      <c r="K560" s="1187"/>
    </row>
    <row r="561" spans="1:11" ht="18" hidden="1" customHeight="1" outlineLevel="1" x14ac:dyDescent="0.25">
      <c r="A561" s="1187"/>
      <c r="B561" s="839" t="s">
        <v>376</v>
      </c>
      <c r="C561" s="2170" t="s">
        <v>1166</v>
      </c>
      <c r="D561" s="2171" t="s">
        <v>3803</v>
      </c>
      <c r="E561" s="843">
        <f>-(IF((c_hargebalance)&lt;0,-LOG10(-(c_hargebalance)+1),LOG10((c_hargebalance)+1)))</f>
        <v>-2.4175533204406379E-4</v>
      </c>
      <c r="F561" s="840" t="s">
        <v>1905</v>
      </c>
      <c r="G561" s="840">
        <v>2</v>
      </c>
      <c r="H561" s="711" t="s">
        <v>11</v>
      </c>
      <c r="I561" s="840" t="s">
        <v>3803</v>
      </c>
      <c r="J561" s="1187"/>
      <c r="K561" s="1187"/>
    </row>
    <row r="562" spans="1:11" ht="18" hidden="1" customHeight="1" outlineLevel="1" x14ac:dyDescent="0.25">
      <c r="A562" s="1187"/>
      <c r="B562" s="589" t="s">
        <v>379</v>
      </c>
      <c r="C562" s="2166" t="s">
        <v>389</v>
      </c>
      <c r="D562" s="2166" t="s">
        <v>1870</v>
      </c>
      <c r="E562" s="844">
        <f>I_S-I_Scalc</f>
        <v>5.2056441588948007E-3</v>
      </c>
      <c r="F562" s="844" t="s">
        <v>380</v>
      </c>
      <c r="G562" s="845">
        <v>2</v>
      </c>
      <c r="H562" s="713" t="s">
        <v>11</v>
      </c>
      <c r="I562" s="714"/>
      <c r="J562" s="1187"/>
      <c r="K562" s="1187"/>
    </row>
    <row r="563" spans="1:11" ht="18" hidden="1" customHeight="1" outlineLevel="1" thickBot="1" x14ac:dyDescent="0.3">
      <c r="A563" s="1187"/>
      <c r="B563" s="846" t="s">
        <v>387</v>
      </c>
      <c r="C563" s="2172" t="s">
        <v>390</v>
      </c>
      <c r="D563" s="2172" t="s">
        <v>391</v>
      </c>
      <c r="E563" s="847">
        <f>S_ALK-S_ALK_input</f>
        <v>-1.4700293775047561E-3</v>
      </c>
      <c r="F563" s="847" t="s">
        <v>1904</v>
      </c>
      <c r="G563" s="848">
        <v>2</v>
      </c>
      <c r="H563" s="759" t="s">
        <v>3487</v>
      </c>
      <c r="I563" s="715"/>
      <c r="J563" s="1187"/>
      <c r="K563" s="1187"/>
    </row>
    <row r="564" spans="1:11" s="137" customFormat="1" ht="18" customHeight="1" collapsed="1" x14ac:dyDescent="0.25">
      <c r="A564" s="1189"/>
      <c r="B564" s="1208"/>
      <c r="C564" s="1208"/>
      <c r="D564" s="1208"/>
      <c r="E564" s="1208"/>
      <c r="F564" s="1208"/>
      <c r="G564" s="1208"/>
      <c r="H564" s="1208"/>
      <c r="I564" s="1208"/>
      <c r="J564" s="1189"/>
      <c r="K564" s="1189"/>
    </row>
    <row r="565" spans="1:11" ht="18" customHeight="1" x14ac:dyDescent="0.25">
      <c r="A565" s="1187"/>
      <c r="B565" s="1187" t="s">
        <v>3460</v>
      </c>
      <c r="C565" s="1187"/>
      <c r="D565" s="1187"/>
      <c r="E565" s="1187"/>
      <c r="F565" s="1187"/>
      <c r="G565" s="1187"/>
      <c r="H565" s="1187"/>
      <c r="I565" s="1187"/>
      <c r="J565" s="1187"/>
      <c r="K565" s="1187"/>
    </row>
    <row r="566" spans="1:11" ht="18" customHeight="1" x14ac:dyDescent="0.25">
      <c r="A566" s="1187"/>
      <c r="B566" s="1187" t="s">
        <v>3461</v>
      </c>
      <c r="C566" s="1187"/>
      <c r="D566" s="1187"/>
      <c r="E566" s="1187"/>
      <c r="F566" s="1187"/>
      <c r="G566" s="1187"/>
      <c r="H566" s="1187"/>
      <c r="I566" s="1187"/>
      <c r="J566" s="1187"/>
      <c r="K566" s="1187"/>
    </row>
    <row r="567" spans="1:11" ht="18" customHeight="1" thickBot="1" x14ac:dyDescent="0.3">
      <c r="A567" s="1187"/>
      <c r="B567" s="1187"/>
      <c r="C567" s="1187"/>
      <c r="D567" s="1187"/>
      <c r="E567" s="1187"/>
      <c r="F567" s="1187"/>
      <c r="G567" s="1187"/>
      <c r="H567" s="1187"/>
      <c r="I567" s="1187"/>
      <c r="J567" s="1187"/>
      <c r="K567" s="1187"/>
    </row>
    <row r="568" spans="1:11" s="137" customFormat="1" ht="18" customHeight="1" thickBot="1" x14ac:dyDescent="0.3">
      <c r="A568" s="1189"/>
      <c r="B568" s="1187"/>
      <c r="C568" s="706" t="s">
        <v>3462</v>
      </c>
      <c r="D568" s="1335" t="s">
        <v>299</v>
      </c>
      <c r="E568" s="1335"/>
      <c r="F568" s="1187"/>
      <c r="G568" s="1187"/>
      <c r="H568" s="1187"/>
      <c r="I568" s="1187"/>
      <c r="J568" s="1189"/>
      <c r="K568" s="1189"/>
    </row>
    <row r="569" spans="1:11" s="137" customFormat="1" ht="18" customHeight="1" thickBot="1" x14ac:dyDescent="0.3">
      <c r="A569" s="1189"/>
      <c r="B569" s="440" t="s">
        <v>0</v>
      </c>
      <c r="C569" s="2055" t="s">
        <v>1</v>
      </c>
      <c r="D569" s="810" t="s">
        <v>5</v>
      </c>
      <c r="E569" s="810" t="s">
        <v>152</v>
      </c>
      <c r="F569" s="810" t="s">
        <v>2</v>
      </c>
      <c r="G569" s="810" t="s">
        <v>298</v>
      </c>
      <c r="H569" s="810" t="s">
        <v>116</v>
      </c>
      <c r="I569" s="710" t="s">
        <v>117</v>
      </c>
      <c r="J569" s="1189"/>
      <c r="K569" s="1189"/>
    </row>
    <row r="570" spans="1:11" s="137" customFormat="1" ht="18" hidden="1" customHeight="1" outlineLevel="1" x14ac:dyDescent="0.25">
      <c r="A570" s="1189"/>
      <c r="B570" s="811" t="s">
        <v>3471</v>
      </c>
      <c r="C570" s="2173" t="s">
        <v>3472</v>
      </c>
      <c r="D570" s="2173">
        <v>7</v>
      </c>
      <c r="E570" s="813">
        <f>7</f>
        <v>7</v>
      </c>
      <c r="F570" s="812" t="s">
        <v>377</v>
      </c>
      <c r="G570" s="812">
        <v>1</v>
      </c>
      <c r="H570" s="812" t="s">
        <v>1153</v>
      </c>
      <c r="I570" s="814"/>
      <c r="J570" s="1189"/>
      <c r="K570" s="1189"/>
    </row>
    <row r="571" spans="1:11" s="137" customFormat="1" hidden="1" outlineLevel="1" x14ac:dyDescent="0.25">
      <c r="A571" s="1187"/>
      <c r="B571" s="811" t="s">
        <v>3473</v>
      </c>
      <c r="C571" s="2173" t="s">
        <v>3474</v>
      </c>
      <c r="D571" s="2173" t="s">
        <v>4570</v>
      </c>
      <c r="E571" s="813">
        <f>0.15</f>
        <v>0.15</v>
      </c>
      <c r="F571" s="812" t="s">
        <v>380</v>
      </c>
      <c r="G571" s="812">
        <v>3</v>
      </c>
      <c r="H571" s="2415" t="s">
        <v>4832</v>
      </c>
      <c r="I571" s="2416"/>
      <c r="J571" s="1189"/>
      <c r="K571" s="1189"/>
    </row>
    <row r="572" spans="1:11" s="137" customFormat="1" hidden="1" outlineLevel="1" x14ac:dyDescent="0.25">
      <c r="A572" s="1187"/>
      <c r="B572" s="811" t="s">
        <v>3473</v>
      </c>
      <c r="C572" s="2173" t="s">
        <v>3474</v>
      </c>
      <c r="D572" s="2173" t="s">
        <v>4571</v>
      </c>
      <c r="E572" s="813"/>
      <c r="F572" s="812" t="s">
        <v>380</v>
      </c>
      <c r="G572" s="812">
        <v>3</v>
      </c>
      <c r="H572" s="2415" t="s">
        <v>3475</v>
      </c>
      <c r="I572" s="2416"/>
      <c r="J572" s="1189"/>
      <c r="K572" s="1189"/>
    </row>
    <row r="573" spans="1:11" s="137" customFormat="1" hidden="1" outlineLevel="1" x14ac:dyDescent="0.25">
      <c r="A573" s="1187"/>
      <c r="B573" s="811" t="s">
        <v>3473</v>
      </c>
      <c r="C573" s="2173" t="s">
        <v>3474</v>
      </c>
      <c r="D573" s="2173" t="s">
        <v>4580</v>
      </c>
      <c r="E573" s="813">
        <f>0.15</f>
        <v>0.15</v>
      </c>
      <c r="F573" s="812" t="s">
        <v>380</v>
      </c>
      <c r="G573" s="812">
        <v>3</v>
      </c>
      <c r="H573" s="2415" t="s">
        <v>4833</v>
      </c>
      <c r="I573" s="2416"/>
      <c r="J573" s="1189"/>
      <c r="K573" s="1189"/>
    </row>
    <row r="574" spans="1:11" s="137" customFormat="1" ht="18" hidden="1" customHeight="1" outlineLevel="1" x14ac:dyDescent="0.25">
      <c r="A574" s="1189"/>
      <c r="B574" s="811" t="s">
        <v>909</v>
      </c>
      <c r="C574" s="2173" t="s">
        <v>906</v>
      </c>
      <c r="D574" s="2173" t="s">
        <v>1864</v>
      </c>
      <c r="E574" s="813">
        <f>1.82483*10^6*ρ__^(0.5)*(ε__*T_K)^(-1.5)</f>
        <v>0.50517320931567189</v>
      </c>
      <c r="F574" s="812" t="s">
        <v>1906</v>
      </c>
      <c r="G574" s="812">
        <v>3</v>
      </c>
      <c r="H574" s="815" t="s">
        <v>1153</v>
      </c>
      <c r="I574" s="816"/>
      <c r="J574" s="1189"/>
      <c r="K574" s="1189"/>
    </row>
    <row r="575" spans="1:11" s="137" customFormat="1" ht="18" hidden="1" customHeight="1" outlineLevel="1" x14ac:dyDescent="0.25">
      <c r="A575" s="1189"/>
      <c r="B575" s="811" t="s">
        <v>908</v>
      </c>
      <c r="C575" s="2173" t="s">
        <v>3006</v>
      </c>
      <c r="D575" s="2173" t="s">
        <v>943</v>
      </c>
      <c r="E575" s="813">
        <f>2727.586+0.6224107*T_K-466.9151*LN(T_K)-(52000.87/T_K)</f>
        <v>80.261801298291488</v>
      </c>
      <c r="F575" s="812" t="s">
        <v>1906</v>
      </c>
      <c r="G575" s="812">
        <v>3</v>
      </c>
      <c r="H575" s="815" t="s">
        <v>1153</v>
      </c>
      <c r="I575" s="816"/>
      <c r="J575" s="1189"/>
      <c r="K575" s="1189"/>
    </row>
    <row r="576" spans="1:11" s="137" customFormat="1" ht="18" hidden="1" customHeight="1" outlineLevel="1" x14ac:dyDescent="0.25">
      <c r="A576" s="1189"/>
      <c r="B576" s="811" t="s">
        <v>910</v>
      </c>
      <c r="C576" s="2173" t="s">
        <v>3007</v>
      </c>
      <c r="D576" s="2173" t="s">
        <v>907</v>
      </c>
      <c r="E576" s="813">
        <f>1-(T__-3.9863)^2*(T__+288.9414)/(508929.2*(T__+68.12963))+0.011445*EXP(-374.3/T__)</f>
        <v>0.99823363622515204</v>
      </c>
      <c r="F576" s="812" t="s">
        <v>1906</v>
      </c>
      <c r="G576" s="812">
        <v>3</v>
      </c>
      <c r="H576" s="815" t="s">
        <v>1153</v>
      </c>
      <c r="I576" s="816"/>
      <c r="J576" s="1189"/>
      <c r="K576" s="1189"/>
    </row>
    <row r="577" spans="1:11" s="137" customFormat="1" ht="18" hidden="1" customHeight="1" outlineLevel="1" x14ac:dyDescent="0.25">
      <c r="A577" s="1189"/>
      <c r="B577" s="811" t="s">
        <v>3476</v>
      </c>
      <c r="C577" s="2173" t="s">
        <v>3419</v>
      </c>
      <c r="D577" s="2173" t="s">
        <v>3477</v>
      </c>
      <c r="E577" s="813">
        <v>0.78540775368648974</v>
      </c>
      <c r="F577" s="812" t="s">
        <v>1906</v>
      </c>
      <c r="G577" s="812">
        <v>3</v>
      </c>
      <c r="H577" s="815" t="s">
        <v>1153</v>
      </c>
      <c r="I577" s="816"/>
      <c r="J577" s="1189"/>
      <c r="K577" s="1189"/>
    </row>
    <row r="578" spans="1:11" s="137" customFormat="1" ht="18" hidden="1" customHeight="1" outlineLevel="1" x14ac:dyDescent="0.25">
      <c r="A578" s="1189"/>
      <c r="B578" s="811" t="s">
        <v>3478</v>
      </c>
      <c r="C578" s="2173" t="s">
        <v>3421</v>
      </c>
      <c r="D578" s="2173" t="s">
        <v>3479</v>
      </c>
      <c r="E578" s="813">
        <v>0.3805228471391951</v>
      </c>
      <c r="F578" s="812" t="s">
        <v>1906</v>
      </c>
      <c r="G578" s="812">
        <v>3</v>
      </c>
      <c r="H578" s="815" t="s">
        <v>1153</v>
      </c>
      <c r="I578" s="816"/>
      <c r="J578" s="1189"/>
      <c r="K578" s="1189"/>
    </row>
    <row r="579" spans="1:11" s="137" customFormat="1" ht="18" hidden="1" customHeight="1" outlineLevel="1" x14ac:dyDescent="0.25">
      <c r="A579" s="1189"/>
      <c r="B579" s="811" t="s">
        <v>947</v>
      </c>
      <c r="C579" s="2173" t="s">
        <v>2923</v>
      </c>
      <c r="D579" s="2173" t="s">
        <v>1865</v>
      </c>
      <c r="E579" s="813">
        <f>10^(-(3404.7/T_K-14.8435+T_K*0.03279))</f>
        <v>4.1392419480646479E-7</v>
      </c>
      <c r="F579" s="812" t="s">
        <v>1906</v>
      </c>
      <c r="G579" s="812">
        <v>3</v>
      </c>
      <c r="H579" s="815" t="s">
        <v>1153</v>
      </c>
      <c r="I579" s="816"/>
      <c r="J579" s="1189"/>
      <c r="K579" s="1189"/>
    </row>
    <row r="580" spans="1:11" s="137" customFormat="1" ht="18" hidden="1" customHeight="1" outlineLevel="1" x14ac:dyDescent="0.25">
      <c r="A580" s="1189"/>
      <c r="B580" s="811" t="s">
        <v>948</v>
      </c>
      <c r="C580" s="2173" t="s">
        <v>2924</v>
      </c>
      <c r="D580" s="2173" t="s">
        <v>1866</v>
      </c>
      <c r="E580" s="813">
        <f>10^(-(2902.4/T_K-6.498+T_K*0.02379))</f>
        <v>4.1997949506593592E-11</v>
      </c>
      <c r="F580" s="812" t="s">
        <v>1906</v>
      </c>
      <c r="G580" s="812">
        <v>3</v>
      </c>
      <c r="H580" s="815" t="s">
        <v>1153</v>
      </c>
      <c r="I580" s="816"/>
      <c r="J580" s="1189"/>
      <c r="K580" s="1189"/>
    </row>
    <row r="581" spans="1:11" s="137" customFormat="1" ht="18" hidden="1" customHeight="1" outlineLevel="1" x14ac:dyDescent="0.25">
      <c r="A581" s="1189"/>
      <c r="B581" s="811" t="s">
        <v>344</v>
      </c>
      <c r="C581" s="2173" t="s">
        <v>2931</v>
      </c>
      <c r="D581" s="2173" t="s">
        <v>3480</v>
      </c>
      <c r="E581" s="813">
        <f>K_C1_T/f_mono^2</f>
        <v>5.3547283589610541E-7</v>
      </c>
      <c r="F581" s="812" t="s">
        <v>1906</v>
      </c>
      <c r="G581" s="812">
        <v>3</v>
      </c>
      <c r="H581" s="815" t="s">
        <v>1153</v>
      </c>
      <c r="I581" s="816"/>
      <c r="J581" s="1189"/>
      <c r="K581" s="1189"/>
    </row>
    <row r="582" spans="1:11" s="137" customFormat="1" ht="18" hidden="1" customHeight="1" outlineLevel="1" x14ac:dyDescent="0.25">
      <c r="A582" s="1189"/>
      <c r="B582" s="811" t="s">
        <v>345</v>
      </c>
      <c r="C582" s="2173" t="s">
        <v>2932</v>
      </c>
      <c r="D582" s="2173" t="s">
        <v>3481</v>
      </c>
      <c r="E582" s="813">
        <f>K_C2_T/f_di</f>
        <v>7.0284789816384129E-11</v>
      </c>
      <c r="F582" s="812" t="s">
        <v>1906</v>
      </c>
      <c r="G582" s="812">
        <v>3</v>
      </c>
      <c r="H582" s="815" t="s">
        <v>1153</v>
      </c>
      <c r="I582" s="816"/>
      <c r="J582" s="1189"/>
      <c r="K582" s="1189"/>
    </row>
    <row r="583" spans="1:11" s="137" customFormat="1" ht="18" hidden="1" customHeight="1" outlineLevel="1" x14ac:dyDescent="0.25">
      <c r="A583" s="1189"/>
      <c r="B583" s="811" t="s">
        <v>2943</v>
      </c>
      <c r="C583" s="2173" t="s">
        <v>2929</v>
      </c>
      <c r="D583" s="2173" t="s">
        <v>1057</v>
      </c>
      <c r="E583" s="813">
        <f>10^(-(2835.8/T_K-0.6322+0.00123*T_K))</f>
        <v>3.9635061259550542E-10</v>
      </c>
      <c r="F583" s="812" t="s">
        <v>1906</v>
      </c>
      <c r="G583" s="812">
        <v>3</v>
      </c>
      <c r="H583" s="815" t="s">
        <v>1153</v>
      </c>
      <c r="I583" s="816"/>
      <c r="J583" s="1189"/>
      <c r="K583" s="1189"/>
    </row>
    <row r="584" spans="1:11" s="137" customFormat="1" ht="18" hidden="1" customHeight="1" outlineLevel="1" x14ac:dyDescent="0.25">
      <c r="A584" s="1189"/>
      <c r="B584" s="811" t="s">
        <v>3463</v>
      </c>
      <c r="C584" s="2173" t="s">
        <v>3464</v>
      </c>
      <c r="D584" s="2173" t="s">
        <v>3482</v>
      </c>
      <c r="E584" s="813">
        <f>S_CO2/(A_MC*1000)*10^(-14)/(10^(-14)+10^(-7)*K_C1_T+K_C1_T*K_C2_T)</f>
        <v>1.1984432036077103E-3</v>
      </c>
      <c r="F584" s="812" t="s">
        <v>842</v>
      </c>
      <c r="G584" s="812">
        <v>4</v>
      </c>
      <c r="H584" s="815" t="s">
        <v>1153</v>
      </c>
      <c r="I584" s="816"/>
      <c r="J584" s="1189"/>
      <c r="K584" s="1189"/>
    </row>
    <row r="585" spans="1:11" s="137" customFormat="1" ht="18" hidden="1" customHeight="1" outlineLevel="1" thickBot="1" x14ac:dyDescent="0.3">
      <c r="A585" s="1189"/>
      <c r="B585" s="817" t="s">
        <v>3465</v>
      </c>
      <c r="C585" s="2174" t="s">
        <v>3466</v>
      </c>
      <c r="D585" s="2175" t="s">
        <v>3483</v>
      </c>
      <c r="E585" s="819">
        <f>(S_NHx/(A_MN*1000))*K_NH3_T/(10^(-7)+K_NH3_T)</f>
        <v>2.8185502392149996E-7</v>
      </c>
      <c r="F585" s="820" t="s">
        <v>842</v>
      </c>
      <c r="G585" s="818">
        <v>4</v>
      </c>
      <c r="H585" s="820" t="s">
        <v>1153</v>
      </c>
      <c r="I585" s="821"/>
      <c r="J585" s="1189"/>
      <c r="K585" s="1189"/>
    </row>
    <row r="586" spans="1:11" customFormat="1" ht="15.75" collapsed="1" thickBot="1" x14ac:dyDescent="0.3">
      <c r="A586" s="1281"/>
      <c r="B586" s="1285"/>
      <c r="C586" s="1285"/>
      <c r="D586" s="1285"/>
      <c r="E586" s="2527"/>
      <c r="F586" s="1285"/>
      <c r="G586" s="1285"/>
      <c r="H586" s="1285"/>
      <c r="I586" s="1285"/>
      <c r="J586" s="1281"/>
      <c r="K586" s="1281"/>
    </row>
    <row r="587" spans="1:11" customFormat="1" ht="15.75" thickBot="1" x14ac:dyDescent="0.3">
      <c r="A587" s="1281"/>
      <c r="B587" s="1187"/>
      <c r="C587" s="1390" t="s">
        <v>3236</v>
      </c>
      <c r="D587" s="1335" t="s">
        <v>299</v>
      </c>
      <c r="E587" s="1335"/>
      <c r="F587" s="1187"/>
      <c r="G587" s="1187"/>
      <c r="H587" s="1187"/>
      <c r="I587" s="1187"/>
      <c r="J587" s="1281"/>
      <c r="K587" s="1281"/>
    </row>
    <row r="588" spans="1:11" customFormat="1" ht="15.75" thickBot="1" x14ac:dyDescent="0.3">
      <c r="A588" s="1281"/>
      <c r="B588" s="2532" t="s">
        <v>0</v>
      </c>
      <c r="C588" s="2535" t="s">
        <v>1</v>
      </c>
      <c r="D588" s="2538" t="s">
        <v>5</v>
      </c>
      <c r="E588" s="2538" t="s">
        <v>152</v>
      </c>
      <c r="F588" s="2538" t="s">
        <v>2</v>
      </c>
      <c r="G588" s="2538" t="s">
        <v>298</v>
      </c>
      <c r="H588" s="2538" t="s">
        <v>116</v>
      </c>
      <c r="I588" s="2541" t="s">
        <v>117</v>
      </c>
      <c r="J588" s="1281"/>
      <c r="K588" s="1281"/>
    </row>
    <row r="589" spans="1:11" s="137" customFormat="1" ht="18" hidden="1" customHeight="1" outlineLevel="1" x14ac:dyDescent="0.25">
      <c r="A589" s="1189"/>
      <c r="B589" s="828" t="s">
        <v>3211</v>
      </c>
      <c r="C589" s="2176" t="s">
        <v>3237</v>
      </c>
      <c r="D589" s="2177" t="s">
        <v>3238</v>
      </c>
      <c r="E589" s="830">
        <f>k_LaGCO2_bub*(S_GCO2_bub_sat-conc_H2CO3_I*M_MEQ_GCO2*c_L_m3)</f>
        <v>2861.6873452767227</v>
      </c>
      <c r="F589" s="829" t="s">
        <v>1317</v>
      </c>
      <c r="G589" s="829">
        <v>1</v>
      </c>
      <c r="H589" s="829" t="s">
        <v>11</v>
      </c>
      <c r="I589" s="831"/>
      <c r="J589" s="1189"/>
      <c r="K589" s="1189"/>
    </row>
    <row r="590" spans="1:11" s="137" customFormat="1" ht="18" hidden="1" customHeight="1" outlineLevel="1" x14ac:dyDescent="0.25">
      <c r="A590" s="1189"/>
      <c r="B590" s="822" t="s">
        <v>3211</v>
      </c>
      <c r="C590" s="2178" t="s">
        <v>3237</v>
      </c>
      <c r="D590" s="2179" t="s">
        <v>3467</v>
      </c>
      <c r="E590" s="823">
        <f>0</f>
        <v>0</v>
      </c>
      <c r="F590" s="815" t="s">
        <v>1317</v>
      </c>
      <c r="G590" s="815">
        <v>1</v>
      </c>
      <c r="H590" s="815" t="s">
        <v>1153</v>
      </c>
      <c r="I590" s="816"/>
      <c r="J590" s="1189"/>
      <c r="K590" s="1189"/>
    </row>
    <row r="591" spans="1:11" s="137" customFormat="1" ht="18" hidden="1" customHeight="1" outlineLevel="1" x14ac:dyDescent="0.25">
      <c r="A591" s="1189"/>
      <c r="B591" s="822" t="s">
        <v>3215</v>
      </c>
      <c r="C591" s="2178" t="s">
        <v>3239</v>
      </c>
      <c r="D591" s="2180" t="s">
        <v>3240</v>
      </c>
      <c r="E591" s="823">
        <f>k_LaGNH3_bub*(S_GNH3_bub_sat-conc_NH3_I*M_MEQ_GNH3*c_L_m3)</f>
        <v>0</v>
      </c>
      <c r="F591" s="815" t="s">
        <v>1317</v>
      </c>
      <c r="G591" s="815">
        <v>1</v>
      </c>
      <c r="H591" s="815" t="s">
        <v>11</v>
      </c>
      <c r="I591" s="816"/>
      <c r="J591" s="1189"/>
      <c r="K591" s="1189"/>
    </row>
    <row r="592" spans="1:11" s="137" customFormat="1" ht="18" hidden="1" customHeight="1" outlineLevel="1" thickBot="1" x14ac:dyDescent="0.3">
      <c r="A592" s="1189"/>
      <c r="B592" s="824" t="s">
        <v>3215</v>
      </c>
      <c r="C592" s="2181" t="s">
        <v>3239</v>
      </c>
      <c r="D592" s="2175" t="s">
        <v>3468</v>
      </c>
      <c r="E592" s="825">
        <f>0</f>
        <v>0</v>
      </c>
      <c r="F592" s="820" t="s">
        <v>1317</v>
      </c>
      <c r="G592" s="820">
        <v>1</v>
      </c>
      <c r="H592" s="820" t="s">
        <v>1153</v>
      </c>
      <c r="I592" s="821"/>
      <c r="J592" s="1189"/>
      <c r="K592" s="1189"/>
    </row>
    <row r="593" spans="1:11" customFormat="1" ht="15.75" collapsed="1" thickBot="1" x14ac:dyDescent="0.3">
      <c r="A593" s="1281"/>
      <c r="B593" s="1285"/>
      <c r="C593" s="1285"/>
      <c r="D593" s="1285"/>
      <c r="E593" s="2527"/>
      <c r="F593" s="1285"/>
      <c r="G593" s="1285"/>
      <c r="H593" s="1285"/>
      <c r="I593" s="1285"/>
      <c r="J593" s="1281"/>
      <c r="K593" s="1281"/>
    </row>
    <row r="594" spans="1:11" customFormat="1" ht="15.75" thickBot="1" x14ac:dyDescent="0.3">
      <c r="A594" s="1281"/>
      <c r="B594" s="1187"/>
      <c r="C594" s="1390" t="s">
        <v>3241</v>
      </c>
      <c r="D594" s="1335" t="s">
        <v>299</v>
      </c>
      <c r="E594" s="1335"/>
      <c r="F594" s="1187"/>
      <c r="G594" s="1187"/>
      <c r="H594" s="1187"/>
      <c r="I594" s="1187"/>
      <c r="J594" s="1281"/>
      <c r="K594" s="1281"/>
    </row>
    <row r="595" spans="1:11" customFormat="1" ht="15.75" thickBot="1" x14ac:dyDescent="0.3">
      <c r="A595" s="1281"/>
      <c r="B595" s="2532" t="s">
        <v>0</v>
      </c>
      <c r="C595" s="2535" t="s">
        <v>1</v>
      </c>
      <c r="D595" s="2538" t="s">
        <v>5</v>
      </c>
      <c r="E595" s="2538" t="s">
        <v>152</v>
      </c>
      <c r="F595" s="2538" t="s">
        <v>2</v>
      </c>
      <c r="G595" s="2538" t="s">
        <v>298</v>
      </c>
      <c r="H595" s="2538" t="s">
        <v>116</v>
      </c>
      <c r="I595" s="2541" t="s">
        <v>117</v>
      </c>
      <c r="J595" s="1281"/>
      <c r="K595" s="1281"/>
    </row>
    <row r="596" spans="1:11" s="137" customFormat="1" ht="18" hidden="1" customHeight="1" outlineLevel="1" x14ac:dyDescent="0.25">
      <c r="A596" s="1189"/>
      <c r="B596" s="828" t="s">
        <v>3200</v>
      </c>
      <c r="C596" s="2176" t="s">
        <v>3242</v>
      </c>
      <c r="D596" s="2177" t="s">
        <v>3243</v>
      </c>
      <c r="E596" s="830">
        <f>k_LaGCO2_sur*(S_GCO2_sur_sat-conc_H2CO3_I*M_MEQ_GCO2*c_L_m3)</f>
        <v>85.864791591722664</v>
      </c>
      <c r="F596" s="829" t="s">
        <v>1317</v>
      </c>
      <c r="G596" s="829">
        <v>1</v>
      </c>
      <c r="H596" s="829" t="s">
        <v>11</v>
      </c>
      <c r="I596" s="831"/>
      <c r="J596" s="1189"/>
      <c r="K596" s="1189"/>
    </row>
    <row r="597" spans="1:11" s="137" customFormat="1" ht="18" hidden="1" customHeight="1" outlineLevel="1" x14ac:dyDescent="0.25">
      <c r="A597" s="1189"/>
      <c r="B597" s="822" t="s">
        <v>3200</v>
      </c>
      <c r="C597" s="2178" t="s">
        <v>3242</v>
      </c>
      <c r="D597" s="2179" t="s">
        <v>3469</v>
      </c>
      <c r="E597" s="823">
        <f>0</f>
        <v>0</v>
      </c>
      <c r="F597" s="815" t="s">
        <v>1317</v>
      </c>
      <c r="G597" s="815">
        <v>1</v>
      </c>
      <c r="H597" s="815" t="s">
        <v>1153</v>
      </c>
      <c r="I597" s="816"/>
      <c r="J597" s="1189"/>
      <c r="K597" s="1189"/>
    </row>
    <row r="598" spans="1:11" s="137" customFormat="1" ht="18" hidden="1" customHeight="1" outlineLevel="1" x14ac:dyDescent="0.25">
      <c r="A598" s="1189"/>
      <c r="B598" s="822" t="s">
        <v>3208</v>
      </c>
      <c r="C598" s="2178" t="s">
        <v>3244</v>
      </c>
      <c r="D598" s="2180" t="s">
        <v>3245</v>
      </c>
      <c r="E598" s="823">
        <f>k_LaGNH3_sur*(S_GNH3_sur_sat-conc_NH3_I*M_MEQ_GNH3*c_L_m3)</f>
        <v>0</v>
      </c>
      <c r="F598" s="815" t="s">
        <v>1317</v>
      </c>
      <c r="G598" s="815">
        <v>1</v>
      </c>
      <c r="H598" s="815" t="s">
        <v>11</v>
      </c>
      <c r="I598" s="816"/>
      <c r="J598" s="1189"/>
      <c r="K598" s="1189"/>
    </row>
    <row r="599" spans="1:11" s="137" customFormat="1" ht="18" hidden="1" customHeight="1" outlineLevel="1" thickBot="1" x14ac:dyDescent="0.3">
      <c r="A599" s="1189"/>
      <c r="B599" s="824" t="s">
        <v>3208</v>
      </c>
      <c r="C599" s="2181" t="s">
        <v>3244</v>
      </c>
      <c r="D599" s="2175" t="s">
        <v>3470</v>
      </c>
      <c r="E599" s="825">
        <f>0</f>
        <v>0</v>
      </c>
      <c r="F599" s="820" t="s">
        <v>1317</v>
      </c>
      <c r="G599" s="820">
        <v>1</v>
      </c>
      <c r="H599" s="820" t="s">
        <v>1153</v>
      </c>
      <c r="I599" s="821"/>
      <c r="J599" s="1189"/>
      <c r="K599" s="1189"/>
    </row>
    <row r="600" spans="1:11" customFormat="1" ht="15.75" collapsed="1" thickBot="1" x14ac:dyDescent="0.3">
      <c r="A600" s="1281"/>
      <c r="B600" s="1285"/>
      <c r="C600" s="1285"/>
      <c r="D600" s="1285"/>
      <c r="E600" s="2527"/>
      <c r="F600" s="1285"/>
      <c r="G600" s="1285"/>
      <c r="H600" s="1285"/>
      <c r="I600" s="1285"/>
      <c r="J600" s="1281"/>
      <c r="K600" s="1281"/>
    </row>
    <row r="601" spans="1:11" customFormat="1" ht="15.75" thickBot="1" x14ac:dyDescent="0.3">
      <c r="A601" s="1281"/>
      <c r="B601" s="1187"/>
      <c r="C601" s="1390" t="s">
        <v>442</v>
      </c>
      <c r="D601" s="1335" t="s">
        <v>299</v>
      </c>
      <c r="E601" s="1335"/>
      <c r="F601" s="1187"/>
      <c r="G601" s="1187"/>
      <c r="H601" s="1187"/>
      <c r="I601" s="1187"/>
      <c r="J601" s="1281"/>
      <c r="K601" s="1281"/>
    </row>
    <row r="602" spans="1:11" customFormat="1" ht="15.75" thickBot="1" x14ac:dyDescent="0.3">
      <c r="A602" s="1281"/>
      <c r="B602" s="2532" t="s">
        <v>0</v>
      </c>
      <c r="C602" s="2535" t="s">
        <v>1</v>
      </c>
      <c r="D602" s="2538" t="s">
        <v>5</v>
      </c>
      <c r="E602" s="2538" t="s">
        <v>152</v>
      </c>
      <c r="F602" s="2538" t="s">
        <v>2</v>
      </c>
      <c r="G602" s="2538" t="s">
        <v>298</v>
      </c>
      <c r="H602" s="2538" t="s">
        <v>116</v>
      </c>
      <c r="I602" s="2541" t="s">
        <v>117</v>
      </c>
      <c r="J602" s="1281"/>
      <c r="K602" s="1281"/>
    </row>
    <row r="603" spans="1:11" ht="18" hidden="1" customHeight="1" outlineLevel="1" x14ac:dyDescent="0.25">
      <c r="A603" s="1187"/>
      <c r="B603" s="900" t="s">
        <v>3634</v>
      </c>
      <c r="C603" s="901" t="s">
        <v>3639</v>
      </c>
      <c r="D603" s="901" t="s">
        <v>3644</v>
      </c>
      <c r="E603" s="717">
        <f>f_kL_GN2*(D_GN2_25/D_GO2_25)^0.5*k_L_GO2_bub</f>
        <v>11.827508281675817</v>
      </c>
      <c r="F603" s="901" t="s">
        <v>3246</v>
      </c>
      <c r="G603" s="901">
        <v>2</v>
      </c>
      <c r="H603" s="902"/>
      <c r="I603" s="903"/>
      <c r="J603" s="1187"/>
      <c r="K603" s="1187"/>
    </row>
    <row r="604" spans="1:11" ht="18" hidden="1" customHeight="1" outlineLevel="1" x14ac:dyDescent="0.25">
      <c r="A604" s="1187"/>
      <c r="B604" s="904" t="s">
        <v>3635</v>
      </c>
      <c r="C604" s="906" t="s">
        <v>3640</v>
      </c>
      <c r="D604" s="906" t="s">
        <v>3645</v>
      </c>
      <c r="E604" s="905">
        <f>f_kL_GCO2*(D_GCO2_25/D_GO2_25)^0.5*k_L_GO2_bub</f>
        <v>11.5508031163023</v>
      </c>
      <c r="F604" s="906" t="s">
        <v>3246</v>
      </c>
      <c r="G604" s="906">
        <v>2</v>
      </c>
      <c r="H604" s="907"/>
      <c r="I604" s="757"/>
      <c r="J604" s="1187"/>
      <c r="K604" s="1187"/>
    </row>
    <row r="605" spans="1:11" ht="18" hidden="1" customHeight="1" outlineLevel="1" x14ac:dyDescent="0.25">
      <c r="A605" s="1187"/>
      <c r="B605" s="904" t="s">
        <v>3636</v>
      </c>
      <c r="C605" s="906" t="s">
        <v>3641</v>
      </c>
      <c r="D605" s="906" t="s">
        <v>3646</v>
      </c>
      <c r="E605" s="905">
        <f>f_kL_GCH4*(D_GCH4_25/D_GO2_25)^0.5*k_L_GO2_bub</f>
        <v>10.976486395405258</v>
      </c>
      <c r="F605" s="906" t="s">
        <v>3246</v>
      </c>
      <c r="G605" s="906">
        <v>2</v>
      </c>
      <c r="H605" s="907"/>
      <c r="I605" s="757"/>
      <c r="J605" s="1187"/>
      <c r="K605" s="1187"/>
    </row>
    <row r="606" spans="1:11" ht="18" hidden="1" customHeight="1" outlineLevel="1" x14ac:dyDescent="0.25">
      <c r="A606" s="1187"/>
      <c r="B606" s="904" t="s">
        <v>3637</v>
      </c>
      <c r="C606" s="906" t="s">
        <v>3642</v>
      </c>
      <c r="D606" s="906" t="s">
        <v>3647</v>
      </c>
      <c r="E606" s="905">
        <f>f_kL_GH2*(D_GH2_25/D_GO2_25)^0.5*k_L_GO2_bub</f>
        <v>19.07552353373622</v>
      </c>
      <c r="F606" s="906" t="s">
        <v>3246</v>
      </c>
      <c r="G606" s="906">
        <v>2</v>
      </c>
      <c r="H606" s="907"/>
      <c r="I606" s="757"/>
      <c r="J606" s="1187"/>
      <c r="K606" s="1187"/>
    </row>
    <row r="607" spans="1:11" ht="18" hidden="1" customHeight="1" outlineLevel="1" x14ac:dyDescent="0.25">
      <c r="A607" s="1187"/>
      <c r="B607" s="904" t="s">
        <v>3638</v>
      </c>
      <c r="C607" s="906" t="s">
        <v>3643</v>
      </c>
      <c r="D607" s="906" t="s">
        <v>3648</v>
      </c>
      <c r="E607" s="905">
        <f>f_kL_GNH3*(D_GNH3_25/D_GO2_25)^0.5*k_L_GO2_bub</f>
        <v>1.1001798895970079</v>
      </c>
      <c r="F607" s="906" t="s">
        <v>3246</v>
      </c>
      <c r="G607" s="906">
        <v>2</v>
      </c>
      <c r="H607" s="907"/>
      <c r="I607" s="757"/>
      <c r="J607" s="1187"/>
      <c r="K607" s="1187"/>
    </row>
    <row r="608" spans="1:11" ht="18" hidden="1" customHeight="1" outlineLevel="1" x14ac:dyDescent="0.25">
      <c r="A608" s="1187"/>
      <c r="B608" s="904" t="s">
        <v>3649</v>
      </c>
      <c r="C608" s="906" t="s">
        <v>3654</v>
      </c>
      <c r="D608" s="906" t="s">
        <v>3659</v>
      </c>
      <c r="E608" s="905">
        <f>f_kL_GN2*(D_GN2_25/D_GO2_25)^0.5*k_L_GO2_sur</f>
        <v>6.9145433031335548</v>
      </c>
      <c r="F608" s="906" t="s">
        <v>3246</v>
      </c>
      <c r="G608" s="906">
        <v>2</v>
      </c>
      <c r="H608" s="907"/>
      <c r="I608" s="757"/>
      <c r="J608" s="1187"/>
      <c r="K608" s="1187"/>
    </row>
    <row r="609" spans="1:11" ht="18" hidden="1" customHeight="1" outlineLevel="1" x14ac:dyDescent="0.25">
      <c r="A609" s="1187"/>
      <c r="B609" s="904" t="s">
        <v>3650</v>
      </c>
      <c r="C609" s="906" t="s">
        <v>3655</v>
      </c>
      <c r="D609" s="906" t="s">
        <v>3660</v>
      </c>
      <c r="E609" s="905">
        <f>f_kL_GCO2*(D_GCO2_25/D_GO2_25)^0.5*k_L_GO2_sur</f>
        <v>6.7527772064536524</v>
      </c>
      <c r="F609" s="906" t="s">
        <v>3246</v>
      </c>
      <c r="G609" s="906">
        <v>2</v>
      </c>
      <c r="H609" s="907"/>
      <c r="I609" s="757"/>
      <c r="J609" s="1187"/>
      <c r="K609" s="1187"/>
    </row>
    <row r="610" spans="1:11" ht="18" hidden="1" customHeight="1" outlineLevel="1" x14ac:dyDescent="0.25">
      <c r="A610" s="1187"/>
      <c r="B610" s="904" t="s">
        <v>3651</v>
      </c>
      <c r="C610" s="906" t="s">
        <v>3656</v>
      </c>
      <c r="D610" s="906" t="s">
        <v>3661</v>
      </c>
      <c r="E610" s="905">
        <f>f_kL_GCH4*(D_GCH4_25/D_GO2_25)^0.5*k_L_GO2_sur</f>
        <v>6.4170228157753817</v>
      </c>
      <c r="F610" s="906" t="s">
        <v>3246</v>
      </c>
      <c r="G610" s="906">
        <v>2</v>
      </c>
      <c r="H610" s="907"/>
      <c r="I610" s="757"/>
      <c r="J610" s="1187"/>
      <c r="K610" s="1187"/>
    </row>
    <row r="611" spans="1:11" ht="18" hidden="1" customHeight="1" outlineLevel="1" x14ac:dyDescent="0.25">
      <c r="A611" s="1187"/>
      <c r="B611" s="904" t="s">
        <v>3652</v>
      </c>
      <c r="C611" s="906" t="s">
        <v>3657</v>
      </c>
      <c r="D611" s="906" t="s">
        <v>3662</v>
      </c>
      <c r="E611" s="905">
        <f>f_kL_GH2*(D_GH2_25/D_GO2_25)^0.5*k_L_GO2_sur</f>
        <v>11.151844527415021</v>
      </c>
      <c r="F611" s="906" t="s">
        <v>3246</v>
      </c>
      <c r="G611" s="906">
        <v>2</v>
      </c>
      <c r="H611" s="907"/>
      <c r="I611" s="757"/>
      <c r="J611" s="1187"/>
      <c r="K611" s="1187"/>
    </row>
    <row r="612" spans="1:11" ht="18" hidden="1" customHeight="1" outlineLevel="1" thickBot="1" x14ac:dyDescent="0.3">
      <c r="A612" s="1187"/>
      <c r="B612" s="908" t="s">
        <v>3653</v>
      </c>
      <c r="C612" s="909" t="s">
        <v>3658</v>
      </c>
      <c r="D612" s="909" t="s">
        <v>3663</v>
      </c>
      <c r="E612" s="850">
        <f>f_kL_GNH3*(D_GNH3_25/D_GO2_25)^0.5*k_L_GO2_sur</f>
        <v>0.64318208930286602</v>
      </c>
      <c r="F612" s="909" t="s">
        <v>3246</v>
      </c>
      <c r="G612" s="909">
        <v>2</v>
      </c>
      <c r="H612" s="759"/>
      <c r="I612" s="762"/>
      <c r="J612" s="1187"/>
      <c r="K612" s="1187"/>
    </row>
    <row r="613" spans="1:11" customFormat="1" ht="15.75" collapsed="1" thickBot="1" x14ac:dyDescent="0.3">
      <c r="A613" s="1281"/>
      <c r="B613" s="1285"/>
      <c r="C613" s="1285"/>
      <c r="D613" s="1285"/>
      <c r="E613" s="2527"/>
      <c r="F613" s="1285"/>
      <c r="G613" s="1285"/>
      <c r="H613" s="1285"/>
      <c r="I613" s="1285"/>
      <c r="J613" s="1281"/>
      <c r="K613" s="1281"/>
    </row>
    <row r="614" spans="1:11" customFormat="1" ht="15.75" thickBot="1" x14ac:dyDescent="0.3">
      <c r="A614" s="1281"/>
      <c r="B614" s="1187"/>
      <c r="C614" s="1390" t="s">
        <v>4226</v>
      </c>
      <c r="D614" s="1335" t="s">
        <v>299</v>
      </c>
      <c r="E614" s="1335"/>
      <c r="F614" s="1187"/>
      <c r="G614" s="1187"/>
      <c r="H614" s="1187"/>
      <c r="I614" s="1187"/>
      <c r="J614" s="1281"/>
      <c r="K614" s="1281"/>
    </row>
    <row r="615" spans="1:11" customFormat="1" ht="15.75" thickBot="1" x14ac:dyDescent="0.3">
      <c r="A615" s="1281"/>
      <c r="B615" s="2532" t="s">
        <v>0</v>
      </c>
      <c r="C615" s="2535" t="s">
        <v>1</v>
      </c>
      <c r="D615" s="2538" t="s">
        <v>5</v>
      </c>
      <c r="E615" s="2538" t="s">
        <v>152</v>
      </c>
      <c r="F615" s="2538" t="s">
        <v>2</v>
      </c>
      <c r="G615" s="2538" t="s">
        <v>298</v>
      </c>
      <c r="H615" s="2538" t="s">
        <v>116</v>
      </c>
      <c r="I615" s="2541" t="s">
        <v>117</v>
      </c>
      <c r="J615" s="1281"/>
      <c r="K615" s="1281"/>
    </row>
    <row r="616" spans="1:11" customFormat="1" hidden="1" outlineLevel="1" x14ac:dyDescent="0.35">
      <c r="A616" s="1285"/>
      <c r="B616" s="1391" t="s">
        <v>4774</v>
      </c>
      <c r="C616" s="2290" t="s">
        <v>4775</v>
      </c>
      <c r="D616" s="2291" t="s">
        <v>4776</v>
      </c>
      <c r="E616" s="2292">
        <f>q_ALPHA*((1-f_O2_max_ALPHA)*S_O2/(K_O2_ALPHA+S_O2)+f_O2_max_ALPHA)</f>
        <v>1.4512195121951217E-3</v>
      </c>
      <c r="F616" s="2293" t="s">
        <v>4217</v>
      </c>
      <c r="G616" s="2294">
        <v>4</v>
      </c>
      <c r="H616" s="2295"/>
      <c r="I616" s="2296"/>
      <c r="J616" s="1281"/>
      <c r="K616" s="1281"/>
    </row>
    <row r="617" spans="1:11" customFormat="1" hidden="1" outlineLevel="1" x14ac:dyDescent="0.35">
      <c r="A617" s="1285"/>
      <c r="B617" s="1391" t="s">
        <v>4227</v>
      </c>
      <c r="C617" s="2297" t="s">
        <v>4777</v>
      </c>
      <c r="D617" s="2291" t="s">
        <v>4228</v>
      </c>
      <c r="E617" s="2298">
        <f>1+c_oeffdamp_ALPHA*(S_ALPHA/S_ALPHA_sat)^p_owdamp_ALPHA</f>
        <v>1.0266520317554391</v>
      </c>
      <c r="F617" s="2293" t="s">
        <v>2018</v>
      </c>
      <c r="G617" s="2294">
        <v>2</v>
      </c>
      <c r="H617" s="2295"/>
      <c r="I617" s="2296"/>
      <c r="J617" s="1281"/>
      <c r="K617" s="1281"/>
    </row>
    <row r="618" spans="1:11" customFormat="1" hidden="1" outlineLevel="1" x14ac:dyDescent="0.35">
      <c r="A618" s="1285"/>
      <c r="B618" s="1391" t="s">
        <v>4778</v>
      </c>
      <c r="C618" s="2297" t="s">
        <v>4779</v>
      </c>
      <c r="D618" s="2291" t="s">
        <v>4780</v>
      </c>
      <c r="E618" s="2298">
        <f>(S_ALPHA-1)*EXP(s_lh_diff_α*h_diff)+1</f>
        <v>0.87571117407946009</v>
      </c>
      <c r="F618" s="2293" t="s">
        <v>2018</v>
      </c>
      <c r="G618" s="2294">
        <v>2</v>
      </c>
      <c r="H618" s="2295" t="s">
        <v>4788</v>
      </c>
      <c r="I618" s="2296"/>
      <c r="J618" s="1281"/>
      <c r="K618" s="1281"/>
    </row>
    <row r="619" spans="1:11" customFormat="1" hidden="1" outlineLevel="1" x14ac:dyDescent="0.35">
      <c r="A619" s="1285"/>
      <c r="B619" s="1391" t="s">
        <v>4229</v>
      </c>
      <c r="C619" s="2297" t="s">
        <v>4781</v>
      </c>
      <c r="D619" s="2291" t="s">
        <v>4230</v>
      </c>
      <c r="E619" s="2298">
        <f>EXP(s_lTSS_α_def*X_TSS/c_g_kg)</f>
        <v>0.84209673038997668</v>
      </c>
      <c r="F619" s="2293" t="s">
        <v>2018</v>
      </c>
      <c r="G619" s="2294">
        <v>2</v>
      </c>
      <c r="H619" s="2295" t="s">
        <v>4789</v>
      </c>
      <c r="I619" s="2296"/>
      <c r="J619" s="1281"/>
      <c r="K619" s="1281"/>
    </row>
    <row r="620" spans="1:11" customFormat="1" hidden="1" outlineLevel="1" x14ac:dyDescent="0.35">
      <c r="A620" s="1285"/>
      <c r="B620" s="1391" t="s">
        <v>4229</v>
      </c>
      <c r="C620" s="2297" t="s">
        <v>4781</v>
      </c>
      <c r="D620" s="2291" t="s">
        <v>4231</v>
      </c>
      <c r="E620" s="2298">
        <f>EXP(s_lTSS_α_coarse*X_TSS/c_g_kg)</f>
        <v>0.89174630963390844</v>
      </c>
      <c r="F620" s="2293" t="s">
        <v>2018</v>
      </c>
      <c r="G620" s="2294">
        <v>2</v>
      </c>
      <c r="H620" s="2295" t="s">
        <v>4232</v>
      </c>
      <c r="I620" s="2296"/>
      <c r="J620" s="1281"/>
      <c r="K620" s="1281"/>
    </row>
    <row r="621" spans="1:11" customFormat="1" hidden="1" outlineLevel="1" x14ac:dyDescent="0.35">
      <c r="A621" s="1285"/>
      <c r="B621" s="1391" t="s">
        <v>4229</v>
      </c>
      <c r="C621" s="2297" t="s">
        <v>4781</v>
      </c>
      <c r="D621" s="2291" t="s">
        <v>4231</v>
      </c>
      <c r="E621" s="2298">
        <f>EXP(s_lTSS_α_coarse*X_TSS/c_g_kg)</f>
        <v>0.89174630963390844</v>
      </c>
      <c r="F621" s="2293" t="s">
        <v>2018</v>
      </c>
      <c r="G621" s="2294">
        <v>2</v>
      </c>
      <c r="H621" s="2295" t="s">
        <v>4233</v>
      </c>
      <c r="I621" s="2296"/>
      <c r="J621" s="1281"/>
      <c r="K621" s="1281"/>
    </row>
    <row r="622" spans="1:11" customFormat="1" hidden="1" outlineLevel="1" x14ac:dyDescent="0.35">
      <c r="A622" s="1285"/>
      <c r="B622" s="1391" t="s">
        <v>4229</v>
      </c>
      <c r="C622" s="2297" t="s">
        <v>4781</v>
      </c>
      <c r="D622" s="2291" t="s">
        <v>4234</v>
      </c>
      <c r="E622" s="2298">
        <f>c_oefflead_TSS_α_mech*(X_TSS/c_g_kg)^2+c_oefflin_TSS_α_mech*X_TSS/c_g_kg+c_onstTSS_α_mech</f>
        <v>0.92848002219747849</v>
      </c>
      <c r="F622" s="2293" t="s">
        <v>2018</v>
      </c>
      <c r="G622" s="2294">
        <v>2</v>
      </c>
      <c r="H622" s="2295" t="s">
        <v>4235</v>
      </c>
      <c r="I622" s="2296"/>
      <c r="J622" s="1281"/>
      <c r="K622" s="1281"/>
    </row>
    <row r="623" spans="1:11" customFormat="1" hidden="1" outlineLevel="1" x14ac:dyDescent="0.35">
      <c r="A623" s="1285"/>
      <c r="B623" s="2314" t="s">
        <v>4236</v>
      </c>
      <c r="C623" s="2315" t="s">
        <v>4237</v>
      </c>
      <c r="D623" s="2316" t="s">
        <v>4782</v>
      </c>
      <c r="E623" s="2317">
        <f>S_ALPHA/c_orrh_diff_α*c_orrTSS_α</f>
        <v>0.48080734568402728</v>
      </c>
      <c r="F623" s="2318" t="s">
        <v>2018</v>
      </c>
      <c r="G623" s="2319">
        <v>2</v>
      </c>
      <c r="H623" s="2321" t="s">
        <v>4788</v>
      </c>
      <c r="I623" s="2320"/>
      <c r="J623" s="1281"/>
      <c r="K623" s="1281"/>
    </row>
    <row r="624" spans="1:11" customFormat="1" ht="18.75" hidden="1" outlineLevel="1" thickBot="1" x14ac:dyDescent="0.4">
      <c r="A624" s="1285"/>
      <c r="B624" s="1392" t="s">
        <v>4236</v>
      </c>
      <c r="C624" s="2299" t="s">
        <v>4237</v>
      </c>
      <c r="D624" s="2300" t="s">
        <v>4787</v>
      </c>
      <c r="E624" s="2301">
        <f>S_ALPHA*c_orrTSS_α</f>
        <v>0.42104836519498834</v>
      </c>
      <c r="F624" s="2302" t="s">
        <v>2018</v>
      </c>
      <c r="G624" s="2303">
        <v>2</v>
      </c>
      <c r="H624" s="2304" t="s">
        <v>4235</v>
      </c>
      <c r="I624" s="2305"/>
      <c r="J624" s="1281"/>
      <c r="K624" s="1281"/>
    </row>
    <row r="625" spans="1:11" ht="18" customHeight="1" collapsed="1" thickBot="1" x14ac:dyDescent="0.3">
      <c r="A625" s="1187"/>
      <c r="B625" s="1187"/>
      <c r="C625" s="1187"/>
      <c r="D625" s="1187"/>
      <c r="E625" s="1354"/>
      <c r="F625" s="1187"/>
      <c r="G625" s="1187"/>
      <c r="H625" s="1187"/>
      <c r="I625" s="1187"/>
      <c r="J625" s="1187"/>
      <c r="K625" s="1187"/>
    </row>
    <row r="626" spans="1:11" s="137" customFormat="1" ht="18" customHeight="1" thickBot="1" x14ac:dyDescent="0.3">
      <c r="A626" s="1189"/>
      <c r="B626" s="1187"/>
      <c r="C626" s="148" t="s">
        <v>279</v>
      </c>
      <c r="D626" s="1335" t="s">
        <v>1216</v>
      </c>
      <c r="E626" s="1335"/>
      <c r="F626" s="1187"/>
      <c r="G626" s="1187"/>
      <c r="H626" s="1187"/>
      <c r="I626" s="1187"/>
      <c r="J626" s="1189"/>
      <c r="K626" s="1189"/>
    </row>
    <row r="627" spans="1:11" s="137" customFormat="1" ht="18" customHeight="1" thickBot="1" x14ac:dyDescent="0.3">
      <c r="A627" s="1189"/>
      <c r="B627" s="280" t="s">
        <v>0</v>
      </c>
      <c r="C627" s="2054" t="s">
        <v>1</v>
      </c>
      <c r="D627" s="293" t="s">
        <v>5</v>
      </c>
      <c r="E627" s="293" t="s">
        <v>152</v>
      </c>
      <c r="F627" s="293" t="s">
        <v>2</v>
      </c>
      <c r="G627" s="293" t="s">
        <v>298</v>
      </c>
      <c r="H627" s="293" t="s">
        <v>116</v>
      </c>
      <c r="I627" s="294" t="s">
        <v>117</v>
      </c>
      <c r="J627" s="1189"/>
      <c r="K627" s="1189"/>
    </row>
    <row r="628" spans="1:11" s="137" customFormat="1" ht="18" hidden="1" customHeight="1" outlineLevel="1" x14ac:dyDescent="0.25">
      <c r="A628" s="1189"/>
      <c r="B628" s="261" t="s">
        <v>1871</v>
      </c>
      <c r="C628" s="2150" t="s">
        <v>1217</v>
      </c>
      <c r="D628" s="2150" t="s">
        <v>3333</v>
      </c>
      <c r="E628" s="2052">
        <f>T__+T_STP_K</f>
        <v>293.14999999999998</v>
      </c>
      <c r="F628" s="262" t="s">
        <v>474</v>
      </c>
      <c r="G628" s="262">
        <v>1</v>
      </c>
      <c r="H628" s="262"/>
      <c r="I628" s="406"/>
      <c r="J628" s="1189"/>
      <c r="K628" s="1189"/>
    </row>
    <row r="629" spans="1:11" s="137" customFormat="1" ht="18" hidden="1" customHeight="1" outlineLevel="1" thickBot="1" x14ac:dyDescent="0.3">
      <c r="A629" s="1189"/>
      <c r="B629" s="268" t="s">
        <v>284</v>
      </c>
      <c r="C629" s="2182" t="s">
        <v>1218</v>
      </c>
      <c r="D629" s="2182" t="s">
        <v>3334</v>
      </c>
      <c r="E629" s="2053">
        <f>(H__-H_STP)/c_p_water</f>
        <v>20</v>
      </c>
      <c r="F629" s="716" t="s">
        <v>1219</v>
      </c>
      <c r="G629" s="716">
        <v>1</v>
      </c>
      <c r="H629" s="716"/>
      <c r="I629" s="411"/>
      <c r="J629" s="1189"/>
      <c r="K629" s="1189"/>
    </row>
    <row r="630" spans="1:11" ht="18" customHeight="1" collapsed="1" x14ac:dyDescent="0.25"/>
  </sheetData>
  <phoneticPr fontId="31" type="noConversion"/>
  <conditionalFormatting sqref="B554:B555 E554:E555">
    <cfRule type="cellIs" dxfId="131" priority="60" stopIfTrue="1" operator="notEqual">
      <formula>INDIRECT("Dummy_for_Comparison5!"&amp;ADDRESS(ROW(),COLUMN()))</formula>
    </cfRule>
  </conditionalFormatting>
  <conditionalFormatting sqref="F554:H554">
    <cfRule type="cellIs" dxfId="130" priority="59" stopIfTrue="1" operator="notEqual">
      <formula>INDIRECT("Dummy_for_Comparison5!"&amp;ADDRESS(ROW(),COLUMN()))</formula>
    </cfRule>
  </conditionalFormatting>
  <conditionalFormatting sqref="D552">
    <cfRule type="cellIs" dxfId="129" priority="64" stopIfTrue="1" operator="notEqual">
      <formula>INDIRECT("Dummy_for_Comparison5!"&amp;ADDRESS(ROW(),COLUMN()))</formula>
    </cfRule>
  </conditionalFormatting>
  <conditionalFormatting sqref="L557">
    <cfRule type="cellIs" dxfId="128" priority="62" stopIfTrue="1" operator="notEqual">
      <formula>INDIRECT("Dummy_for_Comparison5!"&amp;ADDRESS(ROW(),COLUMN()))</formula>
    </cfRule>
  </conditionalFormatting>
  <conditionalFormatting sqref="B556 E556:H556">
    <cfRule type="cellIs" dxfId="127" priority="63" stopIfTrue="1" operator="notEqual">
      <formula>INDIRECT("Dummy_for_Comparison5!"&amp;ADDRESS(ROW(),COLUMN()))</formula>
    </cfRule>
  </conditionalFormatting>
  <conditionalFormatting sqref="H557">
    <cfRule type="cellIs" dxfId="126" priority="61" stopIfTrue="1" operator="notEqual">
      <formula>INDIRECT("Dummy_for_Comparison5!"&amp;ADDRESS(ROW(),COLUMN()))</formula>
    </cfRule>
  </conditionalFormatting>
  <conditionalFormatting sqref="H555">
    <cfRule type="cellIs" dxfId="125" priority="58" stopIfTrue="1" operator="notEqual">
      <formula>INDIRECT("Dummy_for_Comparison5!"&amp;ADDRESS(ROW(),COLUMN()))</formula>
    </cfRule>
  </conditionalFormatting>
  <conditionalFormatting sqref="D562">
    <cfRule type="cellIs" dxfId="124" priority="79" stopIfTrue="1" operator="notEqual">
      <formula>INDIRECT("Dummy_for_Comparison5!"&amp;ADDRESS(ROW(),COLUMN()))</formula>
    </cfRule>
  </conditionalFormatting>
  <conditionalFormatting sqref="H561:H562">
    <cfRule type="cellIs" dxfId="123" priority="78" stopIfTrue="1" operator="notEqual">
      <formula>INDIRECT("Dummy_for_Comparison5!"&amp;ADDRESS(ROW(),COLUMN()))</formula>
    </cfRule>
  </conditionalFormatting>
  <conditionalFormatting sqref="D563">
    <cfRule type="cellIs" dxfId="122" priority="77" stopIfTrue="1" operator="notEqual">
      <formula>INDIRECT("Dummy_for_Comparison5!"&amp;ADDRESS(ROW(),COLUMN()))</formula>
    </cfRule>
  </conditionalFormatting>
  <conditionalFormatting sqref="H563">
    <cfRule type="cellIs" dxfId="121" priority="76" stopIfTrue="1" operator="notEqual">
      <formula>INDIRECT("Dummy_for_Comparison5!"&amp;ADDRESS(ROW(),COLUMN()))</formula>
    </cfRule>
  </conditionalFormatting>
  <conditionalFormatting sqref="F547:H547">
    <cfRule type="cellIs" dxfId="120" priority="52" stopIfTrue="1" operator="notEqual">
      <formula>INDIRECT("Dummy_for_Comparison5!"&amp;ADDRESS(ROW(),COLUMN()))</formula>
    </cfRule>
  </conditionalFormatting>
  <conditionalFormatting sqref="H548">
    <cfRule type="cellIs" dxfId="119" priority="51" stopIfTrue="1" operator="notEqual">
      <formula>INDIRECT("Dummy_for_Comparison5!"&amp;ADDRESS(ROW(),COLUMN()))</formula>
    </cfRule>
  </conditionalFormatting>
  <conditionalFormatting sqref="I561">
    <cfRule type="cellIs" dxfId="118" priority="49" stopIfTrue="1" operator="notEqual">
      <formula>INDIRECT("Dummy_for_Comparison5!"&amp;ADDRESS(ROW(),COLUMN()))</formula>
    </cfRule>
  </conditionalFormatting>
  <conditionalFormatting sqref="D561">
    <cfRule type="cellIs" dxfId="117" priority="48" stopIfTrue="1" operator="notEqual">
      <formula>INDIRECT("Dummy_for_Comparison5!"&amp;ADDRESS(ROW(),COLUMN()))</formula>
    </cfRule>
  </conditionalFormatting>
  <conditionalFormatting sqref="D545">
    <cfRule type="cellIs" dxfId="116" priority="57" stopIfTrue="1" operator="notEqual">
      <formula>INDIRECT("Dummy_for_Comparison5!"&amp;ADDRESS(ROW(),COLUMN()))</formula>
    </cfRule>
  </conditionalFormatting>
  <conditionalFormatting sqref="B549 E549:H549">
    <cfRule type="cellIs" dxfId="115" priority="56" stopIfTrue="1" operator="notEqual">
      <formula>INDIRECT("Dummy_for_Comparison5!"&amp;ADDRESS(ROW(),COLUMN()))</formula>
    </cfRule>
  </conditionalFormatting>
  <conditionalFormatting sqref="H550">
    <cfRule type="cellIs" dxfId="114" priority="54" stopIfTrue="1" operator="notEqual">
      <formula>INDIRECT("Dummy_for_Comparison5!"&amp;ADDRESS(ROW(),COLUMN()))</formula>
    </cfRule>
  </conditionalFormatting>
  <conditionalFormatting sqref="L550">
    <cfRule type="cellIs" dxfId="113" priority="55" stopIfTrue="1" operator="notEqual">
      <formula>INDIRECT("Dummy_for_Comparison5!"&amp;ADDRESS(ROW(),COLUMN()))</formula>
    </cfRule>
  </conditionalFormatting>
  <conditionalFormatting sqref="B547:B548 E547:E548">
    <cfRule type="cellIs" dxfId="112" priority="53" stopIfTrue="1" operator="notEqual">
      <formula>INDIRECT("Dummy_for_Comparison5!"&amp;ADDRESS(ROW(),COLUMN()))</formula>
    </cfRule>
  </conditionalFormatting>
  <conditionalFormatting sqref="E542:H542 B542">
    <cfRule type="cellIs" dxfId="111" priority="20" stopIfTrue="1" operator="notEqual">
      <formula>INDIRECT("Dummy_for_Comparison5!"&amp;ADDRESS(ROW(),COLUMN()))</formula>
    </cfRule>
  </conditionalFormatting>
  <conditionalFormatting sqref="C540">
    <cfRule type="cellIs" dxfId="110" priority="21" stopIfTrue="1" operator="notEqual">
      <formula>INDIRECT("Dummy_for_Comparison5!"&amp;ADDRESS(ROW(),COLUMN()))</formula>
    </cfRule>
  </conditionalFormatting>
  <conditionalFormatting sqref="J542">
    <cfRule type="cellIs" dxfId="109" priority="19" stopIfTrue="1" operator="notEqual">
      <formula>INDIRECT("Dummy_for_Comparison5!"&amp;ADDRESS(ROW(),COLUMN()))</formula>
    </cfRule>
  </conditionalFormatting>
  <conditionalFormatting sqref="J537">
    <cfRule type="cellIs" dxfId="108" priority="18" stopIfTrue="1" operator="notEqual">
      <formula>INDIRECT("Dummy_for_Comparison5!"&amp;ADDRESS(ROW(),COLUMN()))</formula>
    </cfRule>
  </conditionalFormatting>
  <conditionalFormatting sqref="J538">
    <cfRule type="cellIs" dxfId="107" priority="17" stopIfTrue="1" operator="notEqual">
      <formula>INDIRECT("Dummy_for_Comparison5!"&amp;ADDRESS(ROW(),COLUMN()))</formula>
    </cfRule>
  </conditionalFormatting>
  <conditionalFormatting sqref="D520 B519:B520">
    <cfRule type="cellIs" dxfId="106" priority="36" stopIfTrue="1" operator="notEqual">
      <formula>INDIRECT("Dummy_for_Comparison5!"&amp;ADDRESS(ROW(),COLUMN()))</formula>
    </cfRule>
  </conditionalFormatting>
  <conditionalFormatting sqref="F519:G519">
    <cfRule type="cellIs" dxfId="105" priority="35" stopIfTrue="1" operator="notEqual">
      <formula>INDIRECT("Dummy_for_Comparison5!"&amp;ADDRESS(ROW(),COLUMN()))</formula>
    </cfRule>
  </conditionalFormatting>
  <conditionalFormatting sqref="C529">
    <cfRule type="cellIs" dxfId="104" priority="13" stopIfTrue="1" operator="notEqual">
      <formula>INDIRECT("Dummy_for_Comparison5!"&amp;ADDRESS(ROW(),COLUMN()))</formula>
    </cfRule>
  </conditionalFormatting>
  <conditionalFormatting sqref="D519 F520:G520">
    <cfRule type="cellIs" dxfId="103" priority="37" stopIfTrue="1" operator="notEqual">
      <formula>INDIRECT("Dummy_for_Comparison5!"&amp;ADDRESS(ROW(),COLUMN()))</formula>
    </cfRule>
  </conditionalFormatting>
  <conditionalFormatting sqref="F531:G531">
    <cfRule type="cellIs" dxfId="102" priority="12" stopIfTrue="1" operator="notEqual">
      <formula>INDIRECT("Dummy_for_Comparison5!"&amp;ADDRESS(ROW(),COLUMN()))</formula>
    </cfRule>
  </conditionalFormatting>
  <conditionalFormatting sqref="L538 E534:K534">
    <cfRule type="cellIs" dxfId="101" priority="34" stopIfTrue="1" operator="notEqual">
      <formula>INDIRECT("Dummy_for_Comparison5!"&amp;ADDRESS(ROW(),COLUMN()))</formula>
    </cfRule>
  </conditionalFormatting>
  <conditionalFormatting sqref="B535 E537:F537 D535:K535 B537 H537">
    <cfRule type="cellIs" dxfId="100" priority="33" stopIfTrue="1" operator="notEqual">
      <formula>INDIRECT("Dummy_for_Comparison5!"&amp;ADDRESS(ROW(),COLUMN()))</formula>
    </cfRule>
  </conditionalFormatting>
  <conditionalFormatting sqref="B534 C535">
    <cfRule type="cellIs" dxfId="99" priority="32" stopIfTrue="1" operator="notEqual">
      <formula>INDIRECT("Dummy_for_Comparison5!"&amp;ADDRESS(ROW(),COLUMN()))</formula>
    </cfRule>
  </conditionalFormatting>
  <conditionalFormatting sqref="D534">
    <cfRule type="cellIs" dxfId="98" priority="31" stopIfTrue="1" operator="notEqual">
      <formula>INDIRECT("Dummy_for_Comparison5!"&amp;ADDRESS(ROW(),COLUMN()))</formula>
    </cfRule>
  </conditionalFormatting>
  <conditionalFormatting sqref="H538">
    <cfRule type="cellIs" dxfId="97" priority="30" stopIfTrue="1" operator="notEqual">
      <formula>INDIRECT("Dummy_for_Comparison5!"&amp;ADDRESS(ROW(),COLUMN()))</formula>
    </cfRule>
  </conditionalFormatting>
  <conditionalFormatting sqref="C534">
    <cfRule type="cellIs" dxfId="96" priority="29" stopIfTrue="1" operator="notEqual">
      <formula>INDIRECT("Dummy_for_Comparison5!"&amp;ADDRESS(ROW(),COLUMN()))</formula>
    </cfRule>
  </conditionalFormatting>
  <conditionalFormatting sqref="E536:H536 B536">
    <cfRule type="cellIs" dxfId="95" priority="28" stopIfTrue="1" operator="notEqual">
      <formula>INDIRECT("Dummy_for_Comparison5!"&amp;ADDRESS(ROW(),COLUMN()))</formula>
    </cfRule>
  </conditionalFormatting>
  <conditionalFormatting sqref="J536">
    <cfRule type="cellIs" dxfId="94" priority="27" stopIfTrue="1" operator="notEqual">
      <formula>INDIRECT("Dummy_for_Comparison5!"&amp;ADDRESS(ROW(),COLUMN()))</formula>
    </cfRule>
  </conditionalFormatting>
  <conditionalFormatting sqref="E540:K540">
    <cfRule type="cellIs" dxfId="93" priority="26" stopIfTrue="1" operator="notEqual">
      <formula>INDIRECT("Dummy_for_Comparison5!"&amp;ADDRESS(ROW(),COLUMN()))</formula>
    </cfRule>
  </conditionalFormatting>
  <conditionalFormatting sqref="B541 E543:F543 D541:K541 B543 H543">
    <cfRule type="cellIs" dxfId="92" priority="25" stopIfTrue="1" operator="notEqual">
      <formula>INDIRECT("Dummy_for_Comparison5!"&amp;ADDRESS(ROW(),COLUMN()))</formula>
    </cfRule>
  </conditionalFormatting>
  <conditionalFormatting sqref="B540 C541">
    <cfRule type="cellIs" dxfId="91" priority="24" stopIfTrue="1" operator="notEqual">
      <formula>INDIRECT("Dummy_for_Comparison5!"&amp;ADDRESS(ROW(),COLUMN()))</formula>
    </cfRule>
  </conditionalFormatting>
  <conditionalFormatting sqref="D540">
    <cfRule type="cellIs" dxfId="90" priority="23" stopIfTrue="1" operator="notEqual">
      <formula>INDIRECT("Dummy_for_Comparison5!"&amp;ADDRESS(ROW(),COLUMN()))</formula>
    </cfRule>
  </conditionalFormatting>
  <conditionalFormatting sqref="J543">
    <cfRule type="cellIs" dxfId="89" priority="22" stopIfTrue="1" operator="notEqual">
      <formula>INDIRECT("Dummy_for_Comparison5!"&amp;ADDRESS(ROW(),COLUMN()))</formula>
    </cfRule>
  </conditionalFormatting>
  <conditionalFormatting sqref="D532 E529:K529 B529:B532 J531:K532">
    <cfRule type="cellIs" dxfId="88" priority="15" stopIfTrue="1" operator="notEqual">
      <formula>INDIRECT("Dummy_for_Comparison5!"&amp;ADDRESS(ROW(),COLUMN()))</formula>
    </cfRule>
  </conditionalFormatting>
  <conditionalFormatting sqref="D530:D531 F530:K530 H531 F532:H532">
    <cfRule type="cellIs" dxfId="87" priority="16" stopIfTrue="1" operator="notEqual">
      <formula>INDIRECT("Dummy_for_Comparison5!"&amp;ADDRESS(ROW(),COLUMN()))</formula>
    </cfRule>
  </conditionalFormatting>
  <conditionalFormatting sqref="D529">
    <cfRule type="cellIs" dxfId="86" priority="14" stopIfTrue="1" operator="notEqual">
      <formula>INDIRECT("Dummy_for_Comparison5!"&amp;ADDRESS(ROW(),COLUMN()))</formula>
    </cfRule>
  </conditionalFormatting>
  <conditionalFormatting sqref="H520">
    <cfRule type="cellIs" dxfId="85" priority="11" stopIfTrue="1" operator="notEqual">
      <formula>INDIRECT("Dummy_for_Comparison5!"&amp;ADDRESS(ROW(),COLUMN()))</formula>
    </cfRule>
  </conditionalFormatting>
  <conditionalFormatting sqref="I519:I520">
    <cfRule type="cellIs" dxfId="84" priority="9" stopIfTrue="1" operator="notEqual">
      <formula>INDIRECT("Dummy_for_Comparison5!"&amp;ADDRESS(ROW(),COLUMN()))</formula>
    </cfRule>
  </conditionalFormatting>
  <conditionalFormatting sqref="I518">
    <cfRule type="cellIs" dxfId="83" priority="10" stopIfTrue="1" operator="notEqual">
      <formula>INDIRECT("Dummy_for_Comparison5!"&amp;ADDRESS(ROW(),COLUMN()))</formula>
    </cfRule>
  </conditionalFormatting>
  <conditionalFormatting sqref="D521 B521 I521">
    <cfRule type="cellIs" dxfId="82" priority="7" stopIfTrue="1" operator="notEqual">
      <formula>INDIRECT("Dummy_for_Comparison5!"&amp;ADDRESS(ROW(),COLUMN()))</formula>
    </cfRule>
  </conditionalFormatting>
  <conditionalFormatting sqref="F521:H521">
    <cfRule type="cellIs" dxfId="81" priority="8" stopIfTrue="1" operator="notEqual">
      <formula>INDIRECT("Dummy_for_Comparison5!"&amp;ADDRESS(ROW(),COLUMN()))</formula>
    </cfRule>
  </conditionalFormatting>
  <conditionalFormatting sqref="H519">
    <cfRule type="cellIs" dxfId="80" priority="6" stopIfTrue="1" operator="notEqual">
      <formula>INDIRECT("Dummy_for_Comparison5!"&amp;ADDRESS(ROW(),COLUMN()))</formula>
    </cfRule>
  </conditionalFormatting>
  <conditionalFormatting sqref="D526 B525:B526 I525:I526">
    <cfRule type="cellIs" dxfId="79" priority="4" stopIfTrue="1" operator="notEqual">
      <formula>INDIRECT("Dummy_for_Comparison5!"&amp;ADDRESS(ROW(),COLUMN()))</formula>
    </cfRule>
  </conditionalFormatting>
  <conditionalFormatting sqref="D525 H525 F526:H526">
    <cfRule type="cellIs" dxfId="78" priority="5" stopIfTrue="1" operator="notEqual">
      <formula>INDIRECT("Dummy_for_Comparison5!"&amp;ADDRESS(ROW(),COLUMN()))</formula>
    </cfRule>
  </conditionalFormatting>
  <conditionalFormatting sqref="F525:G525">
    <cfRule type="cellIs" dxfId="77" priority="3" stopIfTrue="1" operator="notEqual">
      <formula>INDIRECT("Dummy_for_Comparison5!"&amp;ADDRESS(ROW(),COLUMN()))</formula>
    </cfRule>
  </conditionalFormatting>
  <conditionalFormatting sqref="D527 B527 I527">
    <cfRule type="cellIs" dxfId="76" priority="1" stopIfTrue="1" operator="notEqual">
      <formula>INDIRECT("Dummy_for_Comparison5!"&amp;ADDRESS(ROW(),COLUMN()))</formula>
    </cfRule>
  </conditionalFormatting>
  <conditionalFormatting sqref="F527:H527">
    <cfRule type="cellIs" dxfId="75" priority="2"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L517"/>
  <sheetViews>
    <sheetView showGridLines="0" zoomScaleNormal="100" zoomScalePageLayoutView="85" workbookViewId="0">
      <selection activeCell="B3" sqref="B3:D517"/>
    </sheetView>
  </sheetViews>
  <sheetFormatPr defaultColWidth="9.28515625" defaultRowHeight="15" outlineLevelRow="1" x14ac:dyDescent="0.25"/>
  <cols>
    <col min="1" max="1" width="9.28515625" style="1969"/>
    <col min="2" max="2" width="13.28515625" style="1969" customWidth="1"/>
    <col min="3" max="3" width="58.28515625" style="1969" bestFit="1" customWidth="1"/>
    <col min="4" max="4" width="12.28515625" style="1969" bestFit="1" customWidth="1"/>
    <col min="5" max="5" width="8.7109375" style="1969" bestFit="1" customWidth="1"/>
    <col min="6" max="6" width="10.28515625" style="1969" bestFit="1" customWidth="1"/>
    <col min="7" max="7" width="18" style="1969" bestFit="1" customWidth="1"/>
    <col min="8" max="8" width="8.28515625" style="1969" bestFit="1" customWidth="1"/>
    <col min="9" max="9" width="9.28515625" style="1969"/>
    <col min="10" max="10" width="76.7109375" style="1969" customWidth="1"/>
    <col min="11" max="11" width="9.28515625" style="1969"/>
    <col min="12" max="12" width="29.28515625" style="1969" bestFit="1" customWidth="1"/>
    <col min="13" max="16384" width="9.28515625" style="1969"/>
  </cols>
  <sheetData>
    <row r="2" spans="2:10" ht="15.75" thickBot="1" x14ac:dyDescent="0.3">
      <c r="C2" s="2247" t="s">
        <v>469</v>
      </c>
    </row>
    <row r="3" spans="2:10" ht="15.75" thickBot="1" x14ac:dyDescent="0.3">
      <c r="B3" s="2248" t="s">
        <v>0</v>
      </c>
      <c r="C3" s="2249" t="s">
        <v>1</v>
      </c>
      <c r="D3" s="2250" t="s">
        <v>152</v>
      </c>
      <c r="E3" s="2250" t="s">
        <v>470</v>
      </c>
      <c r="F3" s="2250" t="s">
        <v>471</v>
      </c>
      <c r="G3" s="2250" t="s">
        <v>2</v>
      </c>
      <c r="H3" s="2250" t="s">
        <v>298</v>
      </c>
      <c r="I3" s="2250" t="s">
        <v>116</v>
      </c>
      <c r="J3" s="2251" t="s">
        <v>117</v>
      </c>
    </row>
    <row r="4" spans="2:10" ht="18" x14ac:dyDescent="0.25">
      <c r="B4" s="1970" t="s">
        <v>1004</v>
      </c>
      <c r="C4" s="1971" t="s">
        <v>472</v>
      </c>
      <c r="D4" s="1971">
        <v>1.2059812053432154E-3</v>
      </c>
      <c r="E4" s="1973"/>
      <c r="F4" s="1973"/>
      <c r="G4" s="1971" t="s">
        <v>444</v>
      </c>
      <c r="H4" s="1974"/>
      <c r="I4" s="1974"/>
      <c r="J4" s="1971" t="s">
        <v>4098</v>
      </c>
    </row>
    <row r="5" spans="2:10" ht="18" x14ac:dyDescent="0.25">
      <c r="B5" s="1970" t="s">
        <v>1005</v>
      </c>
      <c r="C5" s="1971" t="s">
        <v>473</v>
      </c>
      <c r="D5" s="1971">
        <v>1842.5346589768687</v>
      </c>
      <c r="E5" s="1973"/>
      <c r="F5" s="1973"/>
      <c r="G5" s="1971" t="s">
        <v>474</v>
      </c>
      <c r="H5" s="1974"/>
      <c r="I5" s="1974"/>
      <c r="J5" s="1971" t="s">
        <v>4098</v>
      </c>
    </row>
    <row r="6" spans="2:10" ht="18" x14ac:dyDescent="0.25">
      <c r="B6" s="1970" t="s">
        <v>1006</v>
      </c>
      <c r="C6" s="1971" t="s">
        <v>475</v>
      </c>
      <c r="D6" s="1971">
        <v>3.5000000000000003E-2</v>
      </c>
      <c r="E6" s="1973"/>
      <c r="F6" s="1973"/>
      <c r="G6" s="1971" t="s">
        <v>444</v>
      </c>
      <c r="H6" s="1974"/>
      <c r="I6" s="1974"/>
      <c r="J6" s="1971" t="s">
        <v>911</v>
      </c>
    </row>
    <row r="7" spans="2:10" ht="18" x14ac:dyDescent="0.25">
      <c r="B7" s="1970" t="s">
        <v>1007</v>
      </c>
      <c r="C7" s="1971" t="s">
        <v>4099</v>
      </c>
      <c r="D7" s="1971">
        <v>2400</v>
      </c>
      <c r="E7" s="1973"/>
      <c r="F7" s="1973"/>
      <c r="G7" s="1971" t="s">
        <v>474</v>
      </c>
      <c r="H7" s="1974"/>
      <c r="I7" s="1974"/>
      <c r="J7" s="1971" t="s">
        <v>911</v>
      </c>
    </row>
    <row r="8" spans="2:10" ht="18" x14ac:dyDescent="0.25">
      <c r="B8" s="1970" t="s">
        <v>1008</v>
      </c>
      <c r="C8" s="1971" t="s">
        <v>477</v>
      </c>
      <c r="D8" s="1971">
        <v>1.9E-3</v>
      </c>
      <c r="E8" s="1973"/>
      <c r="F8" s="1973"/>
      <c r="G8" s="1971" t="s">
        <v>444</v>
      </c>
      <c r="H8" s="1974"/>
      <c r="I8" s="1974"/>
      <c r="J8" s="1971" t="s">
        <v>912</v>
      </c>
    </row>
    <row r="9" spans="2:10" ht="18" x14ac:dyDescent="0.25">
      <c r="B9" s="1970" t="s">
        <v>1009</v>
      </c>
      <c r="C9" s="1971" t="s">
        <v>478</v>
      </c>
      <c r="D9" s="1971">
        <v>1400</v>
      </c>
      <c r="E9" s="1973"/>
      <c r="F9" s="1973"/>
      <c r="G9" s="1971" t="s">
        <v>474</v>
      </c>
      <c r="H9" s="1974"/>
      <c r="I9" s="1974"/>
      <c r="J9" s="1971" t="s">
        <v>912</v>
      </c>
    </row>
    <row r="10" spans="2:10" ht="18" x14ac:dyDescent="0.25">
      <c r="B10" s="1970" t="s">
        <v>1010</v>
      </c>
      <c r="C10" s="1971" t="s">
        <v>479</v>
      </c>
      <c r="D10" s="1971">
        <v>2.5000000000000001E-2</v>
      </c>
      <c r="E10" s="1973"/>
      <c r="F10" s="1973"/>
      <c r="G10" s="1971" t="s">
        <v>444</v>
      </c>
      <c r="H10" s="1974"/>
      <c r="I10" s="1974"/>
      <c r="J10" s="1971" t="s">
        <v>913</v>
      </c>
    </row>
    <row r="11" spans="2:10" ht="18" x14ac:dyDescent="0.25">
      <c r="B11" s="1970" t="s">
        <v>1011</v>
      </c>
      <c r="C11" s="1971" t="s">
        <v>476</v>
      </c>
      <c r="D11" s="1971">
        <v>2600</v>
      </c>
      <c r="E11" s="1973"/>
      <c r="F11" s="1973"/>
      <c r="G11" s="1971" t="s">
        <v>474</v>
      </c>
      <c r="H11" s="1974"/>
      <c r="I11" s="1974"/>
      <c r="J11" s="1971" t="s">
        <v>913</v>
      </c>
    </row>
    <row r="12" spans="2:10" ht="18" x14ac:dyDescent="0.25">
      <c r="B12" s="1970" t="s">
        <v>1012</v>
      </c>
      <c r="C12" s="1971" t="s">
        <v>480</v>
      </c>
      <c r="D12" s="1971">
        <v>6.4999999999999997E-4</v>
      </c>
      <c r="E12" s="1973"/>
      <c r="F12" s="1973"/>
      <c r="G12" s="1971" t="s">
        <v>444</v>
      </c>
      <c r="H12" s="1974"/>
      <c r="I12" s="1974"/>
      <c r="J12" s="1971" t="s">
        <v>914</v>
      </c>
    </row>
    <row r="13" spans="2:10" ht="18" x14ac:dyDescent="0.25">
      <c r="B13" s="1970" t="s">
        <v>1013</v>
      </c>
      <c r="C13" s="1971" t="s">
        <v>481</v>
      </c>
      <c r="D13" s="1971">
        <v>1300</v>
      </c>
      <c r="E13" s="1973"/>
      <c r="F13" s="1973"/>
      <c r="G13" s="1971" t="s">
        <v>474</v>
      </c>
      <c r="H13" s="1974"/>
      <c r="I13" s="1974"/>
      <c r="J13" s="1971" t="s">
        <v>914</v>
      </c>
    </row>
    <row r="14" spans="2:10" ht="18" x14ac:dyDescent="0.25">
      <c r="B14" s="1970" t="s">
        <v>1014</v>
      </c>
      <c r="C14" s="1971" t="s">
        <v>482</v>
      </c>
      <c r="D14" s="1971">
        <v>7.7999999999999999E-4</v>
      </c>
      <c r="E14" s="1973"/>
      <c r="F14" s="1973"/>
      <c r="G14" s="1971" t="s">
        <v>444</v>
      </c>
      <c r="H14" s="1974"/>
      <c r="I14" s="1974"/>
      <c r="J14" s="1971" t="s">
        <v>1198</v>
      </c>
    </row>
    <row r="15" spans="2:10" ht="18" x14ac:dyDescent="0.25">
      <c r="B15" s="1970" t="s">
        <v>1015</v>
      </c>
      <c r="C15" s="1971" t="s">
        <v>483</v>
      </c>
      <c r="D15" s="1971">
        <v>500</v>
      </c>
      <c r="E15" s="1973"/>
      <c r="F15" s="1973"/>
      <c r="G15" s="1971" t="s">
        <v>474</v>
      </c>
      <c r="H15" s="1974"/>
      <c r="I15" s="1974"/>
      <c r="J15" s="1971" t="s">
        <v>1198</v>
      </c>
    </row>
    <row r="16" spans="2:10" ht="18" x14ac:dyDescent="0.25">
      <c r="B16" s="1970" t="s">
        <v>1016</v>
      </c>
      <c r="C16" s="1971" t="s">
        <v>445</v>
      </c>
      <c r="D16" s="1971">
        <v>1.4E-3</v>
      </c>
      <c r="E16" s="1973"/>
      <c r="F16" s="1973"/>
      <c r="G16" s="1971" t="s">
        <v>444</v>
      </c>
      <c r="H16" s="1974"/>
      <c r="I16" s="1974"/>
      <c r="J16" s="1971" t="s">
        <v>1199</v>
      </c>
    </row>
    <row r="17" spans="2:12" ht="18" x14ac:dyDescent="0.25">
      <c r="B17" s="1970" t="s">
        <v>1017</v>
      </c>
      <c r="C17" s="1971" t="s">
        <v>484</v>
      </c>
      <c r="D17" s="1971">
        <v>1600</v>
      </c>
      <c r="E17" s="1973"/>
      <c r="F17" s="1973"/>
      <c r="G17" s="1971" t="s">
        <v>474</v>
      </c>
      <c r="H17" s="1974"/>
      <c r="I17" s="1974"/>
      <c r="J17" s="1971" t="s">
        <v>1199</v>
      </c>
    </row>
    <row r="18" spans="2:12" ht="18" x14ac:dyDescent="0.25">
      <c r="B18" s="1970" t="s">
        <v>1200</v>
      </c>
      <c r="C18" s="1971" t="s">
        <v>1201</v>
      </c>
      <c r="D18" s="1971">
        <v>61</v>
      </c>
      <c r="E18" s="1973"/>
      <c r="F18" s="1973"/>
      <c r="G18" s="1971" t="s">
        <v>444</v>
      </c>
      <c r="H18" s="1974"/>
      <c r="I18" s="1974"/>
      <c r="J18" s="1971" t="s">
        <v>1202</v>
      </c>
    </row>
    <row r="19" spans="2:12" ht="18" x14ac:dyDescent="0.25">
      <c r="B19" s="1970" t="s">
        <v>1203</v>
      </c>
      <c r="C19" s="1971" t="s">
        <v>1204</v>
      </c>
      <c r="D19" s="1971">
        <v>4100</v>
      </c>
      <c r="E19" s="1973"/>
      <c r="F19" s="1973"/>
      <c r="G19" s="1971" t="s">
        <v>474</v>
      </c>
      <c r="H19" s="1974"/>
      <c r="I19" s="1974"/>
      <c r="J19" s="1971" t="s">
        <v>1202</v>
      </c>
    </row>
    <row r="20" spans="2:12" ht="18" x14ac:dyDescent="0.25">
      <c r="B20" s="1970" t="s">
        <v>1154</v>
      </c>
      <c r="C20" s="1971" t="s">
        <v>1205</v>
      </c>
      <c r="D20" s="1971">
        <v>0.1</v>
      </c>
      <c r="E20" s="1973"/>
      <c r="F20" s="1973"/>
      <c r="G20" s="1971" t="s">
        <v>444</v>
      </c>
      <c r="H20" s="1974"/>
      <c r="I20" s="1974"/>
      <c r="J20" s="1971" t="s">
        <v>1206</v>
      </c>
    </row>
    <row r="21" spans="2:12" ht="18" x14ac:dyDescent="0.25">
      <c r="B21" s="1970" t="s">
        <v>1155</v>
      </c>
      <c r="C21" s="1971" t="s">
        <v>1156</v>
      </c>
      <c r="D21" s="1971">
        <v>2200</v>
      </c>
      <c r="E21" s="1973"/>
      <c r="F21" s="1973"/>
      <c r="G21" s="1971" t="s">
        <v>474</v>
      </c>
      <c r="H21" s="1974"/>
      <c r="I21" s="1974"/>
      <c r="J21" s="1971" t="s">
        <v>1206</v>
      </c>
    </row>
    <row r="23" spans="2:12" ht="15.75" thickBot="1" x14ac:dyDescent="0.3">
      <c r="C23" s="2247" t="s">
        <v>3510</v>
      </c>
    </row>
    <row r="24" spans="2:12" ht="15.75" thickBot="1" x14ac:dyDescent="0.3">
      <c r="B24" s="2248" t="s">
        <v>0</v>
      </c>
      <c r="C24" s="2249" t="s">
        <v>1</v>
      </c>
      <c r="D24" s="2250" t="s">
        <v>152</v>
      </c>
      <c r="E24" s="2250" t="s">
        <v>470</v>
      </c>
      <c r="F24" s="2250" t="s">
        <v>471</v>
      </c>
      <c r="G24" s="2250" t="s">
        <v>2</v>
      </c>
      <c r="H24" s="2250" t="s">
        <v>298</v>
      </c>
      <c r="I24" s="2250" t="s">
        <v>116</v>
      </c>
      <c r="J24" s="2251" t="s">
        <v>117</v>
      </c>
    </row>
    <row r="25" spans="2:12" ht="18" x14ac:dyDescent="0.25">
      <c r="B25" s="1970" t="s">
        <v>3247</v>
      </c>
      <c r="C25" s="1971" t="s">
        <v>454</v>
      </c>
      <c r="D25" s="1971">
        <v>2.0900000000000001E-4</v>
      </c>
      <c r="E25" s="1973"/>
      <c r="F25" s="1973"/>
      <c r="G25" s="1971" t="s">
        <v>485</v>
      </c>
      <c r="H25" s="1974">
        <v>2</v>
      </c>
      <c r="I25" s="1974"/>
      <c r="J25" s="1971"/>
    </row>
    <row r="26" spans="2:12" ht="18" x14ac:dyDescent="0.25">
      <c r="B26" s="1970" t="s">
        <v>3248</v>
      </c>
      <c r="C26" s="1971" t="s">
        <v>455</v>
      </c>
      <c r="D26" s="1971">
        <v>1.73E-4</v>
      </c>
      <c r="E26" s="1973"/>
      <c r="F26" s="1973"/>
      <c r="G26" s="1971" t="s">
        <v>485</v>
      </c>
      <c r="H26" s="1974">
        <v>2</v>
      </c>
      <c r="I26" s="1974"/>
      <c r="J26" s="1971"/>
    </row>
    <row r="27" spans="2:12" ht="18" x14ac:dyDescent="0.25">
      <c r="B27" s="1970" t="s">
        <v>3249</v>
      </c>
      <c r="C27" s="1971" t="s">
        <v>1065</v>
      </c>
      <c r="D27" s="1971">
        <f>0.0000693*216/25</f>
        <v>5.9875200000000003E-4</v>
      </c>
      <c r="E27" s="1973"/>
      <c r="F27" s="1973"/>
      <c r="G27" s="1971" t="s">
        <v>485</v>
      </c>
      <c r="H27" s="1974">
        <v>2</v>
      </c>
      <c r="I27" s="1974"/>
      <c r="J27" s="1971"/>
    </row>
    <row r="28" spans="2:12" ht="18" x14ac:dyDescent="0.25">
      <c r="B28" s="1970" t="s">
        <v>3250</v>
      </c>
      <c r="C28" s="1971" t="s">
        <v>456</v>
      </c>
      <c r="D28" s="1971">
        <v>1.65E-4</v>
      </c>
      <c r="E28" s="1973"/>
      <c r="F28" s="1973"/>
      <c r="G28" s="1971" t="s">
        <v>485</v>
      </c>
      <c r="H28" s="1974">
        <v>2</v>
      </c>
      <c r="I28" s="1974"/>
      <c r="J28" s="1971"/>
    </row>
    <row r="29" spans="2:12" ht="18" x14ac:dyDescent="0.25">
      <c r="B29" s="1970" t="s">
        <v>3251</v>
      </c>
      <c r="C29" s="1971" t="s">
        <v>457</v>
      </c>
      <c r="D29" s="1971">
        <v>4.4999999999999999E-4</v>
      </c>
      <c r="E29" s="1973"/>
      <c r="F29" s="1973"/>
      <c r="G29" s="1971" t="s">
        <v>486</v>
      </c>
      <c r="H29" s="1974">
        <v>2</v>
      </c>
      <c r="I29" s="1974"/>
      <c r="J29" s="1971"/>
    </row>
    <row r="30" spans="2:12" ht="18" x14ac:dyDescent="0.25">
      <c r="B30" s="1970" t="s">
        <v>3252</v>
      </c>
      <c r="C30" s="1971" t="s">
        <v>458</v>
      </c>
      <c r="D30" s="1971">
        <v>1.4899999999999999E-4</v>
      </c>
      <c r="E30" s="1973"/>
      <c r="F30" s="1973"/>
      <c r="G30" s="1971" t="s">
        <v>486</v>
      </c>
      <c r="H30" s="1974">
        <v>2</v>
      </c>
      <c r="I30" s="1974"/>
      <c r="J30" s="1971"/>
      <c r="L30" s="1969" t="s">
        <v>4100</v>
      </c>
    </row>
    <row r="31" spans="2:12" ht="18" x14ac:dyDescent="0.25">
      <c r="B31" s="1970" t="s">
        <v>3253</v>
      </c>
      <c r="C31" s="1971" t="s">
        <v>782</v>
      </c>
      <c r="D31" s="1971">
        <f>0.000211</f>
        <v>2.1100000000000001E-4</v>
      </c>
      <c r="E31" s="1973"/>
      <c r="F31" s="1973"/>
      <c r="G31" s="1971" t="s">
        <v>486</v>
      </c>
      <c r="H31" s="1974">
        <v>2</v>
      </c>
      <c r="I31" s="1974"/>
      <c r="J31" s="1971" t="s">
        <v>4101</v>
      </c>
      <c r="K31" s="1971">
        <f>0.0001909*1.024^(25-20)</f>
        <v>2.1493429221625696E-4</v>
      </c>
      <c r="L31" s="1971">
        <v>2.9499999999999999E-5</v>
      </c>
    </row>
    <row r="32" spans="2:12" ht="18" x14ac:dyDescent="0.25">
      <c r="B32" s="1970" t="s">
        <v>3254</v>
      </c>
      <c r="C32" s="1971" t="s">
        <v>1259</v>
      </c>
      <c r="D32" s="1971">
        <f>0.000245</f>
        <v>2.4499999999999999E-4</v>
      </c>
      <c r="E32" s="1973"/>
      <c r="F32" s="1973"/>
      <c r="G32" s="1971" t="s">
        <v>486</v>
      </c>
      <c r="H32" s="1974">
        <v>2</v>
      </c>
      <c r="I32" s="1974"/>
      <c r="J32" s="1971" t="s">
        <v>4101</v>
      </c>
      <c r="K32" s="1971">
        <f>0.00015293*1.024^(25-20)</f>
        <v>1.7218387275344247E-4</v>
      </c>
      <c r="L32" s="1971">
        <v>1.8E-5</v>
      </c>
    </row>
    <row r="33" spans="2:10" ht="18" x14ac:dyDescent="0.25">
      <c r="B33" s="1970" t="s">
        <v>3255</v>
      </c>
      <c r="C33" s="1971" t="s">
        <v>1207</v>
      </c>
      <c r="D33" s="1971">
        <v>1.22E-4</v>
      </c>
      <c r="E33" s="1973"/>
      <c r="F33" s="1973"/>
      <c r="G33" s="1971" t="s">
        <v>485</v>
      </c>
      <c r="H33" s="1974">
        <v>2</v>
      </c>
      <c r="I33" s="1974"/>
      <c r="J33" s="1971"/>
    </row>
    <row r="35" spans="2:10" ht="15.75" thickBot="1" x14ac:dyDescent="0.3">
      <c r="C35" s="2247" t="s">
        <v>487</v>
      </c>
    </row>
    <row r="36" spans="2:10" ht="15.75" thickBot="1" x14ac:dyDescent="0.3">
      <c r="B36" s="2248" t="s">
        <v>0</v>
      </c>
      <c r="C36" s="2249" t="s">
        <v>1</v>
      </c>
      <c r="D36" s="2250" t="s">
        <v>152</v>
      </c>
      <c r="E36" s="2250" t="s">
        <v>470</v>
      </c>
      <c r="F36" s="2250" t="s">
        <v>471</v>
      </c>
      <c r="G36" s="2250" t="s">
        <v>2</v>
      </c>
      <c r="H36" s="2250" t="s">
        <v>298</v>
      </c>
      <c r="I36" s="2250" t="s">
        <v>116</v>
      </c>
      <c r="J36" s="2251" t="s">
        <v>117</v>
      </c>
    </row>
    <row r="37" spans="2:10" ht="18" x14ac:dyDescent="0.25">
      <c r="B37" s="1970" t="s">
        <v>488</v>
      </c>
      <c r="C37" s="1971" t="s">
        <v>489</v>
      </c>
      <c r="D37" s="1971">
        <v>8.0713100000000004</v>
      </c>
      <c r="E37" s="1973"/>
      <c r="F37" s="1973"/>
      <c r="G37" s="1971" t="s">
        <v>282</v>
      </c>
      <c r="H37" s="1974"/>
      <c r="I37" s="1974"/>
      <c r="J37" s="1971"/>
    </row>
    <row r="38" spans="2:10" ht="18" x14ac:dyDescent="0.25">
      <c r="B38" s="1970" t="s">
        <v>490</v>
      </c>
      <c r="C38" s="1971" t="s">
        <v>491</v>
      </c>
      <c r="D38" s="1971">
        <v>1730.63</v>
      </c>
      <c r="E38" s="1973"/>
      <c r="F38" s="1973"/>
      <c r="G38" s="1971" t="s">
        <v>282</v>
      </c>
      <c r="H38" s="1974"/>
      <c r="I38" s="1974"/>
      <c r="J38" s="1971"/>
    </row>
    <row r="39" spans="2:10" ht="18" x14ac:dyDescent="0.25">
      <c r="B39" s="1970" t="s">
        <v>492</v>
      </c>
      <c r="C39" s="1971" t="s">
        <v>493</v>
      </c>
      <c r="D39" s="1971">
        <v>233.42599999999999</v>
      </c>
      <c r="E39" s="1973"/>
      <c r="F39" s="1973"/>
      <c r="G39" s="1971" t="s">
        <v>282</v>
      </c>
      <c r="H39" s="1974"/>
      <c r="I39" s="1974"/>
      <c r="J39" s="1971"/>
    </row>
    <row r="40" spans="2:10" ht="18" x14ac:dyDescent="0.25">
      <c r="B40" s="1970" t="s">
        <v>3256</v>
      </c>
      <c r="C40" s="1971" t="s">
        <v>3257</v>
      </c>
      <c r="D40" s="1971">
        <v>7.2800000000000004E-2</v>
      </c>
      <c r="E40" s="1973"/>
      <c r="F40" s="1973"/>
      <c r="G40" s="1971" t="s">
        <v>3258</v>
      </c>
      <c r="H40" s="1974"/>
      <c r="I40" s="1974"/>
      <c r="J40" s="1971"/>
    </row>
    <row r="41" spans="2:10" ht="18" x14ac:dyDescent="0.25">
      <c r="B41" s="1970" t="s">
        <v>494</v>
      </c>
      <c r="C41" s="1971" t="s">
        <v>3259</v>
      </c>
      <c r="D41" s="1971">
        <v>1000000</v>
      </c>
      <c r="E41" s="1973"/>
      <c r="F41" s="1973"/>
      <c r="G41" s="1971" t="s">
        <v>783</v>
      </c>
      <c r="H41" s="1974"/>
      <c r="I41" s="1974"/>
      <c r="J41" s="1971"/>
    </row>
    <row r="42" spans="2:10" ht="18" x14ac:dyDescent="0.25">
      <c r="B42" s="1970" t="s">
        <v>1582</v>
      </c>
      <c r="C42" s="1971" t="s">
        <v>3260</v>
      </c>
      <c r="D42" s="1971">
        <f>10^-3</f>
        <v>1E-3</v>
      </c>
      <c r="E42" s="1973"/>
      <c r="F42" s="1973"/>
      <c r="G42" s="1971" t="s">
        <v>1583</v>
      </c>
      <c r="H42" s="1974"/>
      <c r="I42" s="1974"/>
      <c r="J42" s="1971"/>
    </row>
    <row r="44" spans="2:10" ht="15.75" thickBot="1" x14ac:dyDescent="0.3">
      <c r="C44" s="2247" t="s">
        <v>495</v>
      </c>
    </row>
    <row r="45" spans="2:10" ht="15.75" thickBot="1" x14ac:dyDescent="0.3">
      <c r="B45" s="2248" t="s">
        <v>0</v>
      </c>
      <c r="C45" s="2249" t="s">
        <v>1</v>
      </c>
      <c r="D45" s="2250" t="s">
        <v>152</v>
      </c>
      <c r="E45" s="2250" t="s">
        <v>470</v>
      </c>
      <c r="F45" s="2250" t="s">
        <v>471</v>
      </c>
      <c r="G45" s="2250" t="s">
        <v>2</v>
      </c>
      <c r="H45" s="2250" t="s">
        <v>298</v>
      </c>
      <c r="I45" s="2250" t="s">
        <v>116</v>
      </c>
      <c r="J45" s="2251" t="s">
        <v>117</v>
      </c>
    </row>
    <row r="46" spans="2:10" ht="18" x14ac:dyDescent="0.25">
      <c r="B46" s="1970" t="s">
        <v>496</v>
      </c>
      <c r="C46" s="1971" t="s">
        <v>497</v>
      </c>
      <c r="D46" s="1971">
        <v>0.20949999999999999</v>
      </c>
      <c r="E46" s="1973">
        <v>0</v>
      </c>
      <c r="F46" s="1973">
        <v>1</v>
      </c>
      <c r="G46" s="1971" t="s">
        <v>498</v>
      </c>
      <c r="H46" s="1974"/>
      <c r="I46" s="1974"/>
      <c r="J46" s="1971"/>
    </row>
    <row r="47" spans="2:10" ht="18" x14ac:dyDescent="0.25">
      <c r="B47" s="1970" t="s">
        <v>499</v>
      </c>
      <c r="C47" s="1971" t="s">
        <v>500</v>
      </c>
      <c r="D47" s="1971">
        <v>0.78080000000000005</v>
      </c>
      <c r="E47" s="1973">
        <v>0</v>
      </c>
      <c r="F47" s="1973">
        <v>1</v>
      </c>
      <c r="G47" s="1971" t="s">
        <v>498</v>
      </c>
      <c r="H47" s="1974"/>
      <c r="I47" s="1974"/>
      <c r="J47" s="1971"/>
    </row>
    <row r="48" spans="2:10" ht="18" x14ac:dyDescent="0.25">
      <c r="B48" s="1970" t="s">
        <v>501</v>
      </c>
      <c r="C48" s="1971" t="s">
        <v>502</v>
      </c>
      <c r="D48" s="1971">
        <v>9.2999999999999992E-3</v>
      </c>
      <c r="E48" s="1973">
        <v>0</v>
      </c>
      <c r="F48" s="1973">
        <v>1</v>
      </c>
      <c r="G48" s="1971" t="s">
        <v>498</v>
      </c>
      <c r="H48" s="1974"/>
      <c r="I48" s="1974"/>
      <c r="J48" s="1971"/>
    </row>
    <row r="49" spans="2:12" ht="18" x14ac:dyDescent="0.25">
      <c r="B49" s="1970" t="s">
        <v>503</v>
      </c>
      <c r="C49" s="1971" t="s">
        <v>504</v>
      </c>
      <c r="D49" s="1971">
        <v>4.0000000000000002E-4</v>
      </c>
      <c r="E49" s="1973">
        <v>0</v>
      </c>
      <c r="F49" s="1973">
        <v>1</v>
      </c>
      <c r="G49" s="1971" t="s">
        <v>498</v>
      </c>
      <c r="H49" s="1974"/>
      <c r="I49" s="1974"/>
      <c r="J49" s="1971"/>
    </row>
    <row r="50" spans="2:12" ht="18" x14ac:dyDescent="0.25">
      <c r="B50" s="1970" t="s">
        <v>3261</v>
      </c>
      <c r="C50" s="1971" t="s">
        <v>3262</v>
      </c>
      <c r="D50" s="1971">
        <v>1200</v>
      </c>
      <c r="E50" s="1973"/>
      <c r="F50" s="1973"/>
      <c r="G50" s="1971" t="s">
        <v>783</v>
      </c>
      <c r="H50" s="1974"/>
      <c r="I50" s="1974"/>
      <c r="J50" s="1971"/>
    </row>
    <row r="51" spans="2:12" ht="18" x14ac:dyDescent="0.25">
      <c r="B51" s="1970" t="s">
        <v>3263</v>
      </c>
      <c r="C51" s="1971" t="s">
        <v>3264</v>
      </c>
      <c r="D51" s="1971">
        <v>101325</v>
      </c>
      <c r="E51" s="1973">
        <v>0</v>
      </c>
      <c r="F51" s="1973"/>
      <c r="G51" s="1971" t="s">
        <v>784</v>
      </c>
      <c r="H51" s="1974"/>
      <c r="I51" s="1974"/>
      <c r="J51" s="1971"/>
    </row>
    <row r="52" spans="2:12" ht="18" x14ac:dyDescent="0.25">
      <c r="B52" s="1970" t="s">
        <v>4102</v>
      </c>
      <c r="C52" s="1971" t="s">
        <v>3265</v>
      </c>
      <c r="D52" s="1971">
        <v>101325</v>
      </c>
      <c r="E52" s="1973">
        <v>0</v>
      </c>
      <c r="F52" s="1973"/>
      <c r="G52" s="1971" t="s">
        <v>784</v>
      </c>
      <c r="H52" s="1974"/>
      <c r="I52" s="1974"/>
      <c r="J52" s="1971"/>
    </row>
    <row r="54" spans="2:12" ht="15.75" thickBot="1" x14ac:dyDescent="0.3">
      <c r="C54" s="2247" t="s">
        <v>4740</v>
      </c>
    </row>
    <row r="55" spans="2:12" ht="15.75" thickBot="1" x14ac:dyDescent="0.3">
      <c r="B55" s="2248" t="s">
        <v>0</v>
      </c>
      <c r="C55" s="2249" t="s">
        <v>1</v>
      </c>
      <c r="D55" s="2250" t="s">
        <v>152</v>
      </c>
      <c r="E55" s="2250" t="s">
        <v>470</v>
      </c>
      <c r="F55" s="2250" t="s">
        <v>471</v>
      </c>
      <c r="G55" s="2250" t="s">
        <v>2</v>
      </c>
      <c r="H55" s="2250" t="s">
        <v>298</v>
      </c>
      <c r="I55" s="2250" t="s">
        <v>116</v>
      </c>
      <c r="J55" s="2251" t="s">
        <v>117</v>
      </c>
    </row>
    <row r="56" spans="2:12" ht="18" x14ac:dyDescent="0.25">
      <c r="B56" s="1970" t="s">
        <v>3266</v>
      </c>
      <c r="C56" s="1971" t="s">
        <v>3267</v>
      </c>
      <c r="D56" s="1971">
        <v>1</v>
      </c>
      <c r="E56" s="1973">
        <v>0</v>
      </c>
      <c r="F56" s="1973">
        <v>1</v>
      </c>
      <c r="G56" s="1971" t="s">
        <v>3268</v>
      </c>
      <c r="H56" s="1974"/>
      <c r="I56" s="1974"/>
      <c r="J56" s="1971" t="s">
        <v>3269</v>
      </c>
    </row>
    <row r="58" spans="2:12" ht="15.75" thickBot="1" x14ac:dyDescent="0.3">
      <c r="C58" s="2247" t="s">
        <v>505</v>
      </c>
    </row>
    <row r="59" spans="2:12" ht="15.75" thickBot="1" x14ac:dyDescent="0.3">
      <c r="B59" s="2248" t="s">
        <v>0</v>
      </c>
      <c r="C59" s="2249" t="s">
        <v>1</v>
      </c>
      <c r="D59" s="2250" t="s">
        <v>152</v>
      </c>
      <c r="E59" s="2250" t="s">
        <v>470</v>
      </c>
      <c r="F59" s="2250" t="s">
        <v>471</v>
      </c>
      <c r="G59" s="2250" t="s">
        <v>2</v>
      </c>
      <c r="H59" s="2250" t="s">
        <v>298</v>
      </c>
      <c r="I59" s="2250" t="s">
        <v>116</v>
      </c>
      <c r="J59" s="2251" t="s">
        <v>117</v>
      </c>
    </row>
    <row r="60" spans="2:12" ht="17.25" x14ac:dyDescent="0.25">
      <c r="B60" s="1970" t="s">
        <v>506</v>
      </c>
      <c r="C60" s="1971" t="s">
        <v>507</v>
      </c>
      <c r="D60" s="1971">
        <v>8.3144721500000003</v>
      </c>
      <c r="E60" s="1973"/>
      <c r="F60" s="1973"/>
      <c r="G60" s="1971" t="s">
        <v>508</v>
      </c>
      <c r="H60" s="1974"/>
      <c r="I60" s="1974"/>
      <c r="J60" s="1971"/>
    </row>
    <row r="61" spans="2:12" ht="18" x14ac:dyDescent="0.25">
      <c r="B61" s="1970" t="s">
        <v>1584</v>
      </c>
      <c r="C61" s="1971" t="s">
        <v>1585</v>
      </c>
      <c r="D61" s="1971">
        <v>287.10199999999998</v>
      </c>
      <c r="E61" s="1973"/>
      <c r="F61" s="1973"/>
      <c r="G61" s="1971" t="s">
        <v>1586</v>
      </c>
      <c r="H61" s="1974"/>
      <c r="I61" s="1974"/>
      <c r="J61" s="1971"/>
    </row>
    <row r="62" spans="2:12" ht="18" x14ac:dyDescent="0.25">
      <c r="B62" s="1970" t="s">
        <v>2443</v>
      </c>
      <c r="C62" s="1971" t="s">
        <v>2444</v>
      </c>
      <c r="D62" s="1971" t="e">
        <f>(T_STP_K*R__)/p_N</f>
        <v>#NAME?</v>
      </c>
      <c r="E62" s="1973"/>
      <c r="F62" s="1973"/>
      <c r="G62" s="1971" t="s">
        <v>2445</v>
      </c>
      <c r="H62" s="1974"/>
      <c r="I62" s="1974"/>
      <c r="J62" s="1971"/>
    </row>
    <row r="63" spans="2:12" x14ac:dyDescent="0.25">
      <c r="B63" s="1970" t="s">
        <v>1587</v>
      </c>
      <c r="C63" s="1971" t="s">
        <v>3511</v>
      </c>
      <c r="D63" s="1971">
        <v>1.4</v>
      </c>
      <c r="E63" s="1973"/>
      <c r="F63" s="1973"/>
      <c r="G63" s="1971" t="s">
        <v>282</v>
      </c>
      <c r="H63" s="1974"/>
      <c r="I63" s="1974"/>
      <c r="J63" s="1971"/>
      <c r="L63" s="1969">
        <v>2.24139952407846E-2</v>
      </c>
    </row>
    <row r="64" spans="2:12" ht="17.25" x14ac:dyDescent="0.25">
      <c r="B64" s="1970" t="s">
        <v>509</v>
      </c>
      <c r="C64" s="1971" t="s">
        <v>510</v>
      </c>
      <c r="D64" s="1971">
        <v>96485.339924</v>
      </c>
      <c r="E64" s="1973"/>
      <c r="F64" s="1973"/>
      <c r="G64" s="1971" t="s">
        <v>511</v>
      </c>
      <c r="H64" s="1974"/>
      <c r="I64" s="1974"/>
      <c r="J64" s="1971"/>
    </row>
    <row r="65" spans="2:10" ht="18" x14ac:dyDescent="0.25">
      <c r="B65" s="1970" t="s">
        <v>512</v>
      </c>
      <c r="C65" s="1971" t="s">
        <v>513</v>
      </c>
      <c r="D65" s="1971">
        <v>9.8066499999999994</v>
      </c>
      <c r="E65" s="1973"/>
      <c r="F65" s="1973"/>
      <c r="G65" s="1971" t="s">
        <v>514</v>
      </c>
      <c r="H65" s="1974"/>
      <c r="I65" s="1974"/>
      <c r="J65" s="1971"/>
    </row>
    <row r="66" spans="2:10" ht="18" x14ac:dyDescent="0.25">
      <c r="B66" s="1970" t="s">
        <v>915</v>
      </c>
      <c r="C66" s="1971" t="s">
        <v>916</v>
      </c>
      <c r="D66" s="1971">
        <v>4.1813000000000002</v>
      </c>
      <c r="E66" s="1973"/>
      <c r="F66" s="1973"/>
      <c r="G66" s="1971" t="s">
        <v>3429</v>
      </c>
      <c r="H66" s="1974"/>
      <c r="I66" s="1974"/>
      <c r="J66" s="1971"/>
    </row>
    <row r="67" spans="2:10" ht="18" x14ac:dyDescent="0.25">
      <c r="B67" s="1970" t="s">
        <v>3270</v>
      </c>
      <c r="C67" s="1971" t="s">
        <v>3271</v>
      </c>
      <c r="D67" s="1971">
        <v>298.14999999999998</v>
      </c>
      <c r="E67" s="1973"/>
      <c r="F67" s="1973"/>
      <c r="G67" s="1971" t="s">
        <v>474</v>
      </c>
      <c r="H67" s="1974"/>
      <c r="I67" s="1974"/>
      <c r="J67" s="1971" t="s">
        <v>3272</v>
      </c>
    </row>
    <row r="68" spans="2:10" ht="18" x14ac:dyDescent="0.25">
      <c r="B68" s="1970" t="s">
        <v>3273</v>
      </c>
      <c r="C68" s="1971" t="s">
        <v>3274</v>
      </c>
      <c r="D68" s="1971">
        <v>293.14999999999998</v>
      </c>
      <c r="E68" s="1973"/>
      <c r="F68" s="1973"/>
      <c r="G68" s="1971" t="s">
        <v>474</v>
      </c>
      <c r="H68" s="1974"/>
      <c r="I68" s="1974"/>
      <c r="J68" s="1971" t="s">
        <v>3275</v>
      </c>
    </row>
    <row r="69" spans="2:10" ht="18" x14ac:dyDescent="0.25">
      <c r="B69" s="1970" t="s">
        <v>3276</v>
      </c>
      <c r="C69" s="1971" t="s">
        <v>3277</v>
      </c>
      <c r="D69" s="1971">
        <v>273.14999999999998</v>
      </c>
      <c r="E69" s="1973"/>
      <c r="F69" s="1973"/>
      <c r="G69" s="1971" t="s">
        <v>474</v>
      </c>
      <c r="H69" s="1974"/>
      <c r="I69" s="1974"/>
      <c r="J69" s="1971" t="s">
        <v>3278</v>
      </c>
    </row>
    <row r="70" spans="2:10" ht="18" x14ac:dyDescent="0.25">
      <c r="B70" s="1970" t="s">
        <v>3279</v>
      </c>
      <c r="C70" s="1971" t="s">
        <v>1208</v>
      </c>
      <c r="D70" s="1971">
        <v>0</v>
      </c>
      <c r="E70" s="1973"/>
      <c r="F70" s="1973"/>
      <c r="G70" s="1971" t="s">
        <v>3088</v>
      </c>
      <c r="H70" s="1974"/>
      <c r="I70" s="1974"/>
      <c r="J70" s="1971" t="s">
        <v>1588</v>
      </c>
    </row>
    <row r="72" spans="2:10" ht="15.75" thickBot="1" x14ac:dyDescent="0.3">
      <c r="C72" s="2247" t="s">
        <v>515</v>
      </c>
    </row>
    <row r="73" spans="2:10" ht="15.75" thickBot="1" x14ac:dyDescent="0.3">
      <c r="B73" s="2248" t="s">
        <v>0</v>
      </c>
      <c r="C73" s="2249" t="s">
        <v>1</v>
      </c>
      <c r="D73" s="2250" t="s">
        <v>152</v>
      </c>
      <c r="E73" s="2250" t="s">
        <v>470</v>
      </c>
      <c r="F73" s="2250" t="s">
        <v>471</v>
      </c>
      <c r="G73" s="2250" t="s">
        <v>2</v>
      </c>
      <c r="H73" s="2250" t="s">
        <v>298</v>
      </c>
      <c r="I73" s="2250" t="s">
        <v>116</v>
      </c>
      <c r="J73" s="2251" t="s">
        <v>117</v>
      </c>
    </row>
    <row r="74" spans="2:10" x14ac:dyDescent="0.25">
      <c r="B74" s="1970" t="s">
        <v>516</v>
      </c>
      <c r="C74" s="1971" t="s">
        <v>517</v>
      </c>
      <c r="D74" s="1971">
        <v>3.1415926500000002</v>
      </c>
      <c r="E74" s="1973"/>
      <c r="F74" s="1973"/>
      <c r="G74" s="1971" t="s">
        <v>282</v>
      </c>
      <c r="H74" s="1974"/>
      <c r="I74" s="1974"/>
      <c r="J74" s="1971"/>
    </row>
    <row r="76" spans="2:10" ht="15.75" thickBot="1" x14ac:dyDescent="0.3">
      <c r="C76" s="2247" t="s">
        <v>518</v>
      </c>
    </row>
    <row r="77" spans="2:10" ht="15.75" thickBot="1" x14ac:dyDescent="0.3">
      <c r="B77" s="2248" t="s">
        <v>0</v>
      </c>
      <c r="C77" s="2249" t="s">
        <v>1</v>
      </c>
      <c r="D77" s="2250" t="s">
        <v>152</v>
      </c>
      <c r="E77" s="2250" t="s">
        <v>470</v>
      </c>
      <c r="F77" s="2250" t="s">
        <v>471</v>
      </c>
      <c r="G77" s="2250" t="s">
        <v>2</v>
      </c>
      <c r="H77" s="2250" t="s">
        <v>298</v>
      </c>
      <c r="I77" s="2250" t="s">
        <v>116</v>
      </c>
      <c r="J77" s="2251" t="s">
        <v>117</v>
      </c>
    </row>
    <row r="78" spans="2:10" ht="18" hidden="1" outlineLevel="1" x14ac:dyDescent="0.25">
      <c r="B78" s="1970" t="s">
        <v>368</v>
      </c>
      <c r="C78" s="1971" t="s">
        <v>271</v>
      </c>
      <c r="D78" s="1971">
        <v>1.0079400000000001</v>
      </c>
      <c r="E78" s="1973"/>
      <c r="F78" s="1973"/>
      <c r="G78" s="1971" t="s">
        <v>360</v>
      </c>
      <c r="H78" s="1974"/>
      <c r="I78" s="1974"/>
      <c r="J78" s="1971"/>
    </row>
    <row r="79" spans="2:10" ht="18" hidden="1" outlineLevel="1" x14ac:dyDescent="0.25">
      <c r="B79" s="1970" t="s">
        <v>519</v>
      </c>
      <c r="C79" s="1971" t="s">
        <v>520</v>
      </c>
      <c r="D79" s="1971">
        <v>4.0026020000000004</v>
      </c>
      <c r="E79" s="1973"/>
      <c r="F79" s="1973"/>
      <c r="G79" s="1971" t="s">
        <v>360</v>
      </c>
      <c r="H79" s="1974"/>
      <c r="I79" s="1974"/>
      <c r="J79" s="1971"/>
    </row>
    <row r="80" spans="2:10" ht="18" hidden="1" outlineLevel="1" x14ac:dyDescent="0.25">
      <c r="B80" s="1970" t="s">
        <v>521</v>
      </c>
      <c r="C80" s="1971" t="s">
        <v>522</v>
      </c>
      <c r="D80" s="1971">
        <v>6.9409999999999998</v>
      </c>
      <c r="E80" s="1973"/>
      <c r="F80" s="1973"/>
      <c r="G80" s="1971" t="s">
        <v>360</v>
      </c>
      <c r="H80" s="1974"/>
      <c r="I80" s="1974"/>
      <c r="J80" s="1971"/>
    </row>
    <row r="81" spans="2:10" ht="18" hidden="1" outlineLevel="1" x14ac:dyDescent="0.25">
      <c r="B81" s="1970" t="s">
        <v>523</v>
      </c>
      <c r="C81" s="1971" t="s">
        <v>524</v>
      </c>
      <c r="D81" s="1971">
        <v>9.0121819999999992</v>
      </c>
      <c r="E81" s="1973"/>
      <c r="F81" s="1973"/>
      <c r="G81" s="1971" t="s">
        <v>360</v>
      </c>
      <c r="H81" s="1974"/>
      <c r="I81" s="1974"/>
      <c r="J81" s="1971"/>
    </row>
    <row r="82" spans="2:10" ht="18" hidden="1" outlineLevel="1" x14ac:dyDescent="0.25">
      <c r="B82" s="1970" t="s">
        <v>525</v>
      </c>
      <c r="C82" s="1971" t="s">
        <v>526</v>
      </c>
      <c r="D82" s="1971">
        <v>10.811</v>
      </c>
      <c r="E82" s="1973"/>
      <c r="F82" s="1973"/>
      <c r="G82" s="1971" t="s">
        <v>360</v>
      </c>
      <c r="H82" s="1974"/>
      <c r="I82" s="1974"/>
      <c r="J82" s="1971"/>
    </row>
    <row r="83" spans="2:10" ht="18" hidden="1" outlineLevel="1" x14ac:dyDescent="0.25">
      <c r="B83" s="1970" t="s">
        <v>359</v>
      </c>
      <c r="C83" s="1971" t="s">
        <v>278</v>
      </c>
      <c r="D83" s="1971">
        <v>12.0107</v>
      </c>
      <c r="E83" s="1973"/>
      <c r="F83" s="1973"/>
      <c r="G83" s="1971" t="s">
        <v>360</v>
      </c>
      <c r="H83" s="1974"/>
      <c r="I83" s="1974"/>
      <c r="J83" s="1971"/>
    </row>
    <row r="84" spans="2:10" ht="18" hidden="1" outlineLevel="1" x14ac:dyDescent="0.25">
      <c r="B84" s="1970" t="s">
        <v>362</v>
      </c>
      <c r="C84" s="1971" t="s">
        <v>262</v>
      </c>
      <c r="D84" s="1971">
        <v>14.0067</v>
      </c>
      <c r="E84" s="1973"/>
      <c r="F84" s="1973"/>
      <c r="G84" s="1971" t="s">
        <v>360</v>
      </c>
      <c r="H84" s="1974"/>
      <c r="I84" s="1974"/>
      <c r="J84" s="1971"/>
    </row>
    <row r="85" spans="2:10" ht="18" hidden="1" outlineLevel="1" x14ac:dyDescent="0.25">
      <c r="B85" s="1970" t="s">
        <v>363</v>
      </c>
      <c r="C85" s="1971" t="s">
        <v>261</v>
      </c>
      <c r="D85" s="1971">
        <v>15.9994</v>
      </c>
      <c r="E85" s="1973"/>
      <c r="F85" s="1973"/>
      <c r="G85" s="1971" t="s">
        <v>360</v>
      </c>
      <c r="H85" s="1974"/>
      <c r="I85" s="1974"/>
      <c r="J85" s="1971"/>
    </row>
    <row r="86" spans="2:10" ht="18" hidden="1" outlineLevel="1" x14ac:dyDescent="0.25">
      <c r="B86" s="1970" t="s">
        <v>527</v>
      </c>
      <c r="C86" s="1971" t="s">
        <v>528</v>
      </c>
      <c r="D86" s="1971">
        <v>18.998403</v>
      </c>
      <c r="E86" s="1973"/>
      <c r="F86" s="1973"/>
      <c r="G86" s="1971" t="s">
        <v>360</v>
      </c>
      <c r="H86" s="1974"/>
      <c r="I86" s="1974"/>
      <c r="J86" s="1971"/>
    </row>
    <row r="87" spans="2:10" ht="18" hidden="1" outlineLevel="1" x14ac:dyDescent="0.25">
      <c r="B87" s="1970" t="s">
        <v>529</v>
      </c>
      <c r="C87" s="1971" t="s">
        <v>530</v>
      </c>
      <c r="D87" s="1971">
        <v>20.1797</v>
      </c>
      <c r="E87" s="1973"/>
      <c r="F87" s="1973"/>
      <c r="G87" s="1971" t="s">
        <v>360</v>
      </c>
      <c r="H87" s="1974"/>
      <c r="I87" s="1974"/>
      <c r="J87" s="1971"/>
    </row>
    <row r="88" spans="2:10" ht="18" hidden="1" outlineLevel="1" x14ac:dyDescent="0.25">
      <c r="B88" s="1970" t="s">
        <v>369</v>
      </c>
      <c r="C88" s="1971" t="s">
        <v>291</v>
      </c>
      <c r="D88" s="1971">
        <v>22.989768999999999</v>
      </c>
      <c r="E88" s="1973"/>
      <c r="F88" s="1973"/>
      <c r="G88" s="1971" t="s">
        <v>360</v>
      </c>
      <c r="H88" s="1974"/>
      <c r="I88" s="1974"/>
      <c r="J88" s="1971"/>
    </row>
    <row r="89" spans="2:10" ht="18" hidden="1" outlineLevel="1" x14ac:dyDescent="0.25">
      <c r="B89" s="1970" t="s">
        <v>531</v>
      </c>
      <c r="C89" s="1971" t="s">
        <v>532</v>
      </c>
      <c r="D89" s="1971">
        <v>24.305</v>
      </c>
      <c r="E89" s="1973"/>
      <c r="F89" s="1973"/>
      <c r="G89" s="1971" t="s">
        <v>360</v>
      </c>
      <c r="H89" s="1974"/>
      <c r="I89" s="1974"/>
      <c r="J89" s="1971"/>
    </row>
    <row r="90" spans="2:10" ht="18" hidden="1" outlineLevel="1" x14ac:dyDescent="0.25">
      <c r="B90" s="1970" t="s">
        <v>367</v>
      </c>
      <c r="C90" s="1971" t="s">
        <v>265</v>
      </c>
      <c r="D90" s="1971">
        <v>26.9815</v>
      </c>
      <c r="E90" s="1973"/>
      <c r="F90" s="1973"/>
      <c r="G90" s="1971" t="s">
        <v>360</v>
      </c>
      <c r="H90" s="1974"/>
      <c r="I90" s="1974"/>
      <c r="J90" s="1971"/>
    </row>
    <row r="91" spans="2:10" ht="18" hidden="1" outlineLevel="1" x14ac:dyDescent="0.25">
      <c r="B91" s="1970" t="s">
        <v>533</v>
      </c>
      <c r="C91" s="1971" t="s">
        <v>534</v>
      </c>
      <c r="D91" s="1971">
        <v>28.0855</v>
      </c>
      <c r="E91" s="1973"/>
      <c r="F91" s="1973"/>
      <c r="G91" s="1971" t="s">
        <v>360</v>
      </c>
      <c r="H91" s="1974"/>
      <c r="I91" s="1974"/>
      <c r="J91" s="1971"/>
    </row>
    <row r="92" spans="2:10" ht="18" hidden="1" outlineLevel="1" x14ac:dyDescent="0.25">
      <c r="B92" s="1970" t="s">
        <v>361</v>
      </c>
      <c r="C92" s="1971" t="s">
        <v>266</v>
      </c>
      <c r="D92" s="1971">
        <v>30.973762199999999</v>
      </c>
      <c r="E92" s="1973"/>
      <c r="F92" s="1973"/>
      <c r="G92" s="1971" t="s">
        <v>360</v>
      </c>
      <c r="H92" s="1974"/>
      <c r="I92" s="1974"/>
      <c r="J92" s="1971"/>
    </row>
    <row r="93" spans="2:10" ht="18" hidden="1" outlineLevel="1" x14ac:dyDescent="0.25">
      <c r="B93" s="1970" t="s">
        <v>535</v>
      </c>
      <c r="C93" s="1971" t="s">
        <v>536</v>
      </c>
      <c r="D93" s="1971">
        <v>32.064999999999998</v>
      </c>
      <c r="E93" s="1973"/>
      <c r="F93" s="1973"/>
      <c r="G93" s="1971" t="s">
        <v>360</v>
      </c>
      <c r="H93" s="1974"/>
      <c r="I93" s="1974"/>
      <c r="J93" s="1971"/>
    </row>
    <row r="94" spans="2:10" ht="18" hidden="1" outlineLevel="1" x14ac:dyDescent="0.25">
      <c r="B94" s="1970" t="s">
        <v>370</v>
      </c>
      <c r="C94" s="1971" t="s">
        <v>371</v>
      </c>
      <c r="D94" s="1971">
        <v>35.453000000000003</v>
      </c>
      <c r="E94" s="1973"/>
      <c r="F94" s="1973"/>
      <c r="G94" s="1971" t="s">
        <v>360</v>
      </c>
      <c r="H94" s="1974"/>
      <c r="I94" s="1974"/>
      <c r="J94" s="1971"/>
    </row>
    <row r="95" spans="2:10" ht="18" hidden="1" outlineLevel="1" x14ac:dyDescent="0.25">
      <c r="B95" s="1970" t="s">
        <v>537</v>
      </c>
      <c r="C95" s="1971" t="s">
        <v>538</v>
      </c>
      <c r="D95" s="1971">
        <v>39.948</v>
      </c>
      <c r="E95" s="1973"/>
      <c r="F95" s="1973"/>
      <c r="G95" s="1971" t="s">
        <v>360</v>
      </c>
      <c r="H95" s="1974"/>
      <c r="I95" s="1974"/>
      <c r="J95" s="1971"/>
    </row>
    <row r="96" spans="2:10" ht="18" hidden="1" outlineLevel="1" x14ac:dyDescent="0.25">
      <c r="B96" s="1970" t="s">
        <v>539</v>
      </c>
      <c r="C96" s="1971" t="s">
        <v>540</v>
      </c>
      <c r="D96" s="1971">
        <v>39.098300000000002</v>
      </c>
      <c r="E96" s="1973"/>
      <c r="F96" s="1973"/>
      <c r="G96" s="1971" t="s">
        <v>360</v>
      </c>
      <c r="H96" s="1974"/>
      <c r="I96" s="1974"/>
      <c r="J96" s="1971"/>
    </row>
    <row r="97" spans="2:10" ht="18" hidden="1" outlineLevel="1" x14ac:dyDescent="0.25">
      <c r="B97" s="1970" t="s">
        <v>364</v>
      </c>
      <c r="C97" s="1971" t="s">
        <v>365</v>
      </c>
      <c r="D97" s="1971">
        <v>40.078000000000003</v>
      </c>
      <c r="E97" s="1973"/>
      <c r="F97" s="1973"/>
      <c r="G97" s="1971" t="s">
        <v>360</v>
      </c>
      <c r="H97" s="1974"/>
      <c r="I97" s="1974"/>
      <c r="J97" s="1971"/>
    </row>
    <row r="98" spans="2:10" ht="18" hidden="1" outlineLevel="1" x14ac:dyDescent="0.25">
      <c r="B98" s="1970" t="s">
        <v>541</v>
      </c>
      <c r="C98" s="1971" t="s">
        <v>542</v>
      </c>
      <c r="D98" s="1971">
        <v>44.955911999999998</v>
      </c>
      <c r="E98" s="1973"/>
      <c r="F98" s="1973"/>
      <c r="G98" s="1971" t="s">
        <v>360</v>
      </c>
      <c r="H98" s="1974"/>
      <c r="I98" s="1974"/>
      <c r="J98" s="1971"/>
    </row>
    <row r="99" spans="2:10" ht="18" hidden="1" outlineLevel="1" x14ac:dyDescent="0.25">
      <c r="B99" s="1970" t="s">
        <v>543</v>
      </c>
      <c r="C99" s="1971" t="s">
        <v>544</v>
      </c>
      <c r="D99" s="1971">
        <v>47.866999999999997</v>
      </c>
      <c r="E99" s="1973"/>
      <c r="F99" s="1973"/>
      <c r="G99" s="1971" t="s">
        <v>360</v>
      </c>
      <c r="H99" s="1974"/>
      <c r="I99" s="1974"/>
      <c r="J99" s="1971"/>
    </row>
    <row r="100" spans="2:10" ht="18" hidden="1" outlineLevel="1" x14ac:dyDescent="0.25">
      <c r="B100" s="1970" t="s">
        <v>545</v>
      </c>
      <c r="C100" s="1971" t="s">
        <v>546</v>
      </c>
      <c r="D100" s="1971">
        <v>50.941499999999998</v>
      </c>
      <c r="E100" s="1973"/>
      <c r="F100" s="1973"/>
      <c r="G100" s="1971" t="s">
        <v>360</v>
      </c>
      <c r="H100" s="1974"/>
      <c r="I100" s="1974"/>
      <c r="J100" s="1971"/>
    </row>
    <row r="101" spans="2:10" ht="18" hidden="1" outlineLevel="1" x14ac:dyDescent="0.25">
      <c r="B101" s="1970" t="s">
        <v>547</v>
      </c>
      <c r="C101" s="1971" t="s">
        <v>548</v>
      </c>
      <c r="D101" s="1971">
        <v>51.996099999999998</v>
      </c>
      <c r="E101" s="1973"/>
      <c r="F101" s="1973"/>
      <c r="G101" s="1971" t="s">
        <v>360</v>
      </c>
      <c r="H101" s="1974"/>
      <c r="I101" s="1974"/>
      <c r="J101" s="1971"/>
    </row>
    <row r="102" spans="2:10" ht="18" hidden="1" outlineLevel="1" x14ac:dyDescent="0.25">
      <c r="B102" s="1970" t="s">
        <v>549</v>
      </c>
      <c r="C102" s="1971" t="s">
        <v>550</v>
      </c>
      <c r="D102" s="1971">
        <v>54.938045000000002</v>
      </c>
      <c r="E102" s="1973"/>
      <c r="F102" s="1973"/>
      <c r="G102" s="1971" t="s">
        <v>360</v>
      </c>
      <c r="H102" s="1974"/>
      <c r="I102" s="1974"/>
      <c r="J102" s="1971"/>
    </row>
    <row r="103" spans="2:10" ht="18" hidden="1" outlineLevel="1" x14ac:dyDescent="0.25">
      <c r="B103" s="1970" t="s">
        <v>366</v>
      </c>
      <c r="C103" s="1971" t="s">
        <v>264</v>
      </c>
      <c r="D103" s="1971">
        <v>55.844999999999999</v>
      </c>
      <c r="E103" s="1973"/>
      <c r="F103" s="1973"/>
      <c r="G103" s="1971" t="s">
        <v>360</v>
      </c>
      <c r="H103" s="1974"/>
      <c r="I103" s="1974"/>
      <c r="J103" s="1971"/>
    </row>
    <row r="104" spans="2:10" ht="18" hidden="1" outlineLevel="1" x14ac:dyDescent="0.25">
      <c r="B104" s="1970" t="s">
        <v>551</v>
      </c>
      <c r="C104" s="1971" t="s">
        <v>552</v>
      </c>
      <c r="D104" s="1971">
        <v>58.933194999999998</v>
      </c>
      <c r="E104" s="1973"/>
      <c r="F104" s="1973"/>
      <c r="G104" s="1971" t="s">
        <v>360</v>
      </c>
      <c r="H104" s="1974"/>
      <c r="I104" s="1974"/>
      <c r="J104" s="1971"/>
    </row>
    <row r="105" spans="2:10" ht="18" hidden="1" outlineLevel="1" x14ac:dyDescent="0.25">
      <c r="B105" s="1970" t="s">
        <v>553</v>
      </c>
      <c r="C105" s="1971" t="s">
        <v>554</v>
      </c>
      <c r="D105" s="1971">
        <v>58.693399999999997</v>
      </c>
      <c r="E105" s="1973"/>
      <c r="F105" s="1973"/>
      <c r="G105" s="1971" t="s">
        <v>360</v>
      </c>
      <c r="H105" s="1974"/>
      <c r="I105" s="1974"/>
      <c r="J105" s="1971"/>
    </row>
    <row r="106" spans="2:10" ht="18" hidden="1" outlineLevel="1" x14ac:dyDescent="0.25">
      <c r="B106" s="1970" t="s">
        <v>555</v>
      </c>
      <c r="C106" s="1971" t="s">
        <v>556</v>
      </c>
      <c r="D106" s="1971">
        <v>63.545999999999999</v>
      </c>
      <c r="E106" s="1973"/>
      <c r="F106" s="1973"/>
      <c r="G106" s="1971" t="s">
        <v>360</v>
      </c>
      <c r="H106" s="1974"/>
      <c r="I106" s="1974"/>
      <c r="J106" s="1971"/>
    </row>
    <row r="107" spans="2:10" ht="18" hidden="1" outlineLevel="1" x14ac:dyDescent="0.25">
      <c r="B107" s="1970" t="s">
        <v>557</v>
      </c>
      <c r="C107" s="1971" t="s">
        <v>558</v>
      </c>
      <c r="D107" s="1971">
        <v>65.38</v>
      </c>
      <c r="E107" s="1973"/>
      <c r="F107" s="1973"/>
      <c r="G107" s="1971" t="s">
        <v>360</v>
      </c>
      <c r="H107" s="1974"/>
      <c r="I107" s="1974"/>
      <c r="J107" s="1971"/>
    </row>
    <row r="108" spans="2:10" ht="18" hidden="1" outlineLevel="1" x14ac:dyDescent="0.25">
      <c r="B108" s="1970" t="s">
        <v>559</v>
      </c>
      <c r="C108" s="1971" t="s">
        <v>560</v>
      </c>
      <c r="D108" s="1971">
        <v>69.722999999999999</v>
      </c>
      <c r="E108" s="1973"/>
      <c r="F108" s="1973"/>
      <c r="G108" s="1971" t="s">
        <v>360</v>
      </c>
      <c r="H108" s="1974"/>
      <c r="I108" s="1974"/>
      <c r="J108" s="1971"/>
    </row>
    <row r="109" spans="2:10" ht="18" hidden="1" outlineLevel="1" x14ac:dyDescent="0.25">
      <c r="B109" s="1970" t="s">
        <v>561</v>
      </c>
      <c r="C109" s="1971" t="s">
        <v>562</v>
      </c>
      <c r="D109" s="1971">
        <v>72.64</v>
      </c>
      <c r="E109" s="1973"/>
      <c r="F109" s="1973"/>
      <c r="G109" s="1971" t="s">
        <v>360</v>
      </c>
      <c r="H109" s="1974"/>
      <c r="I109" s="1974"/>
      <c r="J109" s="1971"/>
    </row>
    <row r="110" spans="2:10" ht="18" hidden="1" outlineLevel="1" x14ac:dyDescent="0.25">
      <c r="B110" s="1970" t="s">
        <v>563</v>
      </c>
      <c r="C110" s="1971" t="s">
        <v>564</v>
      </c>
      <c r="D110" s="1971">
        <v>74.921599999999998</v>
      </c>
      <c r="E110" s="1973"/>
      <c r="F110" s="1973"/>
      <c r="G110" s="1971" t="s">
        <v>360</v>
      </c>
      <c r="H110" s="1974"/>
      <c r="I110" s="1974"/>
      <c r="J110" s="1971"/>
    </row>
    <row r="111" spans="2:10" ht="18" hidden="1" outlineLevel="1" x14ac:dyDescent="0.25">
      <c r="B111" s="1970" t="s">
        <v>565</v>
      </c>
      <c r="C111" s="1971" t="s">
        <v>566</v>
      </c>
      <c r="D111" s="1971">
        <v>78.959999999999994</v>
      </c>
      <c r="E111" s="1973"/>
      <c r="F111" s="1973"/>
      <c r="G111" s="1971" t="s">
        <v>360</v>
      </c>
      <c r="H111" s="1974"/>
      <c r="I111" s="1974"/>
      <c r="J111" s="1971"/>
    </row>
    <row r="112" spans="2:10" ht="18" hidden="1" outlineLevel="1" x14ac:dyDescent="0.25">
      <c r="B112" s="1970" t="s">
        <v>567</v>
      </c>
      <c r="C112" s="1971" t="s">
        <v>568</v>
      </c>
      <c r="D112" s="1971">
        <v>79.903999999999996</v>
      </c>
      <c r="E112" s="1973"/>
      <c r="F112" s="1973"/>
      <c r="G112" s="1971" t="s">
        <v>360</v>
      </c>
      <c r="H112" s="1974"/>
      <c r="I112" s="1974"/>
      <c r="J112" s="1971"/>
    </row>
    <row r="113" spans="2:10" ht="18" hidden="1" outlineLevel="1" x14ac:dyDescent="0.25">
      <c r="B113" s="1970" t="s">
        <v>569</v>
      </c>
      <c r="C113" s="1971" t="s">
        <v>570</v>
      </c>
      <c r="D113" s="1971">
        <v>83.798000000000002</v>
      </c>
      <c r="E113" s="1973"/>
      <c r="F113" s="1973"/>
      <c r="G113" s="1971" t="s">
        <v>360</v>
      </c>
      <c r="H113" s="1974"/>
      <c r="I113" s="1974"/>
      <c r="J113" s="1971"/>
    </row>
    <row r="114" spans="2:10" ht="18" hidden="1" outlineLevel="1" x14ac:dyDescent="0.25">
      <c r="B114" s="1970" t="s">
        <v>571</v>
      </c>
      <c r="C114" s="1971" t="s">
        <v>572</v>
      </c>
      <c r="D114" s="1971">
        <v>85.467799999999997</v>
      </c>
      <c r="E114" s="1973"/>
      <c r="F114" s="1973"/>
      <c r="G114" s="1971" t="s">
        <v>360</v>
      </c>
      <c r="H114" s="1974"/>
      <c r="I114" s="1974"/>
      <c r="J114" s="1971"/>
    </row>
    <row r="115" spans="2:10" ht="18" hidden="1" outlineLevel="1" x14ac:dyDescent="0.25">
      <c r="B115" s="1970" t="s">
        <v>573</v>
      </c>
      <c r="C115" s="1971" t="s">
        <v>574</v>
      </c>
      <c r="D115" s="1971">
        <v>87.62</v>
      </c>
      <c r="E115" s="1973"/>
      <c r="F115" s="1973"/>
      <c r="G115" s="1971" t="s">
        <v>360</v>
      </c>
      <c r="H115" s="1974"/>
      <c r="I115" s="1974"/>
      <c r="J115" s="1971"/>
    </row>
    <row r="116" spans="2:10" ht="18" hidden="1" outlineLevel="1" x14ac:dyDescent="0.25">
      <c r="B116" s="1970" t="s">
        <v>575</v>
      </c>
      <c r="C116" s="1971" t="s">
        <v>576</v>
      </c>
      <c r="D116" s="1971">
        <v>88.905850000000001</v>
      </c>
      <c r="E116" s="1973"/>
      <c r="F116" s="1973"/>
      <c r="G116" s="1971" t="s">
        <v>360</v>
      </c>
      <c r="H116" s="1974"/>
      <c r="I116" s="1974"/>
      <c r="J116" s="1971"/>
    </row>
    <row r="117" spans="2:10" ht="18" hidden="1" outlineLevel="1" x14ac:dyDescent="0.25">
      <c r="B117" s="1970" t="s">
        <v>577</v>
      </c>
      <c r="C117" s="1971" t="s">
        <v>578</v>
      </c>
      <c r="D117" s="1971">
        <v>91.224000000000004</v>
      </c>
      <c r="E117" s="1973"/>
      <c r="F117" s="1973"/>
      <c r="G117" s="1971" t="s">
        <v>360</v>
      </c>
      <c r="H117" s="1974"/>
      <c r="I117" s="1974"/>
      <c r="J117" s="1971"/>
    </row>
    <row r="118" spans="2:10" ht="18" hidden="1" outlineLevel="1" x14ac:dyDescent="0.25">
      <c r="B118" s="1970" t="s">
        <v>579</v>
      </c>
      <c r="C118" s="1971" t="s">
        <v>580</v>
      </c>
      <c r="D118" s="1971">
        <v>92.906379999999999</v>
      </c>
      <c r="E118" s="1973"/>
      <c r="F118" s="1973"/>
      <c r="G118" s="1971" t="s">
        <v>360</v>
      </c>
      <c r="H118" s="1974"/>
      <c r="I118" s="1974"/>
      <c r="J118" s="1971"/>
    </row>
    <row r="119" spans="2:10" ht="18" hidden="1" outlineLevel="1" x14ac:dyDescent="0.25">
      <c r="B119" s="1970" t="s">
        <v>581</v>
      </c>
      <c r="C119" s="1971" t="s">
        <v>582</v>
      </c>
      <c r="D119" s="1971">
        <v>95.94</v>
      </c>
      <c r="E119" s="1973"/>
      <c r="F119" s="1973"/>
      <c r="G119" s="1971" t="s">
        <v>360</v>
      </c>
      <c r="H119" s="1974"/>
      <c r="I119" s="1974"/>
      <c r="J119" s="1971"/>
    </row>
    <row r="120" spans="2:10" ht="18" hidden="1" outlineLevel="1" x14ac:dyDescent="0.25">
      <c r="B120" s="1970" t="s">
        <v>583</v>
      </c>
      <c r="C120" s="1971" t="s">
        <v>584</v>
      </c>
      <c r="D120" s="1971">
        <v>98</v>
      </c>
      <c r="E120" s="1973"/>
      <c r="F120" s="1973"/>
      <c r="G120" s="1971" t="s">
        <v>360</v>
      </c>
      <c r="H120" s="1974"/>
      <c r="I120" s="1974"/>
      <c r="J120" s="1971"/>
    </row>
    <row r="121" spans="2:10" ht="18" hidden="1" outlineLevel="1" x14ac:dyDescent="0.25">
      <c r="B121" s="1970" t="s">
        <v>585</v>
      </c>
      <c r="C121" s="1971" t="s">
        <v>586</v>
      </c>
      <c r="D121" s="1971">
        <v>101.07</v>
      </c>
      <c r="E121" s="1973"/>
      <c r="F121" s="1973"/>
      <c r="G121" s="1971" t="s">
        <v>360</v>
      </c>
      <c r="H121" s="1974"/>
      <c r="I121" s="1974"/>
      <c r="J121" s="1971"/>
    </row>
    <row r="122" spans="2:10" ht="18" hidden="1" outlineLevel="1" x14ac:dyDescent="0.25">
      <c r="B122" s="1970" t="s">
        <v>587</v>
      </c>
      <c r="C122" s="1971" t="s">
        <v>588</v>
      </c>
      <c r="D122" s="1971">
        <v>102.9055</v>
      </c>
      <c r="E122" s="1973"/>
      <c r="F122" s="1973"/>
      <c r="G122" s="1971" t="s">
        <v>360</v>
      </c>
      <c r="H122" s="1974"/>
      <c r="I122" s="1974"/>
      <c r="J122" s="1971"/>
    </row>
    <row r="123" spans="2:10" ht="18" hidden="1" outlineLevel="1" x14ac:dyDescent="0.25">
      <c r="B123" s="1970" t="s">
        <v>589</v>
      </c>
      <c r="C123" s="1971" t="s">
        <v>590</v>
      </c>
      <c r="D123" s="1971">
        <v>106.42</v>
      </c>
      <c r="E123" s="1973"/>
      <c r="F123" s="1973"/>
      <c r="G123" s="1971" t="s">
        <v>360</v>
      </c>
      <c r="H123" s="1974"/>
      <c r="I123" s="1974"/>
      <c r="J123" s="1971"/>
    </row>
    <row r="124" spans="2:10" ht="18" hidden="1" outlineLevel="1" x14ac:dyDescent="0.25">
      <c r="B124" s="1970" t="s">
        <v>591</v>
      </c>
      <c r="C124" s="1971" t="s">
        <v>592</v>
      </c>
      <c r="D124" s="1971">
        <v>107.8682</v>
      </c>
      <c r="E124" s="1973"/>
      <c r="F124" s="1973"/>
      <c r="G124" s="1971" t="s">
        <v>360</v>
      </c>
      <c r="H124" s="1974"/>
      <c r="I124" s="1974"/>
      <c r="J124" s="1971"/>
    </row>
    <row r="125" spans="2:10" ht="18" hidden="1" outlineLevel="1" x14ac:dyDescent="0.25">
      <c r="B125" s="1970" t="s">
        <v>593</v>
      </c>
      <c r="C125" s="1971" t="s">
        <v>594</v>
      </c>
      <c r="D125" s="1971">
        <v>112.411</v>
      </c>
      <c r="E125" s="1973"/>
      <c r="F125" s="1973"/>
      <c r="G125" s="1971" t="s">
        <v>360</v>
      </c>
      <c r="H125" s="1974"/>
      <c r="I125" s="1974"/>
      <c r="J125" s="1971"/>
    </row>
    <row r="126" spans="2:10" ht="18" hidden="1" outlineLevel="1" x14ac:dyDescent="0.25">
      <c r="B126" s="1970" t="s">
        <v>595</v>
      </c>
      <c r="C126" s="1971" t="s">
        <v>596</v>
      </c>
      <c r="D126" s="1971">
        <v>114.818</v>
      </c>
      <c r="E126" s="1973"/>
      <c r="F126" s="1973"/>
      <c r="G126" s="1971" t="s">
        <v>360</v>
      </c>
      <c r="H126" s="1974"/>
      <c r="I126" s="1974"/>
      <c r="J126" s="1971"/>
    </row>
    <row r="127" spans="2:10" ht="18" hidden="1" outlineLevel="1" x14ac:dyDescent="0.25">
      <c r="B127" s="1970" t="s">
        <v>597</v>
      </c>
      <c r="C127" s="1971" t="s">
        <v>598</v>
      </c>
      <c r="D127" s="1971">
        <v>118.71</v>
      </c>
      <c r="E127" s="1973"/>
      <c r="F127" s="1973"/>
      <c r="G127" s="1971" t="s">
        <v>360</v>
      </c>
      <c r="H127" s="1974"/>
      <c r="I127" s="1974"/>
      <c r="J127" s="1971"/>
    </row>
    <row r="128" spans="2:10" ht="18" hidden="1" outlineLevel="1" x14ac:dyDescent="0.25">
      <c r="B128" s="1970" t="s">
        <v>599</v>
      </c>
      <c r="C128" s="1971" t="s">
        <v>600</v>
      </c>
      <c r="D128" s="1971">
        <v>121.76</v>
      </c>
      <c r="E128" s="1973"/>
      <c r="F128" s="1973"/>
      <c r="G128" s="1971" t="s">
        <v>360</v>
      </c>
      <c r="H128" s="1974"/>
      <c r="I128" s="1974"/>
      <c r="J128" s="1971"/>
    </row>
    <row r="129" spans="2:10" ht="18" hidden="1" outlineLevel="1" x14ac:dyDescent="0.25">
      <c r="B129" s="1970" t="s">
        <v>601</v>
      </c>
      <c r="C129" s="1971" t="s">
        <v>602</v>
      </c>
      <c r="D129" s="1971">
        <v>127.6</v>
      </c>
      <c r="E129" s="1973"/>
      <c r="F129" s="1973"/>
      <c r="G129" s="1971" t="s">
        <v>360</v>
      </c>
      <c r="H129" s="1974"/>
      <c r="I129" s="1974"/>
      <c r="J129" s="1971"/>
    </row>
    <row r="130" spans="2:10" ht="18" hidden="1" outlineLevel="1" x14ac:dyDescent="0.25">
      <c r="B130" s="1970" t="s">
        <v>603</v>
      </c>
      <c r="C130" s="1971" t="s">
        <v>604</v>
      </c>
      <c r="D130" s="1971">
        <v>126.90447</v>
      </c>
      <c r="E130" s="1973"/>
      <c r="F130" s="1973"/>
      <c r="G130" s="1971" t="s">
        <v>360</v>
      </c>
      <c r="H130" s="1974"/>
      <c r="I130" s="1974"/>
      <c r="J130" s="1971"/>
    </row>
    <row r="131" spans="2:10" ht="18" hidden="1" outlineLevel="1" x14ac:dyDescent="0.25">
      <c r="B131" s="1970" t="s">
        <v>605</v>
      </c>
      <c r="C131" s="1971" t="s">
        <v>606</v>
      </c>
      <c r="D131" s="1971">
        <v>131.29300000000001</v>
      </c>
      <c r="E131" s="1973"/>
      <c r="F131" s="1973"/>
      <c r="G131" s="1971" t="s">
        <v>360</v>
      </c>
      <c r="H131" s="1974"/>
      <c r="I131" s="1974"/>
      <c r="J131" s="1971"/>
    </row>
    <row r="132" spans="2:10" ht="18" hidden="1" outlineLevel="1" x14ac:dyDescent="0.25">
      <c r="B132" s="1970" t="s">
        <v>607</v>
      </c>
      <c r="C132" s="1971" t="s">
        <v>608</v>
      </c>
      <c r="D132" s="1971">
        <v>132.90545</v>
      </c>
      <c r="E132" s="1973"/>
      <c r="F132" s="1973"/>
      <c r="G132" s="1971" t="s">
        <v>360</v>
      </c>
      <c r="H132" s="1974"/>
      <c r="I132" s="1974"/>
      <c r="J132" s="1971"/>
    </row>
    <row r="133" spans="2:10" ht="18" hidden="1" outlineLevel="1" x14ac:dyDescent="0.25">
      <c r="B133" s="1970" t="s">
        <v>609</v>
      </c>
      <c r="C133" s="1971" t="s">
        <v>610</v>
      </c>
      <c r="D133" s="1971">
        <v>137.327</v>
      </c>
      <c r="E133" s="1973"/>
      <c r="F133" s="1973"/>
      <c r="G133" s="1971" t="s">
        <v>360</v>
      </c>
      <c r="H133" s="1974"/>
      <c r="I133" s="1974"/>
      <c r="J133" s="1971"/>
    </row>
    <row r="134" spans="2:10" ht="18" hidden="1" outlineLevel="1" x14ac:dyDescent="0.25">
      <c r="B134" s="1970" t="s">
        <v>611</v>
      </c>
      <c r="C134" s="1971" t="s">
        <v>612</v>
      </c>
      <c r="D134" s="1971">
        <v>138.90547000000001</v>
      </c>
      <c r="E134" s="1973"/>
      <c r="F134" s="1973"/>
      <c r="G134" s="1971" t="s">
        <v>360</v>
      </c>
      <c r="H134" s="1974"/>
      <c r="I134" s="1974"/>
      <c r="J134" s="1971"/>
    </row>
    <row r="135" spans="2:10" ht="18" hidden="1" outlineLevel="1" x14ac:dyDescent="0.25">
      <c r="B135" s="1970" t="s">
        <v>613</v>
      </c>
      <c r="C135" s="1971" t="s">
        <v>614</v>
      </c>
      <c r="D135" s="1971">
        <v>140.11600000000001</v>
      </c>
      <c r="E135" s="1973"/>
      <c r="F135" s="1973"/>
      <c r="G135" s="1971" t="s">
        <v>360</v>
      </c>
      <c r="H135" s="1974"/>
      <c r="I135" s="1974"/>
      <c r="J135" s="1971"/>
    </row>
    <row r="136" spans="2:10" ht="18" hidden="1" outlineLevel="1" x14ac:dyDescent="0.25">
      <c r="B136" s="1970" t="s">
        <v>615</v>
      </c>
      <c r="C136" s="1971" t="s">
        <v>616</v>
      </c>
      <c r="D136" s="1971">
        <v>140.90764999999999</v>
      </c>
      <c r="E136" s="1973"/>
      <c r="F136" s="1973"/>
      <c r="G136" s="1971" t="s">
        <v>360</v>
      </c>
      <c r="H136" s="1974"/>
      <c r="I136" s="1974"/>
      <c r="J136" s="1971"/>
    </row>
    <row r="137" spans="2:10" ht="18" hidden="1" outlineLevel="1" x14ac:dyDescent="0.25">
      <c r="B137" s="1970" t="s">
        <v>617</v>
      </c>
      <c r="C137" s="1971" t="s">
        <v>618</v>
      </c>
      <c r="D137" s="1971">
        <v>144.24199999999999</v>
      </c>
      <c r="E137" s="1973"/>
      <c r="F137" s="1973"/>
      <c r="G137" s="1971" t="s">
        <v>360</v>
      </c>
      <c r="H137" s="1974"/>
      <c r="I137" s="1974"/>
      <c r="J137" s="1971"/>
    </row>
    <row r="138" spans="2:10" ht="18" hidden="1" outlineLevel="1" x14ac:dyDescent="0.25">
      <c r="B138" s="1970" t="s">
        <v>619</v>
      </c>
      <c r="C138" s="1971" t="s">
        <v>620</v>
      </c>
      <c r="D138" s="1971">
        <v>145</v>
      </c>
      <c r="E138" s="1973"/>
      <c r="F138" s="1973"/>
      <c r="G138" s="1971" t="s">
        <v>360</v>
      </c>
      <c r="H138" s="1974"/>
      <c r="I138" s="1974"/>
      <c r="J138" s="1971"/>
    </row>
    <row r="139" spans="2:10" ht="18" hidden="1" outlineLevel="1" x14ac:dyDescent="0.25">
      <c r="B139" s="1970" t="s">
        <v>621</v>
      </c>
      <c r="C139" s="1971" t="s">
        <v>622</v>
      </c>
      <c r="D139" s="1971">
        <v>150.36000000000001</v>
      </c>
      <c r="E139" s="1973"/>
      <c r="F139" s="1973"/>
      <c r="G139" s="1971" t="s">
        <v>360</v>
      </c>
      <c r="H139" s="1974"/>
      <c r="I139" s="1974"/>
      <c r="J139" s="1971"/>
    </row>
    <row r="140" spans="2:10" ht="18" hidden="1" outlineLevel="1" x14ac:dyDescent="0.25">
      <c r="B140" s="1970" t="s">
        <v>623</v>
      </c>
      <c r="C140" s="1971" t="s">
        <v>624</v>
      </c>
      <c r="D140" s="1971">
        <v>151.964</v>
      </c>
      <c r="E140" s="1973"/>
      <c r="F140" s="1973"/>
      <c r="G140" s="1971" t="s">
        <v>360</v>
      </c>
      <c r="H140" s="1974"/>
      <c r="I140" s="1974"/>
      <c r="J140" s="1971"/>
    </row>
    <row r="141" spans="2:10" ht="18" hidden="1" outlineLevel="1" x14ac:dyDescent="0.25">
      <c r="B141" s="1970" t="s">
        <v>625</v>
      </c>
      <c r="C141" s="1971" t="s">
        <v>626</v>
      </c>
      <c r="D141" s="1971">
        <v>157.25</v>
      </c>
      <c r="E141" s="1973"/>
      <c r="F141" s="1973"/>
      <c r="G141" s="1971" t="s">
        <v>360</v>
      </c>
      <c r="H141" s="1974"/>
      <c r="I141" s="1974"/>
      <c r="J141" s="1971"/>
    </row>
    <row r="142" spans="2:10" ht="18" hidden="1" outlineLevel="1" x14ac:dyDescent="0.25">
      <c r="B142" s="1970" t="s">
        <v>627</v>
      </c>
      <c r="C142" s="1971" t="s">
        <v>628</v>
      </c>
      <c r="D142" s="1971">
        <v>158.92535000000001</v>
      </c>
      <c r="E142" s="1973"/>
      <c r="F142" s="1973"/>
      <c r="G142" s="1971" t="s">
        <v>360</v>
      </c>
      <c r="H142" s="1974"/>
      <c r="I142" s="1974"/>
      <c r="J142" s="1971"/>
    </row>
    <row r="143" spans="2:10" ht="18" hidden="1" outlineLevel="1" x14ac:dyDescent="0.25">
      <c r="B143" s="1970" t="s">
        <v>629</v>
      </c>
      <c r="C143" s="1971" t="s">
        <v>630</v>
      </c>
      <c r="D143" s="1971">
        <v>162.5</v>
      </c>
      <c r="E143" s="1973"/>
      <c r="F143" s="1973"/>
      <c r="G143" s="1971" t="s">
        <v>360</v>
      </c>
      <c r="H143" s="1974"/>
      <c r="I143" s="1974"/>
      <c r="J143" s="1971"/>
    </row>
    <row r="144" spans="2:10" ht="18" hidden="1" outlineLevel="1" x14ac:dyDescent="0.25">
      <c r="B144" s="1970" t="s">
        <v>631</v>
      </c>
      <c r="C144" s="1971" t="s">
        <v>632</v>
      </c>
      <c r="D144" s="1971">
        <v>164.93031999999999</v>
      </c>
      <c r="E144" s="1973"/>
      <c r="F144" s="1973"/>
      <c r="G144" s="1971" t="s">
        <v>360</v>
      </c>
      <c r="H144" s="1974"/>
      <c r="I144" s="1974"/>
      <c r="J144" s="1971"/>
    </row>
    <row r="145" spans="2:10" ht="18" hidden="1" outlineLevel="1" x14ac:dyDescent="0.25">
      <c r="B145" s="1970" t="s">
        <v>633</v>
      </c>
      <c r="C145" s="1971" t="s">
        <v>634</v>
      </c>
      <c r="D145" s="1971">
        <v>167.25899999999999</v>
      </c>
      <c r="E145" s="1973"/>
      <c r="F145" s="1973"/>
      <c r="G145" s="1971" t="s">
        <v>360</v>
      </c>
      <c r="H145" s="1974"/>
      <c r="I145" s="1974"/>
      <c r="J145" s="1971"/>
    </row>
    <row r="146" spans="2:10" ht="18" hidden="1" outlineLevel="1" x14ac:dyDescent="0.25">
      <c r="B146" s="1970" t="s">
        <v>635</v>
      </c>
      <c r="C146" s="1971" t="s">
        <v>636</v>
      </c>
      <c r="D146" s="1971">
        <v>168.93421000000001</v>
      </c>
      <c r="E146" s="1973"/>
      <c r="F146" s="1973"/>
      <c r="G146" s="1971" t="s">
        <v>360</v>
      </c>
      <c r="H146" s="1974"/>
      <c r="I146" s="1974"/>
      <c r="J146" s="1971"/>
    </row>
    <row r="147" spans="2:10" ht="18" hidden="1" outlineLevel="1" x14ac:dyDescent="0.25">
      <c r="B147" s="1970" t="s">
        <v>637</v>
      </c>
      <c r="C147" s="1971" t="s">
        <v>638</v>
      </c>
      <c r="D147" s="1971">
        <v>173.04</v>
      </c>
      <c r="E147" s="1973"/>
      <c r="F147" s="1973"/>
      <c r="G147" s="1971" t="s">
        <v>360</v>
      </c>
      <c r="H147" s="1974"/>
      <c r="I147" s="1974"/>
      <c r="J147" s="1971"/>
    </row>
    <row r="148" spans="2:10" ht="18" hidden="1" outlineLevel="1" x14ac:dyDescent="0.25">
      <c r="B148" s="1970" t="s">
        <v>639</v>
      </c>
      <c r="C148" s="1971" t="s">
        <v>640</v>
      </c>
      <c r="D148" s="1971">
        <v>174.96700000000001</v>
      </c>
      <c r="E148" s="1973"/>
      <c r="F148" s="1973"/>
      <c r="G148" s="1971" t="s">
        <v>360</v>
      </c>
      <c r="H148" s="1974"/>
      <c r="I148" s="1974"/>
      <c r="J148" s="1971"/>
    </row>
    <row r="149" spans="2:10" ht="18" hidden="1" outlineLevel="1" x14ac:dyDescent="0.25">
      <c r="B149" s="1970" t="s">
        <v>641</v>
      </c>
      <c r="C149" s="1971" t="s">
        <v>642</v>
      </c>
      <c r="D149" s="1971">
        <v>178.49</v>
      </c>
      <c r="E149" s="1973"/>
      <c r="F149" s="1973"/>
      <c r="G149" s="1971" t="s">
        <v>360</v>
      </c>
      <c r="H149" s="1974"/>
      <c r="I149" s="1974"/>
      <c r="J149" s="1971"/>
    </row>
    <row r="150" spans="2:10" ht="18" hidden="1" outlineLevel="1" x14ac:dyDescent="0.25">
      <c r="B150" s="1970" t="s">
        <v>643</v>
      </c>
      <c r="C150" s="1971" t="s">
        <v>644</v>
      </c>
      <c r="D150" s="1971">
        <v>180.94788</v>
      </c>
      <c r="E150" s="1973"/>
      <c r="F150" s="1973"/>
      <c r="G150" s="1971" t="s">
        <v>360</v>
      </c>
      <c r="H150" s="1974"/>
      <c r="I150" s="1974"/>
      <c r="J150" s="1971"/>
    </row>
    <row r="151" spans="2:10" ht="18" hidden="1" outlineLevel="1" x14ac:dyDescent="0.25">
      <c r="B151" s="1970" t="s">
        <v>645</v>
      </c>
      <c r="C151" s="1971" t="s">
        <v>646</v>
      </c>
      <c r="D151" s="1971">
        <v>183.84</v>
      </c>
      <c r="E151" s="1973"/>
      <c r="F151" s="1973"/>
      <c r="G151" s="1971" t="s">
        <v>360</v>
      </c>
      <c r="H151" s="1974"/>
      <c r="I151" s="1974"/>
      <c r="J151" s="1971"/>
    </row>
    <row r="152" spans="2:10" ht="18" hidden="1" outlineLevel="1" x14ac:dyDescent="0.25">
      <c r="B152" s="1970" t="s">
        <v>647</v>
      </c>
      <c r="C152" s="1971" t="s">
        <v>648</v>
      </c>
      <c r="D152" s="1971">
        <v>186.20699999999999</v>
      </c>
      <c r="E152" s="1973"/>
      <c r="F152" s="1973"/>
      <c r="G152" s="1971" t="s">
        <v>360</v>
      </c>
      <c r="H152" s="1974"/>
      <c r="I152" s="1974"/>
      <c r="J152" s="1971"/>
    </row>
    <row r="153" spans="2:10" ht="18" hidden="1" outlineLevel="1" x14ac:dyDescent="0.25">
      <c r="B153" s="1970" t="s">
        <v>649</v>
      </c>
      <c r="C153" s="1971" t="s">
        <v>650</v>
      </c>
      <c r="D153" s="1971">
        <v>190.23</v>
      </c>
      <c r="E153" s="1973"/>
      <c r="F153" s="1973"/>
      <c r="G153" s="1971" t="s">
        <v>360</v>
      </c>
      <c r="H153" s="1974"/>
      <c r="I153" s="1974"/>
      <c r="J153" s="1971"/>
    </row>
    <row r="154" spans="2:10" ht="18" hidden="1" outlineLevel="1" x14ac:dyDescent="0.25">
      <c r="B154" s="1970" t="s">
        <v>651</v>
      </c>
      <c r="C154" s="1971" t="s">
        <v>652</v>
      </c>
      <c r="D154" s="1971">
        <v>192.21700000000001</v>
      </c>
      <c r="E154" s="1973"/>
      <c r="F154" s="1973"/>
      <c r="G154" s="1971" t="s">
        <v>360</v>
      </c>
      <c r="H154" s="1974"/>
      <c r="I154" s="1974"/>
      <c r="J154" s="1971"/>
    </row>
    <row r="155" spans="2:10" ht="18" hidden="1" outlineLevel="1" x14ac:dyDescent="0.25">
      <c r="B155" s="1970" t="s">
        <v>653</v>
      </c>
      <c r="C155" s="1971" t="s">
        <v>654</v>
      </c>
      <c r="D155" s="1971">
        <v>195.084</v>
      </c>
      <c r="E155" s="1973"/>
      <c r="F155" s="1973"/>
      <c r="G155" s="1971" t="s">
        <v>360</v>
      </c>
      <c r="H155" s="1974"/>
      <c r="I155" s="1974"/>
      <c r="J155" s="1971"/>
    </row>
    <row r="156" spans="2:10" ht="18" hidden="1" outlineLevel="1" x14ac:dyDescent="0.25">
      <c r="B156" s="1970" t="s">
        <v>655</v>
      </c>
      <c r="C156" s="1971" t="s">
        <v>656</v>
      </c>
      <c r="D156" s="1971">
        <v>196.96656999999999</v>
      </c>
      <c r="E156" s="1973"/>
      <c r="F156" s="1973"/>
      <c r="G156" s="1971" t="s">
        <v>360</v>
      </c>
      <c r="H156" s="1974"/>
      <c r="I156" s="1974"/>
      <c r="J156" s="1971"/>
    </row>
    <row r="157" spans="2:10" ht="18" hidden="1" outlineLevel="1" x14ac:dyDescent="0.25">
      <c r="B157" s="1970" t="s">
        <v>657</v>
      </c>
      <c r="C157" s="1971" t="s">
        <v>658</v>
      </c>
      <c r="D157" s="1971">
        <v>200.59</v>
      </c>
      <c r="E157" s="1973"/>
      <c r="F157" s="1973"/>
      <c r="G157" s="1971" t="s">
        <v>360</v>
      </c>
      <c r="H157" s="1974"/>
      <c r="I157" s="1974"/>
      <c r="J157" s="1971"/>
    </row>
    <row r="158" spans="2:10" ht="18" hidden="1" outlineLevel="1" x14ac:dyDescent="0.25">
      <c r="B158" s="1970" t="s">
        <v>659</v>
      </c>
      <c r="C158" s="1971" t="s">
        <v>660</v>
      </c>
      <c r="D158" s="1971">
        <v>204.38329999999999</v>
      </c>
      <c r="E158" s="1973"/>
      <c r="F158" s="1973"/>
      <c r="G158" s="1971" t="s">
        <v>360</v>
      </c>
      <c r="H158" s="1974"/>
      <c r="I158" s="1974"/>
      <c r="J158" s="1971"/>
    </row>
    <row r="159" spans="2:10" ht="18" hidden="1" outlineLevel="1" x14ac:dyDescent="0.25">
      <c r="B159" s="1970" t="s">
        <v>661</v>
      </c>
      <c r="C159" s="1971" t="s">
        <v>662</v>
      </c>
      <c r="D159" s="1971">
        <v>207.2</v>
      </c>
      <c r="E159" s="1973"/>
      <c r="F159" s="1973"/>
      <c r="G159" s="1971" t="s">
        <v>360</v>
      </c>
      <c r="H159" s="1974"/>
      <c r="I159" s="1974"/>
      <c r="J159" s="1971"/>
    </row>
    <row r="160" spans="2:10" ht="18" hidden="1" outlineLevel="1" x14ac:dyDescent="0.25">
      <c r="B160" s="1970" t="s">
        <v>663</v>
      </c>
      <c r="C160" s="1971" t="s">
        <v>664</v>
      </c>
      <c r="D160" s="1971">
        <v>208.9804</v>
      </c>
      <c r="E160" s="1973"/>
      <c r="F160" s="1973"/>
      <c r="G160" s="1971" t="s">
        <v>360</v>
      </c>
      <c r="H160" s="1974"/>
      <c r="I160" s="1974"/>
      <c r="J160" s="1971"/>
    </row>
    <row r="161" spans="2:10" ht="18" hidden="1" outlineLevel="1" x14ac:dyDescent="0.25">
      <c r="B161" s="1970" t="s">
        <v>665</v>
      </c>
      <c r="C161" s="1971" t="s">
        <v>666</v>
      </c>
      <c r="D161" s="1971">
        <v>209</v>
      </c>
      <c r="E161" s="1973"/>
      <c r="F161" s="1973"/>
      <c r="G161" s="1971" t="s">
        <v>360</v>
      </c>
      <c r="H161" s="1974"/>
      <c r="I161" s="1974"/>
      <c r="J161" s="1971"/>
    </row>
    <row r="162" spans="2:10" ht="18" hidden="1" outlineLevel="1" x14ac:dyDescent="0.25">
      <c r="B162" s="1970" t="s">
        <v>667</v>
      </c>
      <c r="C162" s="1971" t="s">
        <v>668</v>
      </c>
      <c r="D162" s="1971">
        <v>210</v>
      </c>
      <c r="E162" s="1973"/>
      <c r="F162" s="1973"/>
      <c r="G162" s="1971" t="s">
        <v>360</v>
      </c>
      <c r="H162" s="1974"/>
      <c r="I162" s="1974"/>
      <c r="J162" s="1971"/>
    </row>
    <row r="163" spans="2:10" ht="18" hidden="1" outlineLevel="1" x14ac:dyDescent="0.25">
      <c r="B163" s="1970" t="s">
        <v>669</v>
      </c>
      <c r="C163" s="1971" t="s">
        <v>670</v>
      </c>
      <c r="D163" s="1971">
        <v>222</v>
      </c>
      <c r="E163" s="1973"/>
      <c r="F163" s="1973"/>
      <c r="G163" s="1971" t="s">
        <v>360</v>
      </c>
      <c r="H163" s="1974"/>
      <c r="I163" s="1974"/>
      <c r="J163" s="1971"/>
    </row>
    <row r="164" spans="2:10" ht="18" hidden="1" outlineLevel="1" x14ac:dyDescent="0.25">
      <c r="B164" s="1970" t="s">
        <v>671</v>
      </c>
      <c r="C164" s="1971" t="s">
        <v>672</v>
      </c>
      <c r="D164" s="1971">
        <v>223</v>
      </c>
      <c r="E164" s="1973"/>
      <c r="F164" s="1973"/>
      <c r="G164" s="1971" t="s">
        <v>360</v>
      </c>
      <c r="H164" s="1974"/>
      <c r="I164" s="1974"/>
      <c r="J164" s="1971"/>
    </row>
    <row r="165" spans="2:10" ht="18" hidden="1" outlineLevel="1" x14ac:dyDescent="0.25">
      <c r="B165" s="1970" t="s">
        <v>673</v>
      </c>
      <c r="C165" s="1971" t="s">
        <v>674</v>
      </c>
      <c r="D165" s="1971">
        <v>226</v>
      </c>
      <c r="E165" s="1973"/>
      <c r="F165" s="1973"/>
      <c r="G165" s="1971" t="s">
        <v>360</v>
      </c>
      <c r="H165" s="1974"/>
      <c r="I165" s="1974"/>
      <c r="J165" s="1971"/>
    </row>
    <row r="166" spans="2:10" ht="18" hidden="1" outlineLevel="1" x14ac:dyDescent="0.25">
      <c r="B166" s="1970" t="s">
        <v>675</v>
      </c>
      <c r="C166" s="1971" t="s">
        <v>676</v>
      </c>
      <c r="D166" s="1971">
        <v>227</v>
      </c>
      <c r="E166" s="1973"/>
      <c r="F166" s="1973"/>
      <c r="G166" s="1971" t="s">
        <v>360</v>
      </c>
      <c r="H166" s="1974"/>
      <c r="I166" s="1974"/>
      <c r="J166" s="1971"/>
    </row>
    <row r="167" spans="2:10" ht="18" hidden="1" outlineLevel="1" x14ac:dyDescent="0.25">
      <c r="B167" s="1970" t="s">
        <v>677</v>
      </c>
      <c r="C167" s="1971" t="s">
        <v>678</v>
      </c>
      <c r="D167" s="1971">
        <v>232.03806</v>
      </c>
      <c r="E167" s="1973"/>
      <c r="F167" s="1973"/>
      <c r="G167" s="1971" t="s">
        <v>360</v>
      </c>
      <c r="H167" s="1974"/>
      <c r="I167" s="1974"/>
      <c r="J167" s="1971"/>
    </row>
    <row r="168" spans="2:10" ht="18" hidden="1" outlineLevel="1" x14ac:dyDescent="0.25">
      <c r="B168" s="1970" t="s">
        <v>679</v>
      </c>
      <c r="C168" s="1971" t="s">
        <v>680</v>
      </c>
      <c r="D168" s="1971">
        <v>231.03587999999999</v>
      </c>
      <c r="E168" s="1973"/>
      <c r="F168" s="1973"/>
      <c r="G168" s="1971" t="s">
        <v>360</v>
      </c>
      <c r="H168" s="1974"/>
      <c r="I168" s="1974"/>
      <c r="J168" s="1971"/>
    </row>
    <row r="169" spans="2:10" ht="18" hidden="1" outlineLevel="1" x14ac:dyDescent="0.25">
      <c r="B169" s="1970" t="s">
        <v>681</v>
      </c>
      <c r="C169" s="1971" t="s">
        <v>682</v>
      </c>
      <c r="D169" s="1971">
        <v>238.02891</v>
      </c>
      <c r="E169" s="1973"/>
      <c r="F169" s="1973"/>
      <c r="G169" s="1971" t="s">
        <v>360</v>
      </c>
      <c r="H169" s="1974"/>
      <c r="I169" s="1974"/>
      <c r="J169" s="1971"/>
    </row>
    <row r="170" spans="2:10" ht="18" hidden="1" outlineLevel="1" x14ac:dyDescent="0.25">
      <c r="B170" s="1970" t="s">
        <v>683</v>
      </c>
      <c r="C170" s="1971" t="s">
        <v>684</v>
      </c>
      <c r="D170" s="1971">
        <v>237</v>
      </c>
      <c r="E170" s="1973"/>
      <c r="F170" s="1973"/>
      <c r="G170" s="1971" t="s">
        <v>360</v>
      </c>
      <c r="H170" s="1974"/>
      <c r="I170" s="1974"/>
      <c r="J170" s="1971"/>
    </row>
    <row r="171" spans="2:10" ht="18" hidden="1" outlineLevel="1" x14ac:dyDescent="0.25">
      <c r="B171" s="1970" t="s">
        <v>685</v>
      </c>
      <c r="C171" s="1971" t="s">
        <v>686</v>
      </c>
      <c r="D171" s="1971">
        <v>244</v>
      </c>
      <c r="E171" s="1973"/>
      <c r="F171" s="1973"/>
      <c r="G171" s="1971" t="s">
        <v>360</v>
      </c>
      <c r="H171" s="1974"/>
      <c r="I171" s="1974"/>
      <c r="J171" s="1971"/>
    </row>
    <row r="172" spans="2:10" ht="18" hidden="1" outlineLevel="1" x14ac:dyDescent="0.25">
      <c r="B172" s="1970" t="s">
        <v>687</v>
      </c>
      <c r="C172" s="1971" t="s">
        <v>688</v>
      </c>
      <c r="D172" s="1971">
        <v>243</v>
      </c>
      <c r="E172" s="1973"/>
      <c r="F172" s="1973"/>
      <c r="G172" s="1971" t="s">
        <v>360</v>
      </c>
      <c r="H172" s="1974"/>
      <c r="I172" s="1974"/>
      <c r="J172" s="1971"/>
    </row>
    <row r="173" spans="2:10" ht="18" hidden="1" outlineLevel="1" x14ac:dyDescent="0.25">
      <c r="B173" s="1970" t="s">
        <v>689</v>
      </c>
      <c r="C173" s="1971" t="s">
        <v>690</v>
      </c>
      <c r="D173" s="1971">
        <v>247</v>
      </c>
      <c r="E173" s="1973"/>
      <c r="F173" s="1973"/>
      <c r="G173" s="1971" t="s">
        <v>360</v>
      </c>
      <c r="H173" s="1974"/>
      <c r="I173" s="1974"/>
      <c r="J173" s="1971"/>
    </row>
    <row r="174" spans="2:10" ht="18" hidden="1" outlineLevel="1" x14ac:dyDescent="0.25">
      <c r="B174" s="1970" t="s">
        <v>691</v>
      </c>
      <c r="C174" s="1971" t="s">
        <v>692</v>
      </c>
      <c r="D174" s="1971">
        <v>247</v>
      </c>
      <c r="E174" s="1973"/>
      <c r="F174" s="1973"/>
      <c r="G174" s="1971" t="s">
        <v>360</v>
      </c>
      <c r="H174" s="1974"/>
      <c r="I174" s="1974"/>
      <c r="J174" s="1971"/>
    </row>
    <row r="175" spans="2:10" ht="18" hidden="1" outlineLevel="1" x14ac:dyDescent="0.25">
      <c r="B175" s="1970" t="s">
        <v>693</v>
      </c>
      <c r="C175" s="1971" t="s">
        <v>694</v>
      </c>
      <c r="D175" s="1971">
        <v>251</v>
      </c>
      <c r="E175" s="1973"/>
      <c r="F175" s="1973"/>
      <c r="G175" s="1971" t="s">
        <v>360</v>
      </c>
      <c r="H175" s="1974"/>
      <c r="I175" s="1974"/>
      <c r="J175" s="1971"/>
    </row>
    <row r="176" spans="2:10" ht="18" hidden="1" outlineLevel="1" x14ac:dyDescent="0.25">
      <c r="B176" s="1970" t="s">
        <v>695</v>
      </c>
      <c r="C176" s="1971" t="s">
        <v>696</v>
      </c>
      <c r="D176" s="1971">
        <v>252</v>
      </c>
      <c r="E176" s="1973"/>
      <c r="F176" s="1973"/>
      <c r="G176" s="1971" t="s">
        <v>360</v>
      </c>
      <c r="H176" s="1974"/>
      <c r="I176" s="1974"/>
      <c r="J176" s="1971"/>
    </row>
    <row r="177" spans="2:10" ht="18" hidden="1" outlineLevel="1" x14ac:dyDescent="0.25">
      <c r="B177" s="1970" t="s">
        <v>697</v>
      </c>
      <c r="C177" s="1971" t="s">
        <v>698</v>
      </c>
      <c r="D177" s="1971">
        <v>257</v>
      </c>
      <c r="E177" s="1973"/>
      <c r="F177" s="1973"/>
      <c r="G177" s="1971" t="s">
        <v>360</v>
      </c>
      <c r="H177" s="1974"/>
      <c r="I177" s="1974"/>
      <c r="J177" s="1971"/>
    </row>
    <row r="178" spans="2:10" ht="18" hidden="1" outlineLevel="1" x14ac:dyDescent="0.25">
      <c r="B178" s="1970" t="s">
        <v>699</v>
      </c>
      <c r="C178" s="1971" t="s">
        <v>700</v>
      </c>
      <c r="D178" s="1971">
        <v>258</v>
      </c>
      <c r="E178" s="1973"/>
      <c r="F178" s="1973"/>
      <c r="G178" s="1971" t="s">
        <v>360</v>
      </c>
      <c r="H178" s="1974"/>
      <c r="I178" s="1974"/>
      <c r="J178" s="1971"/>
    </row>
    <row r="179" spans="2:10" ht="18" hidden="1" outlineLevel="1" x14ac:dyDescent="0.25">
      <c r="B179" s="1970" t="s">
        <v>701</v>
      </c>
      <c r="C179" s="1971" t="s">
        <v>702</v>
      </c>
      <c r="D179" s="1971">
        <v>259</v>
      </c>
      <c r="E179" s="1973"/>
      <c r="F179" s="1973"/>
      <c r="G179" s="1971" t="s">
        <v>360</v>
      </c>
      <c r="H179" s="1974"/>
      <c r="I179" s="1974"/>
      <c r="J179" s="1971"/>
    </row>
    <row r="180" spans="2:10" ht="18" hidden="1" outlineLevel="1" x14ac:dyDescent="0.25">
      <c r="B180" s="1970" t="s">
        <v>703</v>
      </c>
      <c r="C180" s="1971" t="s">
        <v>704</v>
      </c>
      <c r="D180" s="1971">
        <v>262</v>
      </c>
      <c r="E180" s="1973"/>
      <c r="F180" s="1973"/>
      <c r="G180" s="1971" t="s">
        <v>360</v>
      </c>
      <c r="H180" s="1974"/>
      <c r="I180" s="1974"/>
      <c r="J180" s="1971"/>
    </row>
    <row r="181" spans="2:10" ht="18" hidden="1" outlineLevel="1" x14ac:dyDescent="0.25">
      <c r="B181" s="1970" t="s">
        <v>705</v>
      </c>
      <c r="C181" s="1971" t="s">
        <v>706</v>
      </c>
      <c r="D181" s="1971">
        <v>261</v>
      </c>
      <c r="E181" s="1973"/>
      <c r="F181" s="1973"/>
      <c r="G181" s="1971" t="s">
        <v>360</v>
      </c>
      <c r="H181" s="1974"/>
      <c r="I181" s="1974"/>
      <c r="J181" s="1971"/>
    </row>
    <row r="182" spans="2:10" ht="18" hidden="1" outlineLevel="1" x14ac:dyDescent="0.25">
      <c r="B182" s="1970" t="s">
        <v>707</v>
      </c>
      <c r="C182" s="1971" t="s">
        <v>708</v>
      </c>
      <c r="D182" s="1971">
        <v>262</v>
      </c>
      <c r="E182" s="1973"/>
      <c r="F182" s="1973"/>
      <c r="G182" s="1971" t="s">
        <v>360</v>
      </c>
      <c r="H182" s="1974"/>
      <c r="I182" s="1974"/>
      <c r="J182" s="1971"/>
    </row>
    <row r="183" spans="2:10" ht="18" hidden="1" outlineLevel="1" x14ac:dyDescent="0.25">
      <c r="B183" s="1970" t="s">
        <v>709</v>
      </c>
      <c r="C183" s="1971" t="s">
        <v>710</v>
      </c>
      <c r="D183" s="1971">
        <v>266</v>
      </c>
      <c r="E183" s="1973"/>
      <c r="F183" s="1973"/>
      <c r="G183" s="1971" t="s">
        <v>360</v>
      </c>
      <c r="H183" s="1974"/>
      <c r="I183" s="1974"/>
      <c r="J183" s="1971"/>
    </row>
    <row r="184" spans="2:10" ht="18" hidden="1" outlineLevel="1" x14ac:dyDescent="0.25">
      <c r="B184" s="1970" t="s">
        <v>711</v>
      </c>
      <c r="C184" s="1971" t="s">
        <v>712</v>
      </c>
      <c r="D184" s="1971">
        <v>264</v>
      </c>
      <c r="E184" s="1973"/>
      <c r="F184" s="1973"/>
      <c r="G184" s="1971" t="s">
        <v>360</v>
      </c>
      <c r="H184" s="1974"/>
      <c r="I184" s="1974"/>
      <c r="J184" s="1971"/>
    </row>
    <row r="185" spans="2:10" ht="18" hidden="1" outlineLevel="1" x14ac:dyDescent="0.25">
      <c r="B185" s="1970" t="s">
        <v>713</v>
      </c>
      <c r="C185" s="1971" t="s">
        <v>714</v>
      </c>
      <c r="D185" s="1971">
        <v>277</v>
      </c>
      <c r="E185" s="1973"/>
      <c r="F185" s="1973"/>
      <c r="G185" s="1971" t="s">
        <v>360</v>
      </c>
      <c r="H185" s="1974"/>
      <c r="I185" s="1974"/>
      <c r="J185" s="1971"/>
    </row>
    <row r="186" spans="2:10" ht="18" hidden="1" outlineLevel="1" x14ac:dyDescent="0.25">
      <c r="B186" s="1970" t="s">
        <v>715</v>
      </c>
      <c r="C186" s="1971" t="s">
        <v>716</v>
      </c>
      <c r="D186" s="1971">
        <v>268</v>
      </c>
      <c r="E186" s="1973"/>
      <c r="F186" s="1973"/>
      <c r="G186" s="1971" t="s">
        <v>360</v>
      </c>
      <c r="H186" s="1974"/>
      <c r="I186" s="1974"/>
      <c r="J186" s="1971"/>
    </row>
    <row r="187" spans="2:10" ht="18" hidden="1" outlineLevel="1" x14ac:dyDescent="0.25">
      <c r="B187" s="1970" t="s">
        <v>717</v>
      </c>
      <c r="C187" s="1971" t="s">
        <v>718</v>
      </c>
      <c r="D187" s="1971">
        <v>281</v>
      </c>
      <c r="E187" s="1973"/>
      <c r="F187" s="1973"/>
      <c r="G187" s="1971" t="s">
        <v>360</v>
      </c>
      <c r="H187" s="1974"/>
      <c r="I187" s="1974"/>
      <c r="J187" s="1971"/>
    </row>
    <row r="188" spans="2:10" ht="18" hidden="1" outlineLevel="1" x14ac:dyDescent="0.25">
      <c r="B188" s="1970" t="s">
        <v>719</v>
      </c>
      <c r="C188" s="1971" t="s">
        <v>720</v>
      </c>
      <c r="D188" s="1971">
        <v>272</v>
      </c>
      <c r="E188" s="1973"/>
      <c r="F188" s="1973"/>
      <c r="G188" s="1971" t="s">
        <v>360</v>
      </c>
      <c r="H188" s="1974"/>
      <c r="I188" s="1974"/>
      <c r="J188" s="1971"/>
    </row>
    <row r="189" spans="2:10" ht="18" hidden="1" outlineLevel="1" x14ac:dyDescent="0.25">
      <c r="B189" s="1970" t="s">
        <v>721</v>
      </c>
      <c r="C189" s="1971" t="s">
        <v>722</v>
      </c>
      <c r="D189" s="1971">
        <v>285</v>
      </c>
      <c r="E189" s="1973"/>
      <c r="F189" s="1973"/>
      <c r="G189" s="1971" t="s">
        <v>360</v>
      </c>
      <c r="H189" s="1974"/>
      <c r="I189" s="1974"/>
      <c r="J189" s="1971"/>
    </row>
    <row r="190" spans="2:10" ht="18" hidden="1" outlineLevel="1" x14ac:dyDescent="0.25">
      <c r="B190" s="1970" t="s">
        <v>723</v>
      </c>
      <c r="C190" s="1971" t="s">
        <v>724</v>
      </c>
      <c r="D190" s="1971">
        <v>284</v>
      </c>
      <c r="E190" s="1973"/>
      <c r="F190" s="1973"/>
      <c r="G190" s="1971" t="s">
        <v>360</v>
      </c>
      <c r="H190" s="1974"/>
      <c r="I190" s="1974"/>
      <c r="J190" s="1971"/>
    </row>
    <row r="191" spans="2:10" ht="18" hidden="1" outlineLevel="1" x14ac:dyDescent="0.25">
      <c r="B191" s="1970" t="s">
        <v>725</v>
      </c>
      <c r="C191" s="1971" t="s">
        <v>726</v>
      </c>
      <c r="D191" s="1971">
        <v>289</v>
      </c>
      <c r="E191" s="1973"/>
      <c r="F191" s="1973"/>
      <c r="G191" s="1971" t="s">
        <v>360</v>
      </c>
      <c r="H191" s="1974"/>
      <c r="I191" s="1974"/>
      <c r="J191" s="1971"/>
    </row>
    <row r="192" spans="2:10" ht="18" hidden="1" outlineLevel="1" x14ac:dyDescent="0.25">
      <c r="B192" s="1970" t="s">
        <v>727</v>
      </c>
      <c r="C192" s="1971" t="s">
        <v>728</v>
      </c>
      <c r="D192" s="1971">
        <v>288</v>
      </c>
      <c r="E192" s="1973"/>
      <c r="F192" s="1973"/>
      <c r="G192" s="1971" t="s">
        <v>360</v>
      </c>
      <c r="H192" s="1974"/>
      <c r="I192" s="1974"/>
      <c r="J192" s="1971"/>
    </row>
    <row r="193" spans="2:10" ht="18" hidden="1" outlineLevel="1" x14ac:dyDescent="0.25">
      <c r="B193" s="1970" t="s">
        <v>729</v>
      </c>
      <c r="C193" s="1971" t="s">
        <v>730</v>
      </c>
      <c r="D193" s="1971">
        <v>292</v>
      </c>
      <c r="E193" s="1973"/>
      <c r="F193" s="1973"/>
      <c r="G193" s="1971" t="s">
        <v>360</v>
      </c>
      <c r="H193" s="1974"/>
      <c r="I193" s="1974"/>
      <c r="J193" s="1971"/>
    </row>
    <row r="194" spans="2:10" ht="18" hidden="1" outlineLevel="1" x14ac:dyDescent="0.25">
      <c r="B194" s="1970" t="s">
        <v>731</v>
      </c>
      <c r="C194" s="1971" t="s">
        <v>732</v>
      </c>
      <c r="D194" s="1971">
        <v>292</v>
      </c>
      <c r="E194" s="1973"/>
      <c r="F194" s="1973"/>
      <c r="G194" s="1971" t="s">
        <v>360</v>
      </c>
      <c r="H194" s="1974"/>
      <c r="I194" s="1974"/>
      <c r="J194" s="1971"/>
    </row>
    <row r="195" spans="2:10" ht="18" hidden="1" outlineLevel="1" x14ac:dyDescent="0.25">
      <c r="B195" s="1970" t="s">
        <v>733</v>
      </c>
      <c r="C195" s="1971" t="s">
        <v>734</v>
      </c>
      <c r="D195" s="1971">
        <v>294</v>
      </c>
      <c r="E195" s="1973"/>
      <c r="F195" s="1973"/>
      <c r="G195" s="1971" t="s">
        <v>360</v>
      </c>
      <c r="H195" s="1974"/>
      <c r="I195" s="1974"/>
      <c r="J195" s="1971"/>
    </row>
    <row r="196" spans="2:10" collapsed="1" x14ac:dyDescent="0.25"/>
    <row r="197" spans="2:10" ht="15.75" thickBot="1" x14ac:dyDescent="0.3">
      <c r="C197" s="2247" t="s">
        <v>735</v>
      </c>
    </row>
    <row r="198" spans="2:10" ht="15.75" thickBot="1" x14ac:dyDescent="0.3">
      <c r="B198" s="2248" t="s">
        <v>0</v>
      </c>
      <c r="C198" s="2249" t="s">
        <v>1</v>
      </c>
      <c r="D198" s="2250" t="s">
        <v>152</v>
      </c>
      <c r="E198" s="2250" t="s">
        <v>470</v>
      </c>
      <c r="F198" s="2250" t="s">
        <v>471</v>
      </c>
      <c r="G198" s="2250" t="s">
        <v>2</v>
      </c>
      <c r="H198" s="2250" t="s">
        <v>298</v>
      </c>
      <c r="I198" s="2250" t="s">
        <v>116</v>
      </c>
      <c r="J198" s="2251" t="s">
        <v>117</v>
      </c>
    </row>
    <row r="199" spans="2:10" ht="18" hidden="1" outlineLevel="1" x14ac:dyDescent="0.25">
      <c r="B199" s="1970" t="s">
        <v>2037</v>
      </c>
      <c r="C199" s="1971" t="s">
        <v>2038</v>
      </c>
      <c r="D199" s="1971">
        <v>28.97</v>
      </c>
      <c r="E199" s="1973"/>
      <c r="F199" s="1973"/>
      <c r="G199" s="1971" t="s">
        <v>360</v>
      </c>
      <c r="H199" s="1974"/>
      <c r="I199" s="1974"/>
      <c r="J199" s="1971"/>
    </row>
    <row r="200" spans="2:10" ht="18" hidden="1" outlineLevel="1" x14ac:dyDescent="0.25">
      <c r="B200" s="1970" t="s">
        <v>459</v>
      </c>
      <c r="C200" s="1971" t="s">
        <v>452</v>
      </c>
      <c r="D200" s="1971">
        <f>2*A_MH</f>
        <v>2.0158800000000001</v>
      </c>
      <c r="E200" s="1973"/>
      <c r="F200" s="1973"/>
      <c r="G200" s="1971" t="s">
        <v>360</v>
      </c>
      <c r="H200" s="1974"/>
      <c r="I200" s="1974"/>
      <c r="J200" s="1971"/>
    </row>
    <row r="201" spans="2:10" ht="18" hidden="1" outlineLevel="1" x14ac:dyDescent="0.25">
      <c r="B201" s="1970" t="s">
        <v>460</v>
      </c>
      <c r="C201" s="1971" t="s">
        <v>453</v>
      </c>
      <c r="D201" s="1971">
        <f>A_MC+4*A_MH</f>
        <v>16.042459999999998</v>
      </c>
      <c r="E201" s="1973"/>
      <c r="F201" s="1973"/>
      <c r="G201" s="1971" t="s">
        <v>360</v>
      </c>
      <c r="H201" s="1974"/>
      <c r="I201" s="1974"/>
      <c r="J201" s="1971"/>
    </row>
    <row r="202" spans="2:10" ht="18" hidden="1" outlineLevel="1" x14ac:dyDescent="0.25">
      <c r="B202" s="1970" t="s">
        <v>736</v>
      </c>
      <c r="C202" s="1971" t="s">
        <v>737</v>
      </c>
      <c r="D202" s="1971">
        <f>A_MC+2*A_MO</f>
        <v>44.009500000000003</v>
      </c>
      <c r="E202" s="1973"/>
      <c r="F202" s="1973"/>
      <c r="G202" s="1971" t="s">
        <v>360</v>
      </c>
      <c r="H202" s="1974"/>
      <c r="I202" s="1974"/>
      <c r="J202" s="1971"/>
    </row>
    <row r="203" spans="2:10" ht="18" hidden="1" outlineLevel="1" x14ac:dyDescent="0.25">
      <c r="B203" s="1970" t="s">
        <v>1110</v>
      </c>
      <c r="C203" s="1971" t="s">
        <v>747</v>
      </c>
      <c r="D203" s="1971">
        <f>A_MN+3*A_MH</f>
        <v>17.030519999999999</v>
      </c>
      <c r="E203" s="1973"/>
      <c r="F203" s="1973"/>
      <c r="G203" s="1971" t="s">
        <v>360</v>
      </c>
      <c r="H203" s="1974"/>
      <c r="I203" s="1974"/>
      <c r="J203" s="1971"/>
    </row>
    <row r="204" spans="2:10" ht="18" hidden="1" outlineLevel="1" x14ac:dyDescent="0.25">
      <c r="B204" s="1970" t="s">
        <v>451</v>
      </c>
      <c r="C204" s="1971" t="s">
        <v>450</v>
      </c>
      <c r="D204" s="1971">
        <f>2*A_MN</f>
        <v>28.013400000000001</v>
      </c>
      <c r="E204" s="1973"/>
      <c r="F204" s="1973"/>
      <c r="G204" s="1971" t="s">
        <v>360</v>
      </c>
      <c r="H204" s="1974"/>
      <c r="I204" s="1974"/>
      <c r="J204" s="1971"/>
    </row>
    <row r="205" spans="2:10" ht="18" hidden="1" outlineLevel="1" x14ac:dyDescent="0.25">
      <c r="B205" s="1970" t="s">
        <v>446</v>
      </c>
      <c r="C205" s="1971" t="s">
        <v>447</v>
      </c>
      <c r="D205" s="1971">
        <f>2*A_MO</f>
        <v>31.998799999999999</v>
      </c>
      <c r="E205" s="1973"/>
      <c r="F205" s="1973"/>
      <c r="G205" s="1971" t="s">
        <v>360</v>
      </c>
      <c r="H205" s="1974"/>
      <c r="I205" s="1974"/>
      <c r="J205" s="1971" t="s">
        <v>738</v>
      </c>
    </row>
    <row r="206" spans="2:10" ht="18" hidden="1" outlineLevel="1" x14ac:dyDescent="0.25">
      <c r="B206" s="1970" t="s">
        <v>739</v>
      </c>
      <c r="C206" s="1971" t="s">
        <v>740</v>
      </c>
      <c r="D206" s="1971">
        <f>A_MN+A_MO</f>
        <v>30.0061</v>
      </c>
      <c r="E206" s="1973"/>
      <c r="F206" s="1973"/>
      <c r="G206" s="1971" t="s">
        <v>360</v>
      </c>
      <c r="H206" s="1974"/>
      <c r="I206" s="1974"/>
      <c r="J206" s="1971" t="s">
        <v>741</v>
      </c>
    </row>
    <row r="207" spans="2:10" ht="18" hidden="1" outlineLevel="1" x14ac:dyDescent="0.25">
      <c r="B207" s="1970" t="s">
        <v>742</v>
      </c>
      <c r="C207" s="1971" t="s">
        <v>743</v>
      </c>
      <c r="D207" s="1971">
        <f>2*A_MN+A_MO</f>
        <v>44.012799999999999</v>
      </c>
      <c r="E207" s="1973"/>
      <c r="F207" s="1973"/>
      <c r="G207" s="1971" t="s">
        <v>360</v>
      </c>
      <c r="H207" s="1974"/>
      <c r="I207" s="1974"/>
      <c r="J207" s="1971" t="s">
        <v>744</v>
      </c>
    </row>
    <row r="208" spans="2:10" ht="18" hidden="1" outlineLevel="1" x14ac:dyDescent="0.25">
      <c r="B208" s="1970" t="s">
        <v>1157</v>
      </c>
      <c r="C208" s="1971" t="s">
        <v>1209</v>
      </c>
      <c r="D208" s="1971">
        <f>M_MH2S</f>
        <v>34.080880000000001</v>
      </c>
      <c r="E208" s="1973"/>
      <c r="F208" s="1973"/>
      <c r="G208" s="1971" t="s">
        <v>360</v>
      </c>
      <c r="H208" s="1974"/>
      <c r="I208" s="1974"/>
      <c r="J208" s="1971"/>
    </row>
    <row r="209" spans="1:10" collapsed="1" x14ac:dyDescent="0.25"/>
    <row r="210" spans="1:10" ht="15.75" thickBot="1" x14ac:dyDescent="0.3">
      <c r="C210" s="2247" t="s">
        <v>745</v>
      </c>
    </row>
    <row r="211" spans="1:10" ht="15.75" thickBot="1" x14ac:dyDescent="0.3">
      <c r="B211" s="2248" t="s">
        <v>0</v>
      </c>
      <c r="C211" s="2249" t="s">
        <v>1</v>
      </c>
      <c r="D211" s="2250" t="s">
        <v>152</v>
      </c>
      <c r="E211" s="2250" t="s">
        <v>470</v>
      </c>
      <c r="F211" s="2250" t="s">
        <v>471</v>
      </c>
      <c r="G211" s="2250" t="s">
        <v>2</v>
      </c>
      <c r="H211" s="2250" t="s">
        <v>298</v>
      </c>
      <c r="I211" s="2250" t="s">
        <v>116</v>
      </c>
      <c r="J211" s="2251" t="s">
        <v>117</v>
      </c>
    </row>
    <row r="212" spans="1:10" ht="18" outlineLevel="1" x14ac:dyDescent="0.25">
      <c r="B212" s="1970" t="s">
        <v>1210</v>
      </c>
      <c r="C212" s="1971" t="s">
        <v>1132</v>
      </c>
      <c r="D212" s="1971">
        <f>3*A_MCa+2*M_MPO4+4*M_MH2O</f>
        <v>382.23784440000003</v>
      </c>
      <c r="E212" s="1973"/>
      <c r="F212" s="1973"/>
      <c r="G212" s="1971" t="s">
        <v>360</v>
      </c>
      <c r="H212" s="1974"/>
      <c r="I212" s="1974"/>
      <c r="J212" s="1971" t="s">
        <v>4103</v>
      </c>
    </row>
    <row r="213" spans="1:10" ht="18" outlineLevel="1" x14ac:dyDescent="0.25">
      <c r="B213" s="1970" t="s">
        <v>4104</v>
      </c>
      <c r="C213" s="1971" t="s">
        <v>4105</v>
      </c>
      <c r="D213" s="1971">
        <f>2*A_MAl+3*A_MS+12*A_MO</f>
        <v>342.1508</v>
      </c>
      <c r="E213" s="1973"/>
      <c r="F213" s="1973"/>
      <c r="G213" s="1971" t="s">
        <v>360</v>
      </c>
      <c r="H213" s="1974"/>
      <c r="I213" s="1974"/>
      <c r="J213" s="1971"/>
    </row>
    <row r="214" spans="1:10" ht="18" outlineLevel="1" x14ac:dyDescent="0.25">
      <c r="B214" s="1970" t="s">
        <v>4106</v>
      </c>
      <c r="C214" s="1971" t="s">
        <v>4107</v>
      </c>
      <c r="D214" s="1971">
        <f>A_MAl+3*A_MCl</f>
        <v>133.34050000000002</v>
      </c>
      <c r="E214" s="1973"/>
      <c r="F214" s="1973"/>
      <c r="G214" s="1971" t="s">
        <v>360</v>
      </c>
      <c r="H214" s="1974"/>
      <c r="I214" s="1974"/>
      <c r="J214" s="1971"/>
    </row>
    <row r="215" spans="1:10" ht="18" outlineLevel="1" x14ac:dyDescent="0.25">
      <c r="B215" s="1970" t="s">
        <v>3281</v>
      </c>
      <c r="C215" s="1971" t="s">
        <v>3090</v>
      </c>
      <c r="D215" s="1971">
        <f>A_MAl+3*(A_MO+A_MH)</f>
        <v>78.003519999999995</v>
      </c>
      <c r="E215" s="1973"/>
      <c r="F215" s="1973"/>
      <c r="G215" s="1971" t="s">
        <v>360</v>
      </c>
      <c r="H215" s="1974"/>
      <c r="I215" s="1974"/>
      <c r="J215" s="1971"/>
    </row>
    <row r="216" spans="1:10" ht="18" outlineLevel="1" x14ac:dyDescent="0.25">
      <c r="B216" s="1970" t="s">
        <v>3282</v>
      </c>
      <c r="C216" s="1971" t="s">
        <v>3091</v>
      </c>
      <c r="D216" s="1971">
        <f>A_MAl+A_MP+4*A_MO</f>
        <v>121.9528622</v>
      </c>
      <c r="E216" s="1973"/>
      <c r="F216" s="1973"/>
      <c r="G216" s="1971" t="s">
        <v>360</v>
      </c>
      <c r="H216" s="1974"/>
      <c r="I216" s="1974"/>
      <c r="J216" s="1971"/>
    </row>
    <row r="217" spans="1:10" ht="18" x14ac:dyDescent="0.25">
      <c r="A217" s="2252"/>
      <c r="B217" s="1970" t="s">
        <v>4055</v>
      </c>
      <c r="C217" s="1971" t="s">
        <v>4056</v>
      </c>
      <c r="D217" s="1971">
        <f>1*A_MCa+1*A_MH+1*M_MPO4+2*M_MH2O</f>
        <v>172.08786220000002</v>
      </c>
      <c r="E217" s="1973"/>
      <c r="F217" s="1973"/>
      <c r="G217" s="1971" t="s">
        <v>360</v>
      </c>
      <c r="H217" s="1974"/>
      <c r="I217" s="1974"/>
      <c r="J217" s="1971"/>
    </row>
    <row r="218" spans="1:10" s="2253" customFormat="1" ht="18" outlineLevel="1" x14ac:dyDescent="0.25">
      <c r="B218" s="1970" t="s">
        <v>4108</v>
      </c>
      <c r="C218" s="1971" t="s">
        <v>4109</v>
      </c>
      <c r="D218" s="1971">
        <f>A_MCa+2*A_MCl</f>
        <v>110.98400000000001</v>
      </c>
      <c r="E218" s="1973"/>
      <c r="F218" s="1973"/>
      <c r="G218" s="1971" t="s">
        <v>360</v>
      </c>
      <c r="H218" s="2254"/>
      <c r="I218" s="2254"/>
      <c r="J218" s="2255"/>
    </row>
    <row r="219" spans="1:10" s="2253" customFormat="1" ht="18" outlineLevel="1" x14ac:dyDescent="0.25">
      <c r="B219" s="1970" t="s">
        <v>1264</v>
      </c>
      <c r="C219" s="1971" t="s">
        <v>1030</v>
      </c>
      <c r="D219" s="1971">
        <f>A_MCa+A_MC+3*A_MO</f>
        <v>100.0869</v>
      </c>
      <c r="E219" s="1973"/>
      <c r="F219" s="1973"/>
      <c r="G219" s="1971" t="s">
        <v>360</v>
      </c>
      <c r="H219" s="2254"/>
      <c r="I219" s="2254"/>
      <c r="J219" s="2255"/>
    </row>
    <row r="220" spans="1:10" ht="18" outlineLevel="1" x14ac:dyDescent="0.25">
      <c r="B220" s="1970" t="s">
        <v>1303</v>
      </c>
      <c r="C220" s="1971" t="s">
        <v>1335</v>
      </c>
      <c r="D220" s="1971">
        <f>A_MCa+2*A_MH+A_MP+4*A_MO</f>
        <v>137.0652422</v>
      </c>
      <c r="E220" s="1973"/>
      <c r="F220" s="1973"/>
      <c r="G220" s="1971" t="s">
        <v>360</v>
      </c>
      <c r="H220" s="1974"/>
      <c r="I220" s="1974"/>
      <c r="J220" s="1971"/>
    </row>
    <row r="221" spans="1:10" ht="18" outlineLevel="1" x14ac:dyDescent="0.25">
      <c r="B221" s="1970" t="s">
        <v>1300</v>
      </c>
      <c r="C221" s="1971" t="s">
        <v>1332</v>
      </c>
      <c r="D221" s="1971">
        <f>A_MCa+A_MH+A_MC+3*A_MO</f>
        <v>101.09484</v>
      </c>
      <c r="E221" s="1973"/>
      <c r="F221" s="1973"/>
      <c r="G221" s="1971" t="s">
        <v>360</v>
      </c>
      <c r="H221" s="1974"/>
      <c r="I221" s="1974"/>
      <c r="J221" s="1971"/>
    </row>
    <row r="222" spans="1:10" ht="18" outlineLevel="1" x14ac:dyDescent="0.25">
      <c r="B222" s="1970" t="s">
        <v>1302</v>
      </c>
      <c r="C222" s="1971" t="s">
        <v>1334</v>
      </c>
      <c r="D222" s="1971">
        <f>A_MCa+A_MH+A_MP+4*A_MO</f>
        <v>136.05730220000001</v>
      </c>
      <c r="E222" s="1973"/>
      <c r="F222" s="1973"/>
      <c r="G222" s="1971" t="s">
        <v>360</v>
      </c>
      <c r="H222" s="1974"/>
      <c r="I222" s="1974"/>
      <c r="J222" s="1971"/>
    </row>
    <row r="223" spans="1:10" ht="18" outlineLevel="1" x14ac:dyDescent="0.25">
      <c r="B223" s="1970" t="s">
        <v>1298</v>
      </c>
      <c r="C223" s="1971" t="s">
        <v>1299</v>
      </c>
      <c r="D223" s="1971">
        <f>A_MCa+A_MO+A_MH</f>
        <v>57.085340000000002</v>
      </c>
      <c r="E223" s="1973"/>
      <c r="F223" s="1973"/>
      <c r="G223" s="1971" t="s">
        <v>360</v>
      </c>
      <c r="H223" s="1974"/>
      <c r="I223" s="1974"/>
      <c r="J223" s="1971"/>
    </row>
    <row r="224" spans="1:10" ht="18" outlineLevel="1" x14ac:dyDescent="0.25">
      <c r="B224" s="1970" t="s">
        <v>4110</v>
      </c>
      <c r="C224" s="1971" t="s">
        <v>4111</v>
      </c>
      <c r="D224" s="1971">
        <f>A_MCa+2*(A_MO+A_MH)</f>
        <v>74.092680000000001</v>
      </c>
      <c r="E224" s="1973"/>
      <c r="F224" s="1973"/>
      <c r="G224" s="1971" t="s">
        <v>360</v>
      </c>
      <c r="H224" s="1974"/>
      <c r="I224" s="1974"/>
      <c r="J224" s="1971"/>
    </row>
    <row r="225" spans="2:10" ht="18" outlineLevel="1" x14ac:dyDescent="0.25">
      <c r="B225" s="1970" t="s">
        <v>1301</v>
      </c>
      <c r="C225" s="1971" t="s">
        <v>1333</v>
      </c>
      <c r="D225" s="1971">
        <f>A_MCa+A_MP+4*A_MO</f>
        <v>135.04936219999999</v>
      </c>
      <c r="E225" s="1973"/>
      <c r="F225" s="1973"/>
      <c r="G225" s="1971" t="s">
        <v>360</v>
      </c>
      <c r="H225" s="1974"/>
      <c r="I225" s="1974"/>
      <c r="J225" s="1971"/>
    </row>
    <row r="226" spans="2:10" ht="18" outlineLevel="1" x14ac:dyDescent="0.25">
      <c r="B226" s="1970" t="s">
        <v>751</v>
      </c>
      <c r="C226" s="1971" t="s">
        <v>752</v>
      </c>
      <c r="D226" s="1971">
        <f>A_MC+3*A_MH+A_MC+2*A_MO+A_MH</f>
        <v>60.051960000000001</v>
      </c>
      <c r="E226" s="1973"/>
      <c r="F226" s="1973"/>
      <c r="G226" s="1971" t="s">
        <v>360</v>
      </c>
      <c r="H226" s="1974"/>
      <c r="I226" s="1974"/>
      <c r="J226" s="1971"/>
    </row>
    <row r="227" spans="2:10" ht="18" outlineLevel="1" x14ac:dyDescent="0.25">
      <c r="B227" s="1970" t="s">
        <v>749</v>
      </c>
      <c r="C227" s="1971" t="s">
        <v>750</v>
      </c>
      <c r="D227" s="1971">
        <f>A_MC+3*A_MH+A_MO+A_MH</f>
        <v>32.04186</v>
      </c>
      <c r="E227" s="1973"/>
      <c r="F227" s="1973"/>
      <c r="G227" s="1971" t="s">
        <v>360</v>
      </c>
      <c r="H227" s="1974"/>
      <c r="I227" s="1974"/>
      <c r="J227" s="1971"/>
    </row>
    <row r="228" spans="2:10" ht="18" outlineLevel="1" x14ac:dyDescent="0.25">
      <c r="B228" s="1970" t="s">
        <v>1263</v>
      </c>
      <c r="C228" s="1971" t="s">
        <v>737</v>
      </c>
      <c r="D228" s="1971">
        <f>A_MC+2*A_MO</f>
        <v>44.009500000000003</v>
      </c>
      <c r="E228" s="1973"/>
      <c r="F228" s="1973"/>
      <c r="G228" s="1971" t="s">
        <v>360</v>
      </c>
      <c r="H228" s="1974"/>
      <c r="I228" s="1974"/>
      <c r="J228" s="1971"/>
    </row>
    <row r="229" spans="2:10" ht="18" outlineLevel="1" x14ac:dyDescent="0.25">
      <c r="B229" s="1970" t="s">
        <v>1021</v>
      </c>
      <c r="C229" s="1971" t="s">
        <v>1022</v>
      </c>
      <c r="D229" s="1971">
        <f>A_MC + 3*A_MO</f>
        <v>60.008899999999997</v>
      </c>
      <c r="E229" s="1973"/>
      <c r="F229" s="1973"/>
      <c r="G229" s="1971" t="s">
        <v>360</v>
      </c>
      <c r="H229" s="1974"/>
      <c r="I229" s="1974"/>
      <c r="J229" s="1971"/>
    </row>
    <row r="230" spans="2:10" ht="18" outlineLevel="1" x14ac:dyDescent="0.25">
      <c r="B230" s="1970" t="s">
        <v>1260</v>
      </c>
      <c r="C230" s="1971" t="s">
        <v>1261</v>
      </c>
      <c r="D230" s="1971">
        <f>2*A_MFe+3*A_MO</f>
        <v>159.68819999999999</v>
      </c>
      <c r="E230" s="1973"/>
      <c r="F230" s="1973"/>
      <c r="G230" s="1971" t="s">
        <v>360</v>
      </c>
      <c r="H230" s="1974"/>
      <c r="I230" s="1974"/>
      <c r="J230" s="1971"/>
    </row>
    <row r="231" spans="2:10" ht="18" outlineLevel="1" x14ac:dyDescent="0.25">
      <c r="B231" s="1970" t="s">
        <v>4112</v>
      </c>
      <c r="C231" s="1971" t="s">
        <v>4113</v>
      </c>
      <c r="D231" s="1971">
        <f>2*A_MFe+3*A_MS+12*A_MO</f>
        <v>399.87779999999998</v>
      </c>
      <c r="E231" s="1973"/>
      <c r="F231" s="1973"/>
      <c r="G231" s="1971" t="s">
        <v>360</v>
      </c>
      <c r="H231" s="1974"/>
      <c r="I231" s="1974"/>
      <c r="J231" s="1971"/>
    </row>
    <row r="232" spans="2:10" ht="18" outlineLevel="1" x14ac:dyDescent="0.25">
      <c r="B232" s="1970" t="s">
        <v>2448</v>
      </c>
      <c r="C232" s="1971" t="s">
        <v>2449</v>
      </c>
      <c r="D232" s="1971">
        <f>A_MFe+2*A_MCl</f>
        <v>126.751</v>
      </c>
      <c r="E232" s="1973"/>
      <c r="F232" s="1973"/>
      <c r="G232" s="1971" t="s">
        <v>360</v>
      </c>
      <c r="H232" s="1974"/>
      <c r="I232" s="1974"/>
      <c r="J232" s="1971"/>
    </row>
    <row r="233" spans="2:10" ht="18" outlineLevel="1" x14ac:dyDescent="0.25">
      <c r="B233" s="1970" t="s">
        <v>2446</v>
      </c>
      <c r="C233" s="1971" t="s">
        <v>2447</v>
      </c>
      <c r="D233" s="1971">
        <f>A_MFe+3*A_MCl</f>
        <v>162.20400000000001</v>
      </c>
      <c r="E233" s="1973"/>
      <c r="F233" s="1973"/>
      <c r="G233" s="1971" t="s">
        <v>360</v>
      </c>
      <c r="H233" s="1974"/>
      <c r="I233" s="1974"/>
      <c r="J233" s="1971"/>
    </row>
    <row r="234" spans="2:10" ht="18" outlineLevel="1" x14ac:dyDescent="0.25">
      <c r="B234" s="1970" t="s">
        <v>3280</v>
      </c>
      <c r="C234" s="1971" t="s">
        <v>3089</v>
      </c>
      <c r="D234" s="1971">
        <f>A_MFe+3*(A_MO+A_MH)</f>
        <v>106.86702</v>
      </c>
      <c r="E234" s="1973"/>
      <c r="F234" s="1973"/>
      <c r="G234" s="1971" t="s">
        <v>360</v>
      </c>
      <c r="H234" s="1974"/>
      <c r="I234" s="1974"/>
      <c r="J234" s="1971"/>
    </row>
    <row r="235" spans="2:10" ht="18" outlineLevel="1" x14ac:dyDescent="0.25">
      <c r="B235" s="1970" t="s">
        <v>1121</v>
      </c>
      <c r="C235" s="1971" t="s">
        <v>1117</v>
      </c>
      <c r="D235" s="1971">
        <f>A_MFe+A_MS</f>
        <v>87.91</v>
      </c>
      <c r="E235" s="1973"/>
      <c r="F235" s="1973"/>
      <c r="G235" s="1971" t="s">
        <v>360</v>
      </c>
      <c r="H235" s="1974"/>
      <c r="I235" s="1974"/>
      <c r="J235" s="1971"/>
    </row>
    <row r="236" spans="2:10" ht="18" outlineLevel="1" x14ac:dyDescent="0.25">
      <c r="B236" s="1970" t="s">
        <v>2450</v>
      </c>
      <c r="C236" s="1971" t="s">
        <v>2451</v>
      </c>
      <c r="D236" s="1971">
        <f>A_MFe+M_MSO4</f>
        <v>151.9076</v>
      </c>
      <c r="E236" s="1973"/>
      <c r="F236" s="1973"/>
      <c r="G236" s="1971" t="s">
        <v>360</v>
      </c>
      <c r="H236" s="1974"/>
      <c r="I236" s="1974"/>
      <c r="J236" s="1971"/>
    </row>
    <row r="237" spans="2:10" ht="18" outlineLevel="1" x14ac:dyDescent="0.25">
      <c r="B237" s="1970" t="s">
        <v>1025</v>
      </c>
      <c r="C237" s="1971" t="s">
        <v>1026</v>
      </c>
      <c r="D237" s="1971">
        <f>2*A_MH+A_MC + 3*A_MO</f>
        <v>62.024779999999993</v>
      </c>
      <c r="E237" s="1973"/>
      <c r="F237" s="1973"/>
      <c r="G237" s="1971" t="s">
        <v>360</v>
      </c>
      <c r="H237" s="1974"/>
      <c r="I237" s="1974"/>
      <c r="J237" s="1971"/>
    </row>
    <row r="238" spans="2:10" ht="18" outlineLevel="1" x14ac:dyDescent="0.25">
      <c r="B238" s="1970" t="s">
        <v>1118</v>
      </c>
      <c r="C238" s="1971" t="s">
        <v>1119</v>
      </c>
      <c r="D238" s="1971">
        <f>2*A_MH+A_MO</f>
        <v>18.015280000000001</v>
      </c>
      <c r="E238" s="1973"/>
      <c r="F238" s="1973"/>
      <c r="G238" s="1971" t="s">
        <v>360</v>
      </c>
      <c r="H238" s="1974"/>
      <c r="I238" s="1974"/>
      <c r="J238" s="1971"/>
    </row>
    <row r="239" spans="2:10" ht="18" outlineLevel="1" x14ac:dyDescent="0.25">
      <c r="B239" s="1970" t="s">
        <v>4114</v>
      </c>
      <c r="C239" s="1971" t="s">
        <v>4115</v>
      </c>
      <c r="D239" s="1971">
        <f>3*A_MH + A_MP+4*A_MO</f>
        <v>97.995182199999988</v>
      </c>
      <c r="E239" s="1973"/>
      <c r="F239" s="1973"/>
      <c r="G239" s="1971" t="s">
        <v>360</v>
      </c>
      <c r="H239" s="1974"/>
      <c r="I239" s="1974"/>
      <c r="J239" s="1971"/>
    </row>
    <row r="240" spans="2:10" ht="18" outlineLevel="1" x14ac:dyDescent="0.25">
      <c r="B240" s="1970" t="s">
        <v>1112</v>
      </c>
      <c r="C240" s="1971" t="s">
        <v>1029</v>
      </c>
      <c r="D240" s="1971">
        <f>2*A_MH + A_MS</f>
        <v>34.080880000000001</v>
      </c>
      <c r="E240" s="1973"/>
      <c r="F240" s="1973"/>
      <c r="G240" s="1971" t="s">
        <v>360</v>
      </c>
      <c r="H240" s="1974"/>
      <c r="I240" s="1974"/>
      <c r="J240" s="1971"/>
    </row>
    <row r="241" spans="2:10" ht="18" outlineLevel="1" x14ac:dyDescent="0.25">
      <c r="B241" s="1970" t="s">
        <v>1068</v>
      </c>
      <c r="C241" s="1971" t="s">
        <v>1027</v>
      </c>
      <c r="D241" s="1971">
        <f>2*A_MH + A_MS+4*A_MO</f>
        <v>98.078479999999999</v>
      </c>
      <c r="E241" s="1973"/>
      <c r="F241" s="1973"/>
      <c r="G241" s="1971" t="s">
        <v>360</v>
      </c>
      <c r="H241" s="1974"/>
      <c r="I241" s="1974"/>
      <c r="J241" s="1971"/>
    </row>
    <row r="242" spans="2:10" ht="18" outlineLevel="1" x14ac:dyDescent="0.25">
      <c r="B242" s="1970" t="s">
        <v>1296</v>
      </c>
      <c r="C242" s="1971" t="s">
        <v>1297</v>
      </c>
      <c r="D242" s="1971">
        <f>5*A_MCa+A_MP*3+4*3*A_MO+A_MO+A_MH</f>
        <v>502.3114266</v>
      </c>
      <c r="E242" s="1973"/>
      <c r="F242" s="1973"/>
      <c r="G242" s="1971" t="s">
        <v>360</v>
      </c>
      <c r="H242" s="1974"/>
      <c r="I242" s="1974"/>
      <c r="J242" s="1971" t="s">
        <v>4116</v>
      </c>
    </row>
    <row r="243" spans="2:10" ht="18" outlineLevel="1" x14ac:dyDescent="0.25">
      <c r="B243" s="1970" t="s">
        <v>1028</v>
      </c>
      <c r="C243" s="1971" t="s">
        <v>1108</v>
      </c>
      <c r="D243" s="1971">
        <f>A_MH + A_MCl</f>
        <v>36.460940000000001</v>
      </c>
      <c r="E243" s="1973"/>
      <c r="F243" s="1973"/>
      <c r="G243" s="1971" t="s">
        <v>360</v>
      </c>
      <c r="H243" s="1974"/>
      <c r="I243" s="1974"/>
      <c r="J243" s="1971"/>
    </row>
    <row r="244" spans="2:10" ht="18" outlineLevel="1" x14ac:dyDescent="0.25">
      <c r="B244" s="1970" t="s">
        <v>1023</v>
      </c>
      <c r="C244" s="1971" t="s">
        <v>1024</v>
      </c>
      <c r="D244" s="1971">
        <f>A_MH + A_MC + 3*A_MO</f>
        <v>61.016839999999995</v>
      </c>
      <c r="E244" s="1973"/>
      <c r="F244" s="1973"/>
      <c r="G244" s="1971" t="s">
        <v>360</v>
      </c>
      <c r="H244" s="1974"/>
      <c r="I244" s="1974"/>
      <c r="J244" s="1971"/>
    </row>
    <row r="245" spans="2:10" ht="18" outlineLevel="1" x14ac:dyDescent="0.25">
      <c r="B245" s="1970" t="s">
        <v>1294</v>
      </c>
      <c r="C245" s="1971" t="s">
        <v>1295</v>
      </c>
      <c r="D245" s="1971">
        <f>2*A_MCa+A_MP+4*A_MO+2*(A_MO+A_MH)</f>
        <v>209.14204219999999</v>
      </c>
      <c r="E245" s="1973"/>
      <c r="F245" s="1973"/>
      <c r="G245" s="1971" t="s">
        <v>360</v>
      </c>
      <c r="H245" s="1974"/>
      <c r="I245" s="1974"/>
      <c r="J245" s="1971" t="s">
        <v>4117</v>
      </c>
    </row>
    <row r="246" spans="2:10" ht="18" outlineLevel="1" x14ac:dyDescent="0.25">
      <c r="B246" s="1970" t="s">
        <v>4118</v>
      </c>
      <c r="C246" s="1971" t="s">
        <v>4119</v>
      </c>
      <c r="D246" s="1971">
        <f>A_MH + A_MN+3*A_MO</f>
        <v>63.012839999999997</v>
      </c>
      <c r="E246" s="1973"/>
      <c r="F246" s="1973"/>
      <c r="G246" s="1971" t="s">
        <v>360</v>
      </c>
      <c r="H246" s="1974"/>
      <c r="I246" s="1974"/>
      <c r="J246" s="1971"/>
    </row>
    <row r="247" spans="2:10" ht="18" outlineLevel="1" x14ac:dyDescent="0.25">
      <c r="B247" s="1970" t="s">
        <v>1067</v>
      </c>
      <c r="C247" s="1971" t="s">
        <v>1109</v>
      </c>
      <c r="D247" s="1971">
        <f>A_MH + A_MS+4*A_MO</f>
        <v>97.070539999999994</v>
      </c>
      <c r="E247" s="1973"/>
      <c r="F247" s="1973"/>
      <c r="G247" s="1971" t="s">
        <v>360</v>
      </c>
      <c r="H247" s="1974"/>
      <c r="I247" s="1974"/>
      <c r="J247" s="1971"/>
    </row>
    <row r="248" spans="2:10" ht="18" outlineLevel="1" x14ac:dyDescent="0.25">
      <c r="B248" s="1970" t="s">
        <v>1305</v>
      </c>
      <c r="C248" s="1971" t="s">
        <v>1337</v>
      </c>
      <c r="D248" s="1971">
        <f>A_MMg+A_MC+3*A_MO</f>
        <v>84.31389999999999</v>
      </c>
      <c r="E248" s="1973"/>
      <c r="F248" s="1973"/>
      <c r="G248" s="1971" t="s">
        <v>360</v>
      </c>
      <c r="H248" s="1974"/>
      <c r="I248" s="1974"/>
      <c r="J248" s="1971"/>
    </row>
    <row r="249" spans="2:10" ht="18" outlineLevel="1" x14ac:dyDescent="0.25">
      <c r="B249" s="1970" t="s">
        <v>1309</v>
      </c>
      <c r="C249" s="1971" t="s">
        <v>1341</v>
      </c>
      <c r="D249" s="1971">
        <f>A_MMg+2*A_MH+A_MP+4*A_MO</f>
        <v>121.2922422</v>
      </c>
      <c r="E249" s="1973"/>
      <c r="F249" s="1973"/>
      <c r="G249" s="1971" t="s">
        <v>360</v>
      </c>
      <c r="H249" s="1974"/>
      <c r="I249" s="1974"/>
      <c r="J249" s="1971"/>
    </row>
    <row r="250" spans="2:10" ht="18" outlineLevel="1" x14ac:dyDescent="0.25">
      <c r="B250" s="1970" t="s">
        <v>1306</v>
      </c>
      <c r="C250" s="1971" t="s">
        <v>1338</v>
      </c>
      <c r="D250" s="1971">
        <f>A_MMg+A_MH+A_MC+3*A_MO</f>
        <v>85.321839999999995</v>
      </c>
      <c r="E250" s="1973"/>
      <c r="F250" s="1973"/>
      <c r="G250" s="1971" t="s">
        <v>360</v>
      </c>
      <c r="H250" s="1974"/>
      <c r="I250" s="1974"/>
      <c r="J250" s="1971"/>
    </row>
    <row r="251" spans="2:10" ht="18" outlineLevel="1" x14ac:dyDescent="0.25">
      <c r="B251" s="1970" t="s">
        <v>1307</v>
      </c>
      <c r="C251" s="1971" t="s">
        <v>1339</v>
      </c>
      <c r="D251" s="1971">
        <f>A_MMg+A_MH+A_MP+4*A_MO</f>
        <v>120.2843022</v>
      </c>
      <c r="E251" s="1973"/>
      <c r="F251" s="1973"/>
      <c r="G251" s="1971" t="s">
        <v>360</v>
      </c>
      <c r="H251" s="1974"/>
      <c r="I251" s="1974"/>
      <c r="J251" s="1971"/>
    </row>
    <row r="252" spans="2:10" ht="18" outlineLevel="1" x14ac:dyDescent="0.25">
      <c r="B252" s="1970" t="s">
        <v>1304</v>
      </c>
      <c r="C252" s="1971" t="s">
        <v>1336</v>
      </c>
      <c r="D252" s="1971">
        <f>A_MMg+A_MO+A_MH</f>
        <v>41.312339999999999</v>
      </c>
      <c r="E252" s="1973"/>
      <c r="F252" s="1973"/>
      <c r="G252" s="1971" t="s">
        <v>360</v>
      </c>
      <c r="H252" s="1974"/>
      <c r="I252" s="1974"/>
      <c r="J252" s="1971"/>
    </row>
    <row r="253" spans="2:10" ht="18" outlineLevel="1" x14ac:dyDescent="0.25">
      <c r="B253" s="1970" t="s">
        <v>2452</v>
      </c>
      <c r="C253" s="1971" t="s">
        <v>2453</v>
      </c>
      <c r="D253" s="1971">
        <f>A_MMg+2*(A_MO+A_MH)</f>
        <v>58.319679999999998</v>
      </c>
      <c r="E253" s="1973"/>
      <c r="F253" s="1973"/>
      <c r="G253" s="1971" t="s">
        <v>360</v>
      </c>
      <c r="H253" s="1974"/>
      <c r="I253" s="1974"/>
      <c r="J253" s="1971"/>
    </row>
    <row r="254" spans="2:10" ht="18" outlineLevel="1" x14ac:dyDescent="0.25">
      <c r="B254" s="1970" t="s">
        <v>1308</v>
      </c>
      <c r="C254" s="1971" t="s">
        <v>1340</v>
      </c>
      <c r="D254" s="1971">
        <f>A_MMg+A_MP+4*A_MO</f>
        <v>119.27636219999999</v>
      </c>
      <c r="E254" s="1973"/>
      <c r="F254" s="1973"/>
      <c r="G254" s="1971" t="s">
        <v>360</v>
      </c>
      <c r="H254" s="1974"/>
      <c r="I254" s="1974"/>
      <c r="J254" s="1971"/>
    </row>
    <row r="255" spans="2:10" ht="18" outlineLevel="1" x14ac:dyDescent="0.25">
      <c r="B255" s="1970" t="s">
        <v>1292</v>
      </c>
      <c r="C255" s="1971" t="s">
        <v>1293</v>
      </c>
      <c r="D255" s="1971">
        <f>A_MMg+A_MK+A_MP+4*A_MO+6*2*A_MH+6*A_MO</f>
        <v>266.46634219999999</v>
      </c>
      <c r="E255" s="1973"/>
      <c r="F255" s="1973"/>
      <c r="G255" s="1971" t="s">
        <v>360</v>
      </c>
      <c r="H255" s="1974"/>
      <c r="I255" s="1974"/>
      <c r="J255" s="1971"/>
    </row>
    <row r="256" spans="2:10" ht="18" outlineLevel="1" x14ac:dyDescent="0.25">
      <c r="B256" s="1970" t="s">
        <v>2043</v>
      </c>
      <c r="C256" s="1971" t="s">
        <v>2044</v>
      </c>
      <c r="D256" s="1971">
        <f>4*A_MH+A_MC+A_MS</f>
        <v>48.107459999999996</v>
      </c>
      <c r="E256" s="1973"/>
      <c r="F256" s="1973"/>
      <c r="G256" s="1971" t="s">
        <v>360</v>
      </c>
      <c r="H256" s="1974"/>
      <c r="I256" s="1974"/>
      <c r="J256" s="1972" t="s">
        <v>4120</v>
      </c>
    </row>
    <row r="257" spans="2:10" ht="18" outlineLevel="1" x14ac:dyDescent="0.25">
      <c r="B257" s="1970" t="s">
        <v>449</v>
      </c>
      <c r="C257" s="1971" t="s">
        <v>450</v>
      </c>
      <c r="D257" s="1971">
        <f>2*A_MN</f>
        <v>28.013400000000001</v>
      </c>
      <c r="E257" s="1973"/>
      <c r="F257" s="1973"/>
      <c r="G257" s="1971" t="s">
        <v>360</v>
      </c>
      <c r="H257" s="1974"/>
      <c r="I257" s="1974"/>
      <c r="J257" s="1971"/>
    </row>
    <row r="258" spans="2:10" ht="18" outlineLevel="1" x14ac:dyDescent="0.25">
      <c r="B258" s="2256" t="s">
        <v>4121</v>
      </c>
      <c r="C258" s="2255" t="s">
        <v>4122</v>
      </c>
      <c r="D258" s="2255">
        <f>2*A_MN + A_MO</f>
        <v>44.012799999999999</v>
      </c>
      <c r="E258" s="2257"/>
      <c r="F258" s="2257"/>
      <c r="G258" s="2255" t="s">
        <v>360</v>
      </c>
      <c r="H258" s="1974"/>
      <c r="I258" s="1974"/>
      <c r="J258" s="1971"/>
    </row>
    <row r="259" spans="2:10" ht="18" outlineLevel="1" x14ac:dyDescent="0.25">
      <c r="B259" s="1970" t="s">
        <v>2454</v>
      </c>
      <c r="C259" s="1971" t="s">
        <v>2455</v>
      </c>
      <c r="D259" s="1971">
        <f>2*A_MNa+A_MC+3*A_MO</f>
        <v>105.988438</v>
      </c>
      <c r="E259" s="1973"/>
      <c r="F259" s="1973"/>
      <c r="G259" s="1971" t="s">
        <v>360</v>
      </c>
      <c r="H259" s="1974"/>
      <c r="I259" s="1974"/>
      <c r="J259" s="1971"/>
    </row>
    <row r="260" spans="2:10" ht="18" outlineLevel="1" x14ac:dyDescent="0.25">
      <c r="B260" s="1970" t="s">
        <v>2039</v>
      </c>
      <c r="C260" s="1971" t="s">
        <v>2040</v>
      </c>
      <c r="D260" s="1971">
        <f>A_MNa+A_MCl</f>
        <v>58.442768999999998</v>
      </c>
      <c r="E260" s="1973"/>
      <c r="F260" s="1973"/>
      <c r="G260" s="1971" t="s">
        <v>360</v>
      </c>
      <c r="H260" s="1974"/>
      <c r="I260" s="1974"/>
      <c r="J260" s="1971"/>
    </row>
    <row r="261" spans="2:10" ht="18" outlineLevel="1" x14ac:dyDescent="0.25">
      <c r="B261" s="1970" t="s">
        <v>2456</v>
      </c>
      <c r="C261" s="1971" t="s">
        <v>2457</v>
      </c>
      <c r="D261" s="1971">
        <f>A_MNa+A_MH+A_MC+3*A_MO</f>
        <v>84.006608999999997</v>
      </c>
      <c r="E261" s="1973"/>
      <c r="F261" s="1973"/>
      <c r="G261" s="1971" t="s">
        <v>360</v>
      </c>
      <c r="H261" s="1974"/>
      <c r="I261" s="1974"/>
      <c r="J261" s="1971"/>
    </row>
    <row r="262" spans="2:10" ht="18" outlineLevel="1" x14ac:dyDescent="0.25">
      <c r="B262" s="1970" t="s">
        <v>1310</v>
      </c>
      <c r="C262" s="1971" t="s">
        <v>1342</v>
      </c>
      <c r="D262" s="1971">
        <f>A_MNa+A_MH+A_MP+4*A_MO</f>
        <v>118.9690712</v>
      </c>
      <c r="E262" s="1973"/>
      <c r="F262" s="1973"/>
      <c r="G262" s="1971" t="s">
        <v>360</v>
      </c>
      <c r="H262" s="1974"/>
      <c r="I262" s="1974"/>
      <c r="J262" s="1971"/>
    </row>
    <row r="263" spans="2:10" ht="18" outlineLevel="1" x14ac:dyDescent="0.25">
      <c r="B263" s="1970" t="s">
        <v>4123</v>
      </c>
      <c r="C263" s="1971" t="s">
        <v>4124</v>
      </c>
      <c r="D263" s="1971">
        <f>A_MK+A_MN+2*A_MO</f>
        <v>85.103800000000007</v>
      </c>
      <c r="E263" s="1973"/>
      <c r="F263" s="1973"/>
      <c r="G263" s="1971" t="s">
        <v>360</v>
      </c>
      <c r="H263" s="1974"/>
      <c r="I263" s="1974"/>
      <c r="J263" s="1971"/>
    </row>
    <row r="264" spans="2:10" ht="18" outlineLevel="1" x14ac:dyDescent="0.25">
      <c r="B264" s="1970" t="s">
        <v>4125</v>
      </c>
      <c r="C264" s="1971" t="s">
        <v>4126</v>
      </c>
      <c r="D264" s="1971">
        <f>A_MK+A_MN+3*A_MO</f>
        <v>101.1032</v>
      </c>
      <c r="E264" s="1973"/>
      <c r="F264" s="1973"/>
      <c r="G264" s="1971" t="s">
        <v>360</v>
      </c>
      <c r="H264" s="1974"/>
      <c r="I264" s="1974"/>
      <c r="J264" s="1971"/>
    </row>
    <row r="265" spans="2:10" ht="18" outlineLevel="1" x14ac:dyDescent="0.25">
      <c r="B265" s="1970" t="s">
        <v>2041</v>
      </c>
      <c r="C265" s="1971" t="s">
        <v>2042</v>
      </c>
      <c r="D265" s="1971">
        <f>A_MNa+A_MH+A_MO</f>
        <v>39.997109000000002</v>
      </c>
      <c r="E265" s="1973"/>
      <c r="F265" s="1973"/>
      <c r="G265" s="1971" t="s">
        <v>360</v>
      </c>
      <c r="H265" s="1974"/>
      <c r="I265" s="1974"/>
      <c r="J265" s="1971"/>
    </row>
    <row r="266" spans="2:10" ht="18" outlineLevel="1" x14ac:dyDescent="0.25">
      <c r="B266" s="1970" t="s">
        <v>746</v>
      </c>
      <c r="C266" s="1971" t="s">
        <v>747</v>
      </c>
      <c r="D266" s="1971">
        <f>A_MN+3*A_MH</f>
        <v>17.030519999999999</v>
      </c>
      <c r="E266" s="1973"/>
      <c r="F266" s="1973"/>
      <c r="G266" s="1971" t="s">
        <v>360</v>
      </c>
      <c r="H266" s="1974"/>
      <c r="I266" s="1974"/>
      <c r="J266" s="1971"/>
    </row>
    <row r="267" spans="2:10" ht="18" outlineLevel="1" x14ac:dyDescent="0.25">
      <c r="B267" s="1970" t="s">
        <v>1018</v>
      </c>
      <c r="C267" s="1971" t="s">
        <v>3512</v>
      </c>
      <c r="D267" s="1971">
        <f>A_MN+4*A_MH</f>
        <v>18.038460000000001</v>
      </c>
      <c r="E267" s="1973"/>
      <c r="F267" s="1973"/>
      <c r="G267" s="1971" t="s">
        <v>360</v>
      </c>
      <c r="H267" s="1974"/>
      <c r="I267" s="1974"/>
      <c r="J267" s="1971"/>
    </row>
    <row r="268" spans="2:10" ht="18" outlineLevel="1" x14ac:dyDescent="0.25">
      <c r="B268" s="1970" t="s">
        <v>4127</v>
      </c>
      <c r="C268" s="1971" t="s">
        <v>4128</v>
      </c>
      <c r="D268" s="1971">
        <f>M_MNH4+A_MH+A_MC+3*A_MO</f>
        <v>79.055300000000003</v>
      </c>
      <c r="E268" s="1973"/>
      <c r="F268" s="1973"/>
      <c r="G268" s="1971" t="s">
        <v>360</v>
      </c>
      <c r="H268" s="1974"/>
      <c r="I268" s="1974"/>
      <c r="J268" s="1971"/>
    </row>
    <row r="269" spans="2:10" ht="18" outlineLevel="1" x14ac:dyDescent="0.25">
      <c r="B269" s="2256" t="s">
        <v>4129</v>
      </c>
      <c r="C269" s="2255" t="s">
        <v>4130</v>
      </c>
      <c r="D269" s="2255">
        <f>A_MN + A_MO</f>
        <v>30.0061</v>
      </c>
      <c r="E269" s="2257"/>
      <c r="F269" s="2257"/>
      <c r="G269" s="2255" t="s">
        <v>360</v>
      </c>
      <c r="H269" s="1974"/>
      <c r="I269" s="1974"/>
      <c r="J269" s="1971"/>
    </row>
    <row r="270" spans="2:10" ht="18" outlineLevel="1" x14ac:dyDescent="0.25">
      <c r="B270" s="1970" t="s">
        <v>1019</v>
      </c>
      <c r="C270" s="1971" t="s">
        <v>3513</v>
      </c>
      <c r="D270" s="1971">
        <f>A_MN + 2*A_MO</f>
        <v>46.005499999999998</v>
      </c>
      <c r="E270" s="1973"/>
      <c r="F270" s="1973"/>
      <c r="G270" s="1971" t="s">
        <v>360</v>
      </c>
      <c r="H270" s="1974"/>
      <c r="I270" s="1974"/>
      <c r="J270" s="1971"/>
    </row>
    <row r="271" spans="2:10" ht="18" outlineLevel="1" x14ac:dyDescent="0.25">
      <c r="B271" s="1970" t="s">
        <v>1020</v>
      </c>
      <c r="C271" s="1971" t="s">
        <v>3514</v>
      </c>
      <c r="D271" s="1971">
        <f>A_MN + 3*A_MO</f>
        <v>62.004899999999999</v>
      </c>
      <c r="E271" s="1973"/>
      <c r="F271" s="1973"/>
      <c r="G271" s="1971" t="s">
        <v>360</v>
      </c>
      <c r="H271" s="1974"/>
      <c r="I271" s="1974"/>
      <c r="J271" s="1971"/>
    </row>
    <row r="272" spans="2:10" ht="18" outlineLevel="1" x14ac:dyDescent="0.25">
      <c r="B272" s="1970" t="s">
        <v>448</v>
      </c>
      <c r="C272" s="1971" t="s">
        <v>447</v>
      </c>
      <c r="D272" s="1971">
        <f>2*A_MO</f>
        <v>31.998799999999999</v>
      </c>
      <c r="E272" s="1973"/>
      <c r="F272" s="1973"/>
      <c r="G272" s="1971" t="s">
        <v>360</v>
      </c>
      <c r="H272" s="1974"/>
      <c r="I272" s="1974"/>
      <c r="J272" s="1971"/>
    </row>
    <row r="273" spans="2:10" ht="18" outlineLevel="1" x14ac:dyDescent="0.25">
      <c r="B273" s="1970" t="s">
        <v>1262</v>
      </c>
      <c r="C273" s="1971" t="s">
        <v>748</v>
      </c>
      <c r="D273" s="1971">
        <f>A_MP+4*A_MO</f>
        <v>94.971362200000002</v>
      </c>
      <c r="E273" s="1973"/>
      <c r="F273" s="1973"/>
      <c r="G273" s="1971" t="s">
        <v>360</v>
      </c>
      <c r="H273" s="1974"/>
      <c r="I273" s="1974"/>
      <c r="J273" s="1971"/>
    </row>
    <row r="274" spans="2:10" ht="18" outlineLevel="1" x14ac:dyDescent="0.25">
      <c r="B274" s="1970" t="s">
        <v>1032</v>
      </c>
      <c r="C274" s="1971" t="s">
        <v>1033</v>
      </c>
      <c r="D274" s="1971">
        <f>A_MSi + 2*A_MO</f>
        <v>60.084299999999999</v>
      </c>
      <c r="E274" s="1973"/>
      <c r="F274" s="1973"/>
      <c r="G274" s="1971" t="s">
        <v>360</v>
      </c>
      <c r="H274" s="1974"/>
      <c r="I274" s="1974"/>
      <c r="J274" s="1971"/>
    </row>
    <row r="275" spans="2:10" ht="18" outlineLevel="1" x14ac:dyDescent="0.25">
      <c r="B275" s="1970" t="s">
        <v>1066</v>
      </c>
      <c r="C275" s="1971" t="s">
        <v>1111</v>
      </c>
      <c r="D275" s="1971">
        <f>A_MS+4*A_MO</f>
        <v>96.062600000000003</v>
      </c>
      <c r="E275" s="1973"/>
      <c r="F275" s="1973"/>
      <c r="G275" s="1971" t="s">
        <v>360</v>
      </c>
      <c r="H275" s="1974"/>
      <c r="I275" s="1974"/>
      <c r="J275" s="1971"/>
    </row>
    <row r="276" spans="2:10" ht="18" outlineLevel="1" x14ac:dyDescent="0.25">
      <c r="B276" s="1970" t="s">
        <v>1265</v>
      </c>
      <c r="C276" s="1971" t="s">
        <v>1031</v>
      </c>
      <c r="D276" s="1971">
        <f>A_MMg+A_MN+4*A_MH+A_MP+4*A_MO+6*(M_MH2O)</f>
        <v>245.40650220000001</v>
      </c>
      <c r="E276" s="1973"/>
      <c r="F276" s="1973"/>
      <c r="G276" s="1971" t="s">
        <v>360</v>
      </c>
      <c r="H276" s="1974"/>
      <c r="I276" s="1974"/>
      <c r="J276" s="1971" t="s">
        <v>4131</v>
      </c>
    </row>
    <row r="277" spans="2:10" ht="18" outlineLevel="1" x14ac:dyDescent="0.25">
      <c r="B277" s="1970" t="s">
        <v>1120</v>
      </c>
      <c r="C277" s="1971" t="s">
        <v>1116</v>
      </c>
      <c r="D277" s="1971">
        <f>3*A_MFe+2*(A_MP+4*A_MO)+8*M_MH2O</f>
        <v>501.59996439999998</v>
      </c>
      <c r="E277" s="1973"/>
      <c r="F277" s="1973"/>
      <c r="G277" s="1971" t="s">
        <v>360</v>
      </c>
      <c r="H277" s="1974"/>
      <c r="I277" s="1974"/>
      <c r="J277" s="1971" t="s">
        <v>4132</v>
      </c>
    </row>
    <row r="279" spans="2:10" ht="15.75" thickBot="1" x14ac:dyDescent="0.3">
      <c r="C279" s="2247" t="s">
        <v>753</v>
      </c>
    </row>
    <row r="280" spans="2:10" ht="15.75" thickBot="1" x14ac:dyDescent="0.3">
      <c r="B280" s="2248" t="s">
        <v>0</v>
      </c>
      <c r="C280" s="2249" t="s">
        <v>1</v>
      </c>
      <c r="D280" s="2250" t="s">
        <v>152</v>
      </c>
      <c r="E280" s="2250" t="s">
        <v>470</v>
      </c>
      <c r="F280" s="2250" t="s">
        <v>471</v>
      </c>
      <c r="G280" s="2250" t="s">
        <v>2</v>
      </c>
      <c r="H280" s="2250" t="s">
        <v>298</v>
      </c>
      <c r="I280" s="2250" t="s">
        <v>116</v>
      </c>
      <c r="J280" s="2251" t="s">
        <v>117</v>
      </c>
    </row>
    <row r="281" spans="2:10" ht="18" x14ac:dyDescent="0.25">
      <c r="B281" s="1970" t="s">
        <v>1266</v>
      </c>
      <c r="C281" s="1971" t="s">
        <v>1069</v>
      </c>
      <c r="D281" s="1971">
        <f>2*A_MN</f>
        <v>28.013400000000001</v>
      </c>
      <c r="E281" s="1973"/>
      <c r="F281" s="1973"/>
      <c r="G281" s="1971" t="s">
        <v>2045</v>
      </c>
      <c r="H281" s="1974"/>
      <c r="I281" s="1974"/>
      <c r="J281" s="1971"/>
    </row>
    <row r="282" spans="2:10" ht="18" x14ac:dyDescent="0.25">
      <c r="B282" s="1970" t="s">
        <v>1267</v>
      </c>
      <c r="C282" s="1971" t="s">
        <v>1113</v>
      </c>
      <c r="D282" s="1971">
        <f>A_MN</f>
        <v>14.0067</v>
      </c>
      <c r="E282" s="1973"/>
      <c r="F282" s="1973"/>
      <c r="G282" s="1971" t="s">
        <v>2045</v>
      </c>
      <c r="H282" s="1974"/>
      <c r="I282" s="1974"/>
      <c r="J282" s="1971"/>
    </row>
    <row r="283" spans="2:10" ht="18" x14ac:dyDescent="0.25">
      <c r="B283" s="1970" t="s">
        <v>1268</v>
      </c>
      <c r="C283" s="1971" t="s">
        <v>1070</v>
      </c>
      <c r="D283" s="1971">
        <f>A_MN</f>
        <v>14.0067</v>
      </c>
      <c r="E283" s="1973"/>
      <c r="F283" s="1973"/>
      <c r="G283" s="1971" t="s">
        <v>2045</v>
      </c>
      <c r="H283" s="1974"/>
      <c r="I283" s="1974"/>
      <c r="J283" s="1971"/>
    </row>
    <row r="284" spans="2:10" ht="18" x14ac:dyDescent="0.25">
      <c r="B284" s="1970" t="s">
        <v>1269</v>
      </c>
      <c r="C284" s="1971" t="s">
        <v>1071</v>
      </c>
      <c r="D284" s="1971">
        <f>2*A_MN</f>
        <v>28.013400000000001</v>
      </c>
      <c r="E284" s="1973"/>
      <c r="F284" s="1973"/>
      <c r="G284" s="1971" t="s">
        <v>2045</v>
      </c>
      <c r="H284" s="1974"/>
      <c r="I284" s="1974"/>
      <c r="J284" s="1971"/>
    </row>
    <row r="285" spans="2:10" ht="18" x14ac:dyDescent="0.25">
      <c r="B285" s="1970" t="s">
        <v>1270</v>
      </c>
      <c r="C285" s="1971" t="s">
        <v>1072</v>
      </c>
      <c r="D285" s="1971">
        <v>12.0107</v>
      </c>
      <c r="E285" s="1973"/>
      <c r="F285" s="1973"/>
      <c r="G285" s="1971" t="s">
        <v>360</v>
      </c>
      <c r="H285" s="1974"/>
      <c r="I285" s="1974"/>
      <c r="J285" s="1971" t="s">
        <v>1271</v>
      </c>
    </row>
    <row r="286" spans="2:10" ht="18" x14ac:dyDescent="0.25">
      <c r="B286" s="1970" t="s">
        <v>1272</v>
      </c>
      <c r="C286" s="1971" t="s">
        <v>1073</v>
      </c>
      <c r="D286" s="1971">
        <f>2*A_MO</f>
        <v>31.998799999999999</v>
      </c>
      <c r="E286" s="1973"/>
      <c r="F286" s="1973"/>
      <c r="G286" s="1971" t="s">
        <v>360</v>
      </c>
      <c r="H286" s="1974"/>
      <c r="I286" s="1974"/>
      <c r="J286" s="1971"/>
    </row>
    <row r="287" spans="2:10" ht="18" x14ac:dyDescent="0.25">
      <c r="B287" s="1970" t="s">
        <v>754</v>
      </c>
      <c r="C287" s="1971" t="s">
        <v>1074</v>
      </c>
      <c r="D287" s="1971">
        <v>63.997599999999998</v>
      </c>
      <c r="E287" s="1973"/>
      <c r="F287" s="1973"/>
      <c r="G287" s="1971" t="s">
        <v>2046</v>
      </c>
      <c r="H287" s="1974"/>
      <c r="I287" s="1974"/>
      <c r="J287" s="1971"/>
    </row>
    <row r="288" spans="2:10" ht="18" x14ac:dyDescent="0.25">
      <c r="B288" s="1970" t="s">
        <v>755</v>
      </c>
      <c r="C288" s="1971" t="s">
        <v>1075</v>
      </c>
      <c r="D288" s="1971">
        <f>2*7.9997</f>
        <v>15.9994</v>
      </c>
      <c r="E288" s="1973"/>
      <c r="F288" s="1973"/>
      <c r="G288" s="1971" t="s">
        <v>2046</v>
      </c>
      <c r="H288" s="1974"/>
      <c r="I288" s="1974"/>
      <c r="J288" s="1971"/>
    </row>
    <row r="289" spans="2:10" ht="18" x14ac:dyDescent="0.25">
      <c r="B289" s="1970" t="s">
        <v>1151</v>
      </c>
      <c r="C289" s="1971" t="s">
        <v>1152</v>
      </c>
      <c r="D289" s="1971">
        <f>A_MS</f>
        <v>32.064999999999998</v>
      </c>
      <c r="E289" s="1973"/>
      <c r="F289" s="1973"/>
      <c r="G289" s="1971" t="s">
        <v>2047</v>
      </c>
      <c r="H289" s="1974"/>
      <c r="I289" s="1974"/>
      <c r="J289" s="1971"/>
    </row>
    <row r="291" spans="2:10" ht="15.75" thickBot="1" x14ac:dyDescent="0.3">
      <c r="C291" s="2247" t="s">
        <v>756</v>
      </c>
    </row>
    <row r="292" spans="2:10" x14ac:dyDescent="0.25">
      <c r="B292" s="2258" t="s">
        <v>0</v>
      </c>
      <c r="C292" s="2259" t="s">
        <v>1</v>
      </c>
      <c r="D292" s="2260" t="s">
        <v>152</v>
      </c>
      <c r="E292" s="2260" t="s">
        <v>470</v>
      </c>
      <c r="F292" s="2260" t="s">
        <v>471</v>
      </c>
      <c r="G292" s="2260" t="s">
        <v>2</v>
      </c>
      <c r="H292" s="2260" t="s">
        <v>298</v>
      </c>
      <c r="I292" s="2260" t="s">
        <v>116</v>
      </c>
      <c r="J292" s="2261" t="s">
        <v>117</v>
      </c>
    </row>
    <row r="293" spans="2:10" ht="18" x14ac:dyDescent="0.35">
      <c r="B293" s="1973" t="s">
        <v>917</v>
      </c>
      <c r="C293" s="1973" t="s">
        <v>3092</v>
      </c>
      <c r="D293" s="1973">
        <f>10^-13.997</f>
        <v>1.0069316688518014E-14</v>
      </c>
      <c r="E293" s="1973"/>
      <c r="F293" s="1973"/>
      <c r="G293" s="1973"/>
      <c r="H293" s="1973"/>
      <c r="I293" s="1973"/>
      <c r="J293" s="1973" t="s">
        <v>3093</v>
      </c>
    </row>
    <row r="294" spans="2:10" ht="18" x14ac:dyDescent="0.35">
      <c r="B294" s="1973" t="s">
        <v>3283</v>
      </c>
      <c r="C294" s="1973" t="s">
        <v>3094</v>
      </c>
      <c r="D294" s="1973">
        <f>10^-9.244</f>
        <v>5.7016427228074759E-10</v>
      </c>
      <c r="E294" s="1973"/>
      <c r="F294" s="1973"/>
      <c r="G294" s="1973"/>
      <c r="H294" s="1973"/>
      <c r="I294" s="1973"/>
      <c r="J294" s="1973" t="s">
        <v>3095</v>
      </c>
    </row>
    <row r="295" spans="2:10" ht="18" x14ac:dyDescent="0.35">
      <c r="B295" s="1973" t="s">
        <v>3284</v>
      </c>
      <c r="C295" s="1973" t="s">
        <v>3096</v>
      </c>
      <c r="D295" s="1973">
        <f>10^-3.35</f>
        <v>4.4668359215096267E-4</v>
      </c>
      <c r="E295" s="1973"/>
      <c r="F295" s="1973"/>
      <c r="G295" s="1973"/>
      <c r="H295" s="1973"/>
      <c r="I295" s="1973"/>
      <c r="J295" s="1973" t="s">
        <v>3097</v>
      </c>
    </row>
    <row r="296" spans="2:10" ht="18" x14ac:dyDescent="0.35">
      <c r="B296" s="1973" t="s">
        <v>918</v>
      </c>
      <c r="C296" s="1973" t="s">
        <v>3098</v>
      </c>
      <c r="D296" s="1973">
        <f>10^-6.352</f>
        <v>4.4463126746910741E-7</v>
      </c>
      <c r="E296" s="1973"/>
      <c r="F296" s="1973"/>
      <c r="G296" s="1973"/>
      <c r="H296" s="1973"/>
      <c r="I296" s="1973"/>
      <c r="J296" s="1973" t="s">
        <v>3099</v>
      </c>
    </row>
    <row r="297" spans="2:10" ht="18" x14ac:dyDescent="0.35">
      <c r="B297" s="1973" t="s">
        <v>919</v>
      </c>
      <c r="C297" s="1973" t="s">
        <v>3100</v>
      </c>
      <c r="D297" s="1973">
        <f>10^-10.329</f>
        <v>4.6881338214526346E-11</v>
      </c>
      <c r="E297" s="1973"/>
      <c r="F297" s="1973"/>
      <c r="G297" s="1973"/>
      <c r="H297" s="1973"/>
      <c r="I297" s="1973"/>
      <c r="J297" s="1973" t="s">
        <v>3101</v>
      </c>
    </row>
    <row r="298" spans="2:10" ht="18" x14ac:dyDescent="0.35">
      <c r="B298" s="1973" t="s">
        <v>920</v>
      </c>
      <c r="C298" s="1973" t="s">
        <v>3102</v>
      </c>
      <c r="D298" s="1973">
        <f>10^-2.148</f>
        <v>7.1121351365332815E-3</v>
      </c>
      <c r="E298" s="1973"/>
      <c r="F298" s="1973"/>
      <c r="G298" s="1973"/>
      <c r="H298" s="1973"/>
      <c r="I298" s="1973"/>
      <c r="J298" s="1973" t="s">
        <v>3103</v>
      </c>
    </row>
    <row r="299" spans="2:10" ht="18" x14ac:dyDescent="0.35">
      <c r="B299" s="1973" t="s">
        <v>921</v>
      </c>
      <c r="C299" s="1973" t="s">
        <v>3104</v>
      </c>
      <c r="D299" s="1973">
        <f>10^-7.198</f>
        <v>6.3386971125692633E-8</v>
      </c>
      <c r="E299" s="1973"/>
      <c r="F299" s="1973"/>
      <c r="G299" s="1973"/>
      <c r="H299" s="1973"/>
      <c r="I299" s="1973"/>
      <c r="J299" s="1973" t="s">
        <v>3105</v>
      </c>
    </row>
    <row r="300" spans="2:10" ht="18" x14ac:dyDescent="0.35">
      <c r="B300" s="1973" t="s">
        <v>922</v>
      </c>
      <c r="C300" s="1973" t="s">
        <v>3106</v>
      </c>
      <c r="D300" s="1973">
        <f>10^-12.375</f>
        <v>4.216965034285812E-13</v>
      </c>
      <c r="E300" s="1973"/>
      <c r="F300" s="1973"/>
      <c r="G300" s="1973"/>
      <c r="H300" s="1973"/>
      <c r="I300" s="1973"/>
      <c r="J300" s="1973" t="s">
        <v>3107</v>
      </c>
    </row>
    <row r="301" spans="2:10" ht="18" x14ac:dyDescent="0.35">
      <c r="B301" s="1973" t="s">
        <v>3285</v>
      </c>
      <c r="C301" s="1973" t="s">
        <v>3108</v>
      </c>
      <c r="D301" s="1973">
        <f>10^-4.757</f>
        <v>1.7498466886246563E-5</v>
      </c>
      <c r="E301" s="1973"/>
      <c r="F301" s="1973"/>
      <c r="G301" s="1973"/>
      <c r="H301" s="1973"/>
      <c r="I301" s="1973"/>
      <c r="J301" s="1973" t="s">
        <v>3109</v>
      </c>
    </row>
    <row r="302" spans="2:10" ht="18" x14ac:dyDescent="0.35">
      <c r="B302" s="1973" t="s">
        <v>4741</v>
      </c>
      <c r="C302" s="1973" t="s">
        <v>4133</v>
      </c>
      <c r="D302" s="1973">
        <v>1.3365955165464412E-5</v>
      </c>
      <c r="E302" s="1973"/>
      <c r="F302" s="1973"/>
      <c r="G302" s="1973"/>
      <c r="H302" s="1973"/>
      <c r="I302" s="1973"/>
      <c r="J302" s="1973" t="s">
        <v>4136</v>
      </c>
    </row>
    <row r="303" spans="2:10" ht="18" x14ac:dyDescent="0.35">
      <c r="B303" s="1973" t="s">
        <v>4134</v>
      </c>
      <c r="C303" s="1973" t="s">
        <v>4135</v>
      </c>
      <c r="D303" s="1973">
        <v>1.5170503674593348E-5</v>
      </c>
      <c r="E303" s="1973"/>
      <c r="F303" s="1973"/>
      <c r="G303" s="1973"/>
      <c r="H303" s="1973"/>
      <c r="I303" s="1973"/>
      <c r="J303" s="1973" t="s">
        <v>4136</v>
      </c>
    </row>
    <row r="304" spans="2:10" ht="18" x14ac:dyDescent="0.35">
      <c r="B304" s="1973" t="s">
        <v>4137</v>
      </c>
      <c r="C304" s="1973" t="s">
        <v>4138</v>
      </c>
      <c r="D304" s="1973">
        <v>1.4354894333536556E-5</v>
      </c>
      <c r="E304" s="1973"/>
      <c r="F304" s="1973"/>
      <c r="G304" s="1973"/>
      <c r="H304" s="1973"/>
      <c r="I304" s="1973"/>
      <c r="J304" s="1973" t="s">
        <v>4136</v>
      </c>
    </row>
    <row r="305" spans="1:10" ht="18" x14ac:dyDescent="0.35">
      <c r="B305" s="1973" t="s">
        <v>1343</v>
      </c>
      <c r="C305" s="1973" t="s">
        <v>3110</v>
      </c>
      <c r="D305" s="1973">
        <f>10^(-7.02)</f>
        <v>9.5499258602143556E-8</v>
      </c>
      <c r="E305" s="1973"/>
      <c r="F305" s="1973"/>
      <c r="G305" s="1973"/>
      <c r="H305" s="1973"/>
      <c r="I305" s="1973"/>
      <c r="J305" s="1973" t="s">
        <v>3111</v>
      </c>
    </row>
    <row r="306" spans="1:10" ht="18" x14ac:dyDescent="0.35">
      <c r="B306" s="1973" t="s">
        <v>1344</v>
      </c>
      <c r="C306" s="1973" t="s">
        <v>3112</v>
      </c>
      <c r="D306" s="1973">
        <f>10^(-17.3)</f>
        <v>5.0118723362726963E-18</v>
      </c>
      <c r="E306" s="1973"/>
      <c r="F306" s="1973"/>
      <c r="G306" s="1973"/>
      <c r="H306" s="1973"/>
      <c r="I306" s="1973"/>
      <c r="J306" s="1973" t="s">
        <v>3111</v>
      </c>
    </row>
    <row r="307" spans="1:10" ht="18" x14ac:dyDescent="0.35">
      <c r="B307" s="1973" t="s">
        <v>1345</v>
      </c>
      <c r="C307" s="1973" t="s">
        <v>3113</v>
      </c>
      <c r="D307" s="1973">
        <f>10^(3)</f>
        <v>1000</v>
      </c>
      <c r="E307" s="1973"/>
      <c r="F307" s="1973"/>
      <c r="G307" s="1973"/>
      <c r="H307" s="1973"/>
      <c r="I307" s="1973"/>
      <c r="J307" s="1973" t="s">
        <v>1273</v>
      </c>
    </row>
    <row r="308" spans="1:10" ht="18" x14ac:dyDescent="0.35">
      <c r="B308" s="1973" t="s">
        <v>1346</v>
      </c>
      <c r="C308" s="1973" t="s">
        <v>3114</v>
      </c>
      <c r="D308" s="1973">
        <f>10^(-1.99)</f>
        <v>1.0232929922807535E-2</v>
      </c>
      <c r="E308" s="1973"/>
      <c r="F308" s="1973"/>
      <c r="G308" s="1973"/>
      <c r="H308" s="1973"/>
      <c r="I308" s="1973"/>
      <c r="J308" s="1973" t="s">
        <v>3115</v>
      </c>
    </row>
    <row r="309" spans="1:10" ht="18" x14ac:dyDescent="0.35">
      <c r="B309" s="1973" t="s">
        <v>3286</v>
      </c>
      <c r="C309" s="1973" t="s">
        <v>3110</v>
      </c>
      <c r="D309" s="1973">
        <f>10^(-7.02)</f>
        <v>9.5499258602143556E-8</v>
      </c>
      <c r="E309" s="1973"/>
      <c r="F309" s="1973"/>
      <c r="G309" s="1973"/>
      <c r="H309" s="1973"/>
      <c r="I309" s="1973"/>
      <c r="J309" s="1973" t="s">
        <v>3115</v>
      </c>
    </row>
    <row r="311" spans="1:10" ht="15.75" thickBot="1" x14ac:dyDescent="0.3">
      <c r="C311" s="2247" t="s">
        <v>1311</v>
      </c>
    </row>
    <row r="312" spans="1:10" ht="15.75" thickBot="1" x14ac:dyDescent="0.3">
      <c r="B312" s="2248" t="s">
        <v>0</v>
      </c>
      <c r="C312" s="2249" t="s">
        <v>1</v>
      </c>
      <c r="D312" s="2250" t="s">
        <v>152</v>
      </c>
      <c r="E312" s="2250" t="s">
        <v>470</v>
      </c>
      <c r="F312" s="2250" t="s">
        <v>471</v>
      </c>
      <c r="G312" s="2250" t="s">
        <v>2</v>
      </c>
      <c r="H312" s="2250" t="s">
        <v>298</v>
      </c>
      <c r="I312" s="2250" t="s">
        <v>116</v>
      </c>
      <c r="J312" s="2251" t="s">
        <v>117</v>
      </c>
    </row>
    <row r="313" spans="1:10" ht="18" x14ac:dyDescent="0.25">
      <c r="B313" s="1970" t="s">
        <v>1321</v>
      </c>
      <c r="C313" s="1971" t="s">
        <v>3515</v>
      </c>
      <c r="D313" s="1971">
        <f>10^(-6.35)</f>
        <v>4.4668359215096327E-7</v>
      </c>
      <c r="E313" s="1973"/>
      <c r="F313" s="1973"/>
      <c r="G313" s="1971"/>
      <c r="H313" s="1974"/>
      <c r="I313" s="1974"/>
      <c r="J313" s="1971"/>
    </row>
    <row r="314" spans="1:10" ht="18" x14ac:dyDescent="0.25">
      <c r="B314" s="1970" t="s">
        <v>1322</v>
      </c>
      <c r="C314" s="1971" t="s">
        <v>3516</v>
      </c>
      <c r="D314" s="1971">
        <v>6.9180000000000002E-14</v>
      </c>
      <c r="E314" s="1973"/>
      <c r="F314" s="1973"/>
      <c r="G314" s="1971"/>
      <c r="H314" s="1974"/>
      <c r="I314" s="1974"/>
      <c r="J314" s="1971"/>
    </row>
    <row r="315" spans="1:10" ht="18" x14ac:dyDescent="0.25">
      <c r="B315" s="1970" t="s">
        <v>1326</v>
      </c>
      <c r="C315" s="1971" t="s">
        <v>3116</v>
      </c>
      <c r="D315" s="2262">
        <f>10^(-25.46)</f>
        <v>3.4673685045252971E-26</v>
      </c>
      <c r="E315" s="1973"/>
      <c r="F315" s="1973"/>
      <c r="G315" s="1971"/>
      <c r="H315" s="1974"/>
      <c r="I315" s="1974"/>
      <c r="J315" s="1971" t="s">
        <v>4139</v>
      </c>
    </row>
    <row r="316" spans="1:10" ht="18" x14ac:dyDescent="0.25">
      <c r="A316" s="2252"/>
      <c r="B316" s="1970" t="s">
        <v>4057</v>
      </c>
      <c r="C316" s="1971" t="s">
        <v>4058</v>
      </c>
      <c r="D316" s="2262">
        <f>10^-6.6</f>
        <v>2.511886431509578E-7</v>
      </c>
      <c r="E316" s="1973"/>
      <c r="F316" s="1973"/>
      <c r="G316" s="1971"/>
      <c r="H316" s="1974"/>
      <c r="I316" s="1974"/>
      <c r="J316" s="1971" t="s">
        <v>4059</v>
      </c>
    </row>
    <row r="317" spans="1:10" ht="18" x14ac:dyDescent="0.25">
      <c r="B317" s="1970" t="s">
        <v>1323</v>
      </c>
      <c r="C317" s="1971" t="s">
        <v>3117</v>
      </c>
      <c r="D317" s="1971">
        <v>9.9999999999999994E-37</v>
      </c>
      <c r="E317" s="1973"/>
      <c r="F317" s="1973"/>
      <c r="G317" s="1971"/>
      <c r="H317" s="1974"/>
      <c r="I317" s="1974"/>
      <c r="J317" s="1971" t="s">
        <v>1897</v>
      </c>
    </row>
    <row r="318" spans="1:10" ht="18" x14ac:dyDescent="0.25">
      <c r="B318" s="1970" t="s">
        <v>1347</v>
      </c>
      <c r="C318" s="1971" t="s">
        <v>3118</v>
      </c>
      <c r="D318" s="1971">
        <f>3.7*10^-19</f>
        <v>3.7000000000000001E-19</v>
      </c>
      <c r="E318" s="1973"/>
      <c r="F318" s="1973"/>
      <c r="G318" s="1971"/>
      <c r="H318" s="1974"/>
      <c r="I318" s="1974"/>
      <c r="J318" s="1971"/>
    </row>
    <row r="319" spans="1:10" ht="18" x14ac:dyDescent="0.25">
      <c r="B319" s="1970" t="s">
        <v>1324</v>
      </c>
      <c r="C319" s="1971" t="s">
        <v>3119</v>
      </c>
      <c r="D319" s="1971">
        <v>2.7500000000000001E-22</v>
      </c>
      <c r="E319" s="1973"/>
      <c r="F319" s="1973"/>
      <c r="G319" s="1971"/>
      <c r="H319" s="1974"/>
      <c r="I319" s="1974"/>
      <c r="J319" s="1971"/>
    </row>
    <row r="320" spans="1:10" ht="18" x14ac:dyDescent="0.25">
      <c r="B320" s="1970" t="s">
        <v>1325</v>
      </c>
      <c r="C320" s="1971" t="s">
        <v>3120</v>
      </c>
      <c r="D320" s="1971">
        <f>10^(-16)</f>
        <v>9.9999999999999998E-17</v>
      </c>
      <c r="E320" s="1973"/>
      <c r="F320" s="1973"/>
      <c r="G320" s="1971"/>
      <c r="H320" s="1974"/>
      <c r="I320" s="1974"/>
      <c r="J320" s="1971"/>
    </row>
    <row r="322" spans="1:10" ht="15.75" thickBot="1" x14ac:dyDescent="0.3">
      <c r="C322" s="2247" t="s">
        <v>758</v>
      </c>
    </row>
    <row r="323" spans="1:10" ht="15.75" thickBot="1" x14ac:dyDescent="0.3">
      <c r="B323" s="2248" t="s">
        <v>0</v>
      </c>
      <c r="C323" s="2249" t="s">
        <v>1</v>
      </c>
      <c r="D323" s="2250" t="s">
        <v>152</v>
      </c>
      <c r="E323" s="2250" t="s">
        <v>470</v>
      </c>
      <c r="F323" s="2250" t="s">
        <v>471</v>
      </c>
      <c r="G323" s="2250" t="s">
        <v>2</v>
      </c>
      <c r="H323" s="2250" t="s">
        <v>298</v>
      </c>
      <c r="I323" s="2250" t="s">
        <v>116</v>
      </c>
      <c r="J323" s="2251" t="s">
        <v>117</v>
      </c>
    </row>
    <row r="324" spans="1:10" ht="18" x14ac:dyDescent="0.25">
      <c r="B324" s="1970" t="s">
        <v>759</v>
      </c>
      <c r="C324" s="1971" t="s">
        <v>760</v>
      </c>
      <c r="D324" s="1971">
        <f>3*A_MO/(2*A_MN)</f>
        <v>1.7134014435948508</v>
      </c>
      <c r="E324" s="1973"/>
      <c r="F324" s="1973"/>
      <c r="G324" s="1971" t="s">
        <v>2048</v>
      </c>
      <c r="H324" s="1974"/>
      <c r="I324" s="1974"/>
      <c r="J324" s="1971" t="s">
        <v>263</v>
      </c>
    </row>
    <row r="325" spans="1:10" ht="18" x14ac:dyDescent="0.25">
      <c r="B325" s="1970" t="s">
        <v>761</v>
      </c>
      <c r="C325" s="1971" t="s">
        <v>762</v>
      </c>
      <c r="D325" s="1971">
        <f>2*A_MO/(A_MN)</f>
        <v>2.2845352581264677</v>
      </c>
      <c r="E325" s="1973"/>
      <c r="F325" s="1973"/>
      <c r="G325" s="1971" t="s">
        <v>2048</v>
      </c>
      <c r="H325" s="1974"/>
      <c r="I325" s="1974"/>
      <c r="J325" s="1971" t="s">
        <v>263</v>
      </c>
    </row>
    <row r="326" spans="1:10" ht="18" x14ac:dyDescent="0.25">
      <c r="B326" s="1970" t="s">
        <v>763</v>
      </c>
      <c r="C326" s="1971" t="s">
        <v>764</v>
      </c>
      <c r="D326" s="1971">
        <f>2.5*A_MO/(A_MN)</f>
        <v>2.8556690726580851</v>
      </c>
      <c r="E326" s="1973"/>
      <c r="F326" s="1973"/>
      <c r="G326" s="1971" t="s">
        <v>2048</v>
      </c>
      <c r="H326" s="1974"/>
      <c r="I326" s="1974"/>
      <c r="J326" s="1971" t="s">
        <v>263</v>
      </c>
    </row>
    <row r="327" spans="1:10" ht="18" x14ac:dyDescent="0.25">
      <c r="B327" s="1970" t="s">
        <v>765</v>
      </c>
      <c r="C327" s="1971" t="s">
        <v>766</v>
      </c>
      <c r="D327" s="1971">
        <f>3*A_MO/A_MN</f>
        <v>3.4268028871897016</v>
      </c>
      <c r="E327" s="1973"/>
      <c r="F327" s="1973"/>
      <c r="G327" s="1971" t="s">
        <v>2048</v>
      </c>
      <c r="H327" s="1974"/>
      <c r="I327" s="1974"/>
      <c r="J327" s="1971" t="s">
        <v>263</v>
      </c>
    </row>
    <row r="328" spans="1:10" ht="18" x14ac:dyDescent="0.25">
      <c r="B328" s="1970" t="s">
        <v>767</v>
      </c>
      <c r="C328" s="1971" t="s">
        <v>768</v>
      </c>
      <c r="D328" s="1971">
        <f>4*A_MO/A_MN</f>
        <v>4.5690705162529355</v>
      </c>
      <c r="E328" s="1973"/>
      <c r="F328" s="1973"/>
      <c r="G328" s="1971" t="s">
        <v>2048</v>
      </c>
      <c r="H328" s="1974"/>
      <c r="I328" s="1974"/>
      <c r="J328" s="1971" t="s">
        <v>263</v>
      </c>
    </row>
    <row r="329" spans="1:10" ht="18" x14ac:dyDescent="0.25">
      <c r="A329" s="2263"/>
      <c r="B329" s="1970" t="s">
        <v>4140</v>
      </c>
      <c r="C329" s="1971" t="s">
        <v>4141</v>
      </c>
      <c r="D329" s="1971">
        <f>A_MO/A_MN</f>
        <v>1.1422676290632339</v>
      </c>
      <c r="E329" s="1973"/>
      <c r="F329" s="1973"/>
      <c r="G329" s="1971" t="s">
        <v>2048</v>
      </c>
      <c r="H329" s="1974"/>
      <c r="I329" s="1974"/>
      <c r="J329" s="1971" t="s">
        <v>263</v>
      </c>
    </row>
    <row r="330" spans="1:10" ht="18" x14ac:dyDescent="0.25">
      <c r="A330" s="2263"/>
      <c r="B330" s="1970" t="s">
        <v>4142</v>
      </c>
      <c r="C330" s="1971" t="s">
        <v>4143</v>
      </c>
      <c r="D330" s="1971">
        <f>1.5*A_MO/A_MN</f>
        <v>1.7134014435948508</v>
      </c>
      <c r="E330" s="1973"/>
      <c r="F330" s="1973"/>
      <c r="G330" s="1971" t="s">
        <v>2048</v>
      </c>
      <c r="H330" s="1974"/>
      <c r="I330" s="1974"/>
      <c r="J330" s="1971" t="s">
        <v>263</v>
      </c>
    </row>
    <row r="331" spans="1:10" ht="18" x14ac:dyDescent="0.25">
      <c r="B331" s="1970" t="s">
        <v>1034</v>
      </c>
      <c r="C331" s="1971" t="s">
        <v>769</v>
      </c>
      <c r="D331" s="1971">
        <f>A_MO/A_MN</f>
        <v>1.1422676290632339</v>
      </c>
      <c r="E331" s="1973"/>
      <c r="F331" s="1973"/>
      <c r="G331" s="1971" t="s">
        <v>2048</v>
      </c>
      <c r="H331" s="1974"/>
      <c r="I331" s="1974"/>
      <c r="J331" s="1971"/>
    </row>
    <row r="332" spans="1:10" ht="18" x14ac:dyDescent="0.25">
      <c r="B332" s="1970" t="s">
        <v>1035</v>
      </c>
      <c r="C332" s="1971" t="s">
        <v>770</v>
      </c>
      <c r="D332" s="1971">
        <f>3*A_MO/(2*A_MN)</f>
        <v>1.7134014435948508</v>
      </c>
      <c r="E332" s="1973"/>
      <c r="F332" s="1973"/>
      <c r="G332" s="1971" t="s">
        <v>2048</v>
      </c>
      <c r="H332" s="1974"/>
      <c r="I332" s="1974"/>
      <c r="J332" s="1971"/>
    </row>
    <row r="333" spans="1:10" ht="18" x14ac:dyDescent="0.25">
      <c r="B333" s="1970" t="s">
        <v>1036</v>
      </c>
      <c r="C333" s="1971" t="s">
        <v>771</v>
      </c>
      <c r="D333" s="1971">
        <f>0.5*A_MO/A_MN</f>
        <v>0.57113381453161693</v>
      </c>
      <c r="E333" s="1973"/>
      <c r="F333" s="1973"/>
      <c r="G333" s="1971" t="s">
        <v>2048</v>
      </c>
      <c r="H333" s="1974"/>
      <c r="I333" s="1974"/>
      <c r="J333" s="1971"/>
    </row>
    <row r="334" spans="1:10" ht="18" x14ac:dyDescent="0.25">
      <c r="B334" s="1970" t="s">
        <v>1037</v>
      </c>
      <c r="C334" s="1971" t="s">
        <v>772</v>
      </c>
      <c r="D334" s="1971">
        <f>0.5*A_MO/A_MN</f>
        <v>0.57113381453161693</v>
      </c>
      <c r="E334" s="1973"/>
      <c r="F334" s="1973"/>
      <c r="G334" s="1971" t="s">
        <v>2048</v>
      </c>
      <c r="H334" s="1974"/>
      <c r="I334" s="1974"/>
      <c r="J334" s="1971"/>
    </row>
    <row r="335" spans="1:10" ht="18" x14ac:dyDescent="0.25">
      <c r="B335" s="1970" t="s">
        <v>1038</v>
      </c>
      <c r="C335" s="1971" t="s">
        <v>773</v>
      </c>
      <c r="D335" s="1971">
        <f>0.5*A_MO/A_MN</f>
        <v>0.57113381453161693</v>
      </c>
      <c r="E335" s="1973"/>
      <c r="F335" s="1973"/>
      <c r="G335" s="1971" t="s">
        <v>2048</v>
      </c>
      <c r="H335" s="1974"/>
      <c r="I335" s="1974"/>
      <c r="J335" s="1971"/>
    </row>
    <row r="336" spans="1:10" ht="18" x14ac:dyDescent="0.25">
      <c r="B336" s="1970" t="s">
        <v>1076</v>
      </c>
      <c r="C336" s="1971" t="s">
        <v>788</v>
      </c>
      <c r="D336" s="1971">
        <f>5*A_MO/(2*A_MN)</f>
        <v>2.8556690726580851</v>
      </c>
      <c r="E336" s="1973"/>
      <c r="F336" s="1973"/>
      <c r="G336" s="1971" t="s">
        <v>2048</v>
      </c>
      <c r="H336" s="1974"/>
      <c r="I336" s="1974"/>
      <c r="J336" s="1971"/>
    </row>
    <row r="337" spans="2:10" ht="18" x14ac:dyDescent="0.25">
      <c r="B337" s="1970" t="s">
        <v>1348</v>
      </c>
      <c r="C337" s="1971" t="s">
        <v>1349</v>
      </c>
      <c r="D337" s="1971">
        <f>8/A_MFe</f>
        <v>0.14325364849136002</v>
      </c>
      <c r="E337" s="1973"/>
      <c r="F337" s="1973"/>
      <c r="G337" s="1971" t="s">
        <v>2049</v>
      </c>
      <c r="H337" s="1974"/>
      <c r="I337" s="1974"/>
      <c r="J337" s="1971"/>
    </row>
    <row r="338" spans="2:10" ht="18" x14ac:dyDescent="0.25">
      <c r="B338" s="1970" t="s">
        <v>1331</v>
      </c>
      <c r="C338" s="1971" t="s">
        <v>1319</v>
      </c>
      <c r="D338" s="1971">
        <f>3*A_MO/(A_MS)</f>
        <v>1.4969031654451894</v>
      </c>
      <c r="E338" s="1973"/>
      <c r="F338" s="1973"/>
      <c r="G338" s="1971" t="s">
        <v>2050</v>
      </c>
      <c r="H338" s="1974"/>
      <c r="I338" s="1974"/>
      <c r="J338" s="1971" t="s">
        <v>1274</v>
      </c>
    </row>
    <row r="339" spans="2:10" ht="18" x14ac:dyDescent="0.25">
      <c r="B339" s="1970" t="s">
        <v>1149</v>
      </c>
      <c r="C339" s="1971" t="s">
        <v>1211</v>
      </c>
      <c r="D339" s="1971">
        <f>4*A_MO/(A_MS)</f>
        <v>1.9958708872602526</v>
      </c>
      <c r="E339" s="1973"/>
      <c r="F339" s="1973"/>
      <c r="G339" s="1971" t="s">
        <v>2051</v>
      </c>
      <c r="H339" s="1974"/>
      <c r="I339" s="1974"/>
      <c r="J339" s="1971" t="s">
        <v>1274</v>
      </c>
    </row>
    <row r="341" spans="2:10" ht="15.75" thickBot="1" x14ac:dyDescent="0.3">
      <c r="C341" s="2247" t="s">
        <v>923</v>
      </c>
    </row>
    <row r="342" spans="2:10" ht="15.75" thickBot="1" x14ac:dyDescent="0.3">
      <c r="B342" s="2248" t="s">
        <v>0</v>
      </c>
      <c r="C342" s="2249" t="s">
        <v>1</v>
      </c>
      <c r="D342" s="2250" t="s">
        <v>152</v>
      </c>
      <c r="E342" s="2250" t="s">
        <v>470</v>
      </c>
      <c r="F342" s="2250" t="s">
        <v>471</v>
      </c>
      <c r="G342" s="2250" t="s">
        <v>2</v>
      </c>
      <c r="H342" s="2250" t="s">
        <v>298</v>
      </c>
      <c r="I342" s="2250" t="s">
        <v>116</v>
      </c>
      <c r="J342" s="2251" t="s">
        <v>117</v>
      </c>
    </row>
    <row r="343" spans="2:10" ht="18" x14ac:dyDescent="0.25">
      <c r="B343" s="1970" t="s">
        <v>924</v>
      </c>
      <c r="C343" s="1971" t="s">
        <v>925</v>
      </c>
      <c r="D343" s="1971">
        <v>0.5</v>
      </c>
      <c r="E343" s="1973"/>
      <c r="F343" s="1973"/>
      <c r="G343" s="1971"/>
      <c r="H343" s="1974"/>
      <c r="I343" s="1974"/>
      <c r="J343" s="1971" t="s">
        <v>1077</v>
      </c>
    </row>
    <row r="344" spans="2:10" ht="18" x14ac:dyDescent="0.25">
      <c r="B344" s="1970" t="s">
        <v>926</v>
      </c>
      <c r="C344" s="1971" t="s">
        <v>927</v>
      </c>
      <c r="D344" s="1971">
        <v>0.5</v>
      </c>
      <c r="E344" s="1973"/>
      <c r="F344" s="1973"/>
      <c r="G344" s="1971"/>
      <c r="H344" s="1974"/>
      <c r="I344" s="1974"/>
      <c r="J344" s="1971" t="s">
        <v>1078</v>
      </c>
    </row>
    <row r="345" spans="2:10" ht="18" x14ac:dyDescent="0.25">
      <c r="B345" s="1970" t="s">
        <v>928</v>
      </c>
      <c r="C345" s="1971" t="s">
        <v>929</v>
      </c>
      <c r="D345" s="1971">
        <v>2</v>
      </c>
      <c r="E345" s="1973"/>
      <c r="F345" s="1973"/>
      <c r="G345" s="1971"/>
      <c r="H345" s="1974"/>
      <c r="I345" s="1974"/>
      <c r="J345" s="1971" t="s">
        <v>1079</v>
      </c>
    </row>
    <row r="346" spans="2:10" ht="18" x14ac:dyDescent="0.25">
      <c r="B346" s="1970" t="s">
        <v>930</v>
      </c>
      <c r="C346" s="1971" t="s">
        <v>931</v>
      </c>
      <c r="D346" s="1971">
        <v>2</v>
      </c>
      <c r="E346" s="1973"/>
      <c r="F346" s="1973"/>
      <c r="G346" s="1971"/>
      <c r="H346" s="1974"/>
      <c r="I346" s="1974"/>
      <c r="J346" s="1971" t="s">
        <v>1080</v>
      </c>
    </row>
    <row r="347" spans="2:10" ht="18" x14ac:dyDescent="0.25">
      <c r="B347" s="1970" t="s">
        <v>932</v>
      </c>
      <c r="C347" s="1971" t="s">
        <v>933</v>
      </c>
      <c r="D347" s="1971">
        <v>4.5</v>
      </c>
      <c r="E347" s="1973"/>
      <c r="F347" s="1973"/>
      <c r="G347" s="1971"/>
      <c r="H347" s="1974"/>
      <c r="I347" s="1974"/>
      <c r="J347" s="1971" t="s">
        <v>1081</v>
      </c>
    </row>
    <row r="348" spans="2:10" ht="18" x14ac:dyDescent="0.25">
      <c r="B348" s="1970" t="s">
        <v>934</v>
      </c>
      <c r="C348" s="1971" t="s">
        <v>935</v>
      </c>
      <c r="D348" s="1971">
        <v>4.5</v>
      </c>
      <c r="E348" s="1973"/>
      <c r="F348" s="1973"/>
      <c r="G348" s="1971"/>
      <c r="H348" s="1974"/>
      <c r="I348" s="1974"/>
      <c r="J348" s="1971" t="s">
        <v>1082</v>
      </c>
    </row>
    <row r="350" spans="2:10" ht="15.75" thickBot="1" x14ac:dyDescent="0.3">
      <c r="C350" s="2247" t="s">
        <v>902</v>
      </c>
    </row>
    <row r="351" spans="2:10" ht="15.75" thickBot="1" x14ac:dyDescent="0.3">
      <c r="B351" s="2248" t="s">
        <v>0</v>
      </c>
      <c r="C351" s="2249" t="s">
        <v>1</v>
      </c>
      <c r="D351" s="2250" t="s">
        <v>152</v>
      </c>
      <c r="E351" s="2250" t="s">
        <v>470</v>
      </c>
      <c r="F351" s="2250" t="s">
        <v>471</v>
      </c>
      <c r="G351" s="2250" t="s">
        <v>2</v>
      </c>
      <c r="H351" s="2250" t="s">
        <v>298</v>
      </c>
      <c r="I351" s="2250" t="s">
        <v>116</v>
      </c>
      <c r="J351" s="2251" t="s">
        <v>117</v>
      </c>
    </row>
    <row r="352" spans="2:10" ht="18" x14ac:dyDescent="0.25">
      <c r="B352" s="1970" t="s">
        <v>903</v>
      </c>
      <c r="C352" s="1971" t="s">
        <v>904</v>
      </c>
      <c r="D352" s="1971">
        <v>6.4135999999999997E-5</v>
      </c>
      <c r="E352" s="1973"/>
      <c r="F352" s="1973"/>
      <c r="G352" s="1971" t="s">
        <v>383</v>
      </c>
      <c r="H352" s="1974"/>
      <c r="I352" s="1974"/>
      <c r="J352" s="1971" t="s">
        <v>1275</v>
      </c>
    </row>
    <row r="354" spans="2:10" ht="15.75" thickBot="1" x14ac:dyDescent="0.3">
      <c r="C354" s="2247" t="s">
        <v>902</v>
      </c>
    </row>
    <row r="355" spans="2:10" ht="15.75" thickBot="1" x14ac:dyDescent="0.3">
      <c r="B355" s="2248" t="s">
        <v>0</v>
      </c>
      <c r="C355" s="2249" t="s">
        <v>1</v>
      </c>
      <c r="D355" s="2250" t="s">
        <v>152</v>
      </c>
      <c r="E355" s="2250" t="s">
        <v>470</v>
      </c>
      <c r="F355" s="2250" t="s">
        <v>471</v>
      </c>
      <c r="G355" s="2250" t="s">
        <v>2</v>
      </c>
      <c r="H355" s="2250" t="s">
        <v>298</v>
      </c>
      <c r="I355" s="2250" t="s">
        <v>116</v>
      </c>
      <c r="J355" s="2251" t="s">
        <v>117</v>
      </c>
    </row>
    <row r="356" spans="2:10" ht="18" x14ac:dyDescent="0.25">
      <c r="B356" s="1970" t="s">
        <v>2458</v>
      </c>
      <c r="C356" s="1971" t="s">
        <v>1896</v>
      </c>
      <c r="D356" s="1971">
        <v>0.6</v>
      </c>
      <c r="E356" s="1973" t="s">
        <v>1220</v>
      </c>
      <c r="F356" s="1973" t="s">
        <v>2331</v>
      </c>
      <c r="G356" s="1971" t="s">
        <v>2459</v>
      </c>
      <c r="H356" s="1974"/>
      <c r="I356" s="1974"/>
      <c r="J356" s="1971" t="s">
        <v>2460</v>
      </c>
    </row>
    <row r="358" spans="2:10" ht="15.75" thickBot="1" x14ac:dyDescent="0.3">
      <c r="C358" s="2247" t="s">
        <v>936</v>
      </c>
    </row>
    <row r="359" spans="2:10" ht="15.75" thickBot="1" x14ac:dyDescent="0.3">
      <c r="B359" s="2248" t="s">
        <v>0</v>
      </c>
      <c r="C359" s="2249" t="s">
        <v>1</v>
      </c>
      <c r="D359" s="2250" t="s">
        <v>152</v>
      </c>
      <c r="E359" s="2250" t="s">
        <v>470</v>
      </c>
      <c r="F359" s="2250" t="s">
        <v>471</v>
      </c>
      <c r="G359" s="2250" t="s">
        <v>2</v>
      </c>
      <c r="H359" s="2250" t="s">
        <v>298</v>
      </c>
      <c r="I359" s="2250" t="s">
        <v>116</v>
      </c>
      <c r="J359" s="2251" t="s">
        <v>117</v>
      </c>
    </row>
    <row r="360" spans="2:10" ht="18" outlineLevel="1" x14ac:dyDescent="0.25">
      <c r="B360" s="1970" t="s">
        <v>937</v>
      </c>
      <c r="C360" s="1971" t="s">
        <v>938</v>
      </c>
      <c r="D360" s="1971">
        <v>1000000</v>
      </c>
      <c r="E360" s="1973"/>
      <c r="F360" s="1973"/>
      <c r="G360" s="1971" t="s">
        <v>2052</v>
      </c>
      <c r="H360" s="1974"/>
      <c r="I360" s="1974"/>
      <c r="J360" s="1971"/>
    </row>
    <row r="361" spans="2:10" ht="18" outlineLevel="1" x14ac:dyDescent="0.25">
      <c r="B361" s="1970" t="s">
        <v>1888</v>
      </c>
      <c r="C361" s="1971" t="s">
        <v>1889</v>
      </c>
      <c r="D361" s="1971">
        <v>100</v>
      </c>
      <c r="E361" s="1973"/>
      <c r="F361" s="1973"/>
      <c r="G361" s="1971" t="s">
        <v>2053</v>
      </c>
      <c r="H361" s="1974"/>
      <c r="I361" s="1974"/>
      <c r="J361" s="1971"/>
    </row>
    <row r="362" spans="2:10" ht="18" outlineLevel="1" x14ac:dyDescent="0.25">
      <c r="B362" s="1970" t="s">
        <v>1898</v>
      </c>
      <c r="C362" s="1971" t="s">
        <v>1899</v>
      </c>
      <c r="D362" s="1971">
        <v>100</v>
      </c>
      <c r="E362" s="1973"/>
      <c r="F362" s="1973"/>
      <c r="G362" s="1971" t="s">
        <v>1900</v>
      </c>
      <c r="H362" s="1974"/>
      <c r="I362" s="1974"/>
      <c r="J362" s="1971"/>
    </row>
    <row r="363" spans="2:10" ht="18" outlineLevel="1" x14ac:dyDescent="0.25">
      <c r="B363" s="1970" t="s">
        <v>4144</v>
      </c>
      <c r="C363" s="1971" t="s">
        <v>4145</v>
      </c>
      <c r="D363" s="1971">
        <v>1000</v>
      </c>
      <c r="E363" s="1973"/>
      <c r="F363" s="1973"/>
      <c r="G363" s="1971" t="s">
        <v>4146</v>
      </c>
      <c r="H363" s="1974"/>
      <c r="I363" s="1974"/>
      <c r="J363" s="1971"/>
    </row>
    <row r="364" spans="2:10" ht="18" outlineLevel="1" x14ac:dyDescent="0.25">
      <c r="B364" s="1970" t="s">
        <v>939</v>
      </c>
      <c r="C364" s="1971" t="s">
        <v>1589</v>
      </c>
      <c r="D364" s="1971">
        <v>86400</v>
      </c>
      <c r="E364" s="1973"/>
      <c r="F364" s="1973"/>
      <c r="G364" s="1971" t="s">
        <v>1590</v>
      </c>
      <c r="H364" s="1974"/>
      <c r="I364" s="1974"/>
      <c r="J364" s="1971"/>
    </row>
    <row r="365" spans="2:10" ht="18" outlineLevel="1" x14ac:dyDescent="0.25">
      <c r="B365" s="1970" t="s">
        <v>1591</v>
      </c>
      <c r="C365" s="1971" t="s">
        <v>1592</v>
      </c>
      <c r="D365" s="1971">
        <v>3600</v>
      </c>
      <c r="E365" s="1973"/>
      <c r="F365" s="1973"/>
      <c r="G365" s="1971" t="s">
        <v>1593</v>
      </c>
      <c r="H365" s="1974"/>
      <c r="I365" s="1974"/>
      <c r="J365" s="1971"/>
    </row>
    <row r="366" spans="2:10" ht="18" outlineLevel="1" x14ac:dyDescent="0.25">
      <c r="B366" s="1970" t="s">
        <v>4147</v>
      </c>
      <c r="C366" s="1971" t="s">
        <v>4148</v>
      </c>
      <c r="D366" s="1971">
        <v>60</v>
      </c>
      <c r="E366" s="1973"/>
      <c r="F366" s="1973"/>
      <c r="G366" s="1971" t="s">
        <v>4149</v>
      </c>
      <c r="H366" s="1974"/>
      <c r="I366" s="1974"/>
      <c r="J366" s="1971"/>
    </row>
    <row r="367" spans="2:10" ht="18" outlineLevel="1" x14ac:dyDescent="0.25">
      <c r="B367" s="1970" t="s">
        <v>4150</v>
      </c>
      <c r="C367" s="1971" t="s">
        <v>4151</v>
      </c>
      <c r="D367" s="1971">
        <v>1440</v>
      </c>
      <c r="E367" s="1973"/>
      <c r="F367" s="1973"/>
      <c r="G367" s="1971" t="s">
        <v>4152</v>
      </c>
      <c r="H367" s="1974"/>
      <c r="I367" s="1974"/>
      <c r="J367" s="1971"/>
    </row>
    <row r="368" spans="2:10" ht="18" outlineLevel="1" x14ac:dyDescent="0.25">
      <c r="B368" s="1970" t="s">
        <v>3517</v>
      </c>
      <c r="C368" s="1971" t="s">
        <v>3518</v>
      </c>
      <c r="D368" s="1971">
        <v>60</v>
      </c>
      <c r="E368" s="1973"/>
      <c r="F368" s="1973"/>
      <c r="G368" s="1971" t="s">
        <v>3519</v>
      </c>
      <c r="H368" s="1974"/>
      <c r="I368" s="1974"/>
      <c r="J368" s="1971"/>
    </row>
    <row r="369" spans="2:10" ht="18" outlineLevel="1" x14ac:dyDescent="0.25">
      <c r="B369" s="1970" t="s">
        <v>3520</v>
      </c>
      <c r="C369" s="1971" t="s">
        <v>3521</v>
      </c>
      <c r="D369" s="1971">
        <v>24</v>
      </c>
      <c r="E369" s="1973"/>
      <c r="F369" s="1973"/>
      <c r="G369" s="1971" t="s">
        <v>3522</v>
      </c>
      <c r="H369" s="1974"/>
      <c r="I369" s="1974"/>
      <c r="J369" s="1971"/>
    </row>
    <row r="370" spans="2:10" ht="18" outlineLevel="1" x14ac:dyDescent="0.25">
      <c r="B370" s="1970" t="s">
        <v>2461</v>
      </c>
      <c r="C370" s="1971" t="s">
        <v>2462</v>
      </c>
      <c r="D370" s="1971">
        <v>86400000</v>
      </c>
      <c r="E370" s="1973"/>
      <c r="F370" s="1973"/>
      <c r="G370" s="1971" t="s">
        <v>2463</v>
      </c>
      <c r="H370" s="1974"/>
      <c r="I370" s="1974"/>
      <c r="J370" s="1971"/>
    </row>
    <row r="371" spans="2:10" ht="18" outlineLevel="1" x14ac:dyDescent="0.25">
      <c r="B371" s="1970" t="s">
        <v>1083</v>
      </c>
      <c r="C371" s="1971" t="s">
        <v>1084</v>
      </c>
      <c r="D371" s="1971">
        <v>3600000</v>
      </c>
      <c r="E371" s="1973"/>
      <c r="F371" s="1973"/>
      <c r="G371" s="1971" t="s">
        <v>1085</v>
      </c>
      <c r="H371" s="1974"/>
      <c r="I371" s="1974"/>
      <c r="J371" s="1971"/>
    </row>
    <row r="372" spans="2:10" ht="18" outlineLevel="1" x14ac:dyDescent="0.25">
      <c r="B372" s="1970" t="s">
        <v>3523</v>
      </c>
      <c r="C372" s="1971" t="s">
        <v>3524</v>
      </c>
      <c r="D372" s="1971">
        <v>60000</v>
      </c>
      <c r="E372" s="1973"/>
      <c r="F372" s="1973"/>
      <c r="G372" s="1971" t="s">
        <v>3525</v>
      </c>
      <c r="H372" s="1974"/>
      <c r="I372" s="1974"/>
      <c r="J372" s="1971"/>
    </row>
    <row r="373" spans="2:10" ht="18" outlineLevel="1" x14ac:dyDescent="0.25">
      <c r="B373" s="1970" t="s">
        <v>2464</v>
      </c>
      <c r="C373" s="1971" t="s">
        <v>2465</v>
      </c>
      <c r="D373" s="1971">
        <v>1000</v>
      </c>
      <c r="E373" s="1973"/>
      <c r="F373" s="1973"/>
      <c r="G373" s="1971" t="s">
        <v>2466</v>
      </c>
      <c r="H373" s="1974"/>
      <c r="I373" s="1974"/>
      <c r="J373" s="1971"/>
    </row>
    <row r="374" spans="2:10" ht="18" outlineLevel="1" x14ac:dyDescent="0.25">
      <c r="B374" s="1970" t="s">
        <v>4153</v>
      </c>
      <c r="C374" s="1971" t="s">
        <v>4154</v>
      </c>
      <c r="D374" s="1971">
        <v>7</v>
      </c>
      <c r="E374" s="1973"/>
      <c r="F374" s="1973"/>
      <c r="G374" s="1971" t="s">
        <v>4155</v>
      </c>
      <c r="H374" s="1974"/>
      <c r="I374" s="1974"/>
      <c r="J374" s="1971"/>
    </row>
    <row r="375" spans="2:10" ht="18" outlineLevel="1" x14ac:dyDescent="0.25">
      <c r="B375" s="1970" t="s">
        <v>4156</v>
      </c>
      <c r="C375" s="1971" t="s">
        <v>4157</v>
      </c>
      <c r="D375" s="1971">
        <v>30</v>
      </c>
      <c r="E375" s="1973"/>
      <c r="F375" s="1973"/>
      <c r="G375" s="1971" t="s">
        <v>4158</v>
      </c>
      <c r="H375" s="1974"/>
      <c r="I375" s="1974"/>
      <c r="J375" s="1971"/>
    </row>
    <row r="376" spans="2:10" ht="18" outlineLevel="1" x14ac:dyDescent="0.25">
      <c r="B376" s="1970" t="s">
        <v>4159</v>
      </c>
      <c r="C376" s="1971" t="s">
        <v>4160</v>
      </c>
      <c r="D376" s="1971">
        <v>365</v>
      </c>
      <c r="E376" s="1973"/>
      <c r="F376" s="1973"/>
      <c r="G376" s="1971" t="s">
        <v>4161</v>
      </c>
      <c r="H376" s="1974"/>
      <c r="I376" s="1974"/>
      <c r="J376" s="1971"/>
    </row>
    <row r="377" spans="2:10" ht="18" outlineLevel="1" x14ac:dyDescent="0.25">
      <c r="B377" s="1970" t="s">
        <v>940</v>
      </c>
      <c r="C377" s="1971" t="s">
        <v>941</v>
      </c>
      <c r="D377" s="1971">
        <v>1000</v>
      </c>
      <c r="E377" s="1973"/>
      <c r="F377" s="1973"/>
      <c r="G377" s="1971" t="s">
        <v>1594</v>
      </c>
      <c r="H377" s="1974"/>
      <c r="I377" s="1974"/>
      <c r="J377" s="1971"/>
    </row>
    <row r="378" spans="2:10" ht="18" outlineLevel="1" x14ac:dyDescent="0.25">
      <c r="B378" s="1970" t="s">
        <v>1039</v>
      </c>
      <c r="C378" s="1971" t="s">
        <v>1040</v>
      </c>
      <c r="D378" s="1971">
        <v>1000</v>
      </c>
      <c r="E378" s="1973"/>
      <c r="F378" s="1973"/>
      <c r="G378" s="1971" t="s">
        <v>1595</v>
      </c>
      <c r="H378" s="1974"/>
      <c r="I378" s="1974"/>
      <c r="J378" s="1971"/>
    </row>
    <row r="379" spans="2:10" ht="18" outlineLevel="1" x14ac:dyDescent="0.25">
      <c r="B379" s="1970" t="s">
        <v>4162</v>
      </c>
      <c r="C379" s="1971" t="s">
        <v>4163</v>
      </c>
      <c r="D379" s="1971">
        <v>1000000</v>
      </c>
      <c r="E379" s="1973"/>
      <c r="F379" s="1973"/>
      <c r="G379" s="1971" t="s">
        <v>4164</v>
      </c>
      <c r="H379" s="1974"/>
      <c r="I379" s="1974"/>
      <c r="J379" s="1971"/>
    </row>
    <row r="380" spans="2:10" ht="18" outlineLevel="1" x14ac:dyDescent="0.25">
      <c r="B380" s="1970" t="s">
        <v>942</v>
      </c>
      <c r="C380" s="1971" t="s">
        <v>1596</v>
      </c>
      <c r="D380" s="1971">
        <v>1000</v>
      </c>
      <c r="E380" s="1973"/>
      <c r="F380" s="1973"/>
      <c r="G380" s="1971" t="s">
        <v>1597</v>
      </c>
      <c r="H380" s="1974"/>
      <c r="I380" s="1974"/>
      <c r="J380" s="1971"/>
    </row>
    <row r="381" spans="2:10" ht="18" outlineLevel="1" x14ac:dyDescent="0.25">
      <c r="B381" s="2264" t="s">
        <v>3526</v>
      </c>
      <c r="C381" s="2264" t="s">
        <v>3527</v>
      </c>
      <c r="D381" s="2264">
        <v>1000</v>
      </c>
      <c r="E381" s="2264"/>
      <c r="F381" s="2264"/>
      <c r="G381" s="2264" t="s">
        <v>3528</v>
      </c>
      <c r="H381" s="2264"/>
      <c r="I381" s="2264"/>
      <c r="J381" s="2264"/>
    </row>
    <row r="382" spans="2:10" ht="18" outlineLevel="1" x14ac:dyDescent="0.25">
      <c r="B382" s="2264" t="s">
        <v>4165</v>
      </c>
      <c r="C382" s="2264" t="s">
        <v>3527</v>
      </c>
      <c r="D382" s="2264">
        <v>1000</v>
      </c>
      <c r="E382" s="2264"/>
      <c r="F382" s="2264"/>
      <c r="G382" s="2264" t="s">
        <v>4166</v>
      </c>
      <c r="H382" s="2264"/>
      <c r="I382" s="2264"/>
      <c r="J382" s="2264"/>
    </row>
    <row r="383" spans="2:10" ht="18" outlineLevel="1" x14ac:dyDescent="0.25">
      <c r="B383" s="1970" t="s">
        <v>4167</v>
      </c>
      <c r="C383" s="1971" t="s">
        <v>4168</v>
      </c>
      <c r="D383" s="1971">
        <v>1000000</v>
      </c>
      <c r="E383" s="1973"/>
      <c r="F383" s="1973"/>
      <c r="G383" s="1971" t="s">
        <v>4169</v>
      </c>
      <c r="H383" s="1974"/>
      <c r="I383" s="1974"/>
      <c r="J383" s="1971"/>
    </row>
    <row r="384" spans="2:10" ht="18" outlineLevel="1" x14ac:dyDescent="0.25">
      <c r="B384" s="1970" t="s">
        <v>1041</v>
      </c>
      <c r="C384" s="1971" t="s">
        <v>2054</v>
      </c>
      <c r="D384" s="1971">
        <v>133.32236800000001</v>
      </c>
      <c r="E384" s="1973"/>
      <c r="F384" s="1973"/>
      <c r="G384" s="1971" t="s">
        <v>1598</v>
      </c>
      <c r="H384" s="1974"/>
      <c r="I384" s="1974"/>
      <c r="J384" s="1971"/>
    </row>
    <row r="385" spans="2:10" ht="18" outlineLevel="1" x14ac:dyDescent="0.25">
      <c r="B385" s="1970" t="s">
        <v>1042</v>
      </c>
      <c r="C385" s="1971" t="s">
        <v>2055</v>
      </c>
      <c r="D385" s="1971">
        <v>100000</v>
      </c>
      <c r="E385" s="1973"/>
      <c r="F385" s="1973"/>
      <c r="G385" s="1971" t="s">
        <v>1599</v>
      </c>
      <c r="H385" s="1974"/>
      <c r="I385" s="1974"/>
      <c r="J385" s="1971"/>
    </row>
    <row r="386" spans="2:10" ht="18" outlineLevel="1" x14ac:dyDescent="0.25">
      <c r="B386" s="1970" t="s">
        <v>4170</v>
      </c>
      <c r="C386" s="1971" t="s">
        <v>4171</v>
      </c>
      <c r="D386" s="1971">
        <v>100</v>
      </c>
      <c r="E386" s="1973"/>
      <c r="F386" s="1973"/>
      <c r="G386" s="1971" t="s">
        <v>4172</v>
      </c>
      <c r="H386" s="1974"/>
      <c r="I386" s="1974"/>
      <c r="J386" s="1971"/>
    </row>
    <row r="387" spans="2:10" ht="18" outlineLevel="1" x14ac:dyDescent="0.25">
      <c r="B387" s="1970" t="s">
        <v>4173</v>
      </c>
      <c r="C387" s="1971" t="s">
        <v>4174</v>
      </c>
      <c r="D387" s="1971">
        <v>1000000</v>
      </c>
      <c r="E387" s="1973"/>
      <c r="F387" s="1973"/>
      <c r="G387" s="1971" t="s">
        <v>4175</v>
      </c>
      <c r="H387" s="1974"/>
      <c r="I387" s="1974"/>
      <c r="J387" s="1971"/>
    </row>
    <row r="388" spans="2:10" ht="18" outlineLevel="1" x14ac:dyDescent="0.25">
      <c r="B388" s="1970" t="s">
        <v>4176</v>
      </c>
      <c r="C388" s="1971" t="s">
        <v>4177</v>
      </c>
      <c r="D388" s="1971">
        <v>1000</v>
      </c>
      <c r="E388" s="1973"/>
      <c r="F388" s="1973"/>
      <c r="G388" s="1971" t="s">
        <v>4178</v>
      </c>
      <c r="H388" s="1974"/>
      <c r="I388" s="1974"/>
      <c r="J388" s="1971"/>
    </row>
    <row r="389" spans="2:10" ht="18" outlineLevel="1" x14ac:dyDescent="0.25">
      <c r="B389" s="1970" t="s">
        <v>3529</v>
      </c>
      <c r="C389" s="1971" t="s">
        <v>3530</v>
      </c>
      <c r="D389" s="1971">
        <v>100</v>
      </c>
      <c r="E389" s="1973"/>
      <c r="F389" s="1973"/>
      <c r="G389" s="1971" t="s">
        <v>4179</v>
      </c>
      <c r="H389" s="1974"/>
      <c r="I389" s="1974"/>
      <c r="J389" s="1971"/>
    </row>
    <row r="390" spans="2:10" ht="18" outlineLevel="1" x14ac:dyDescent="0.25">
      <c r="B390" s="1970" t="s">
        <v>1043</v>
      </c>
      <c r="C390" s="1971" t="s">
        <v>2056</v>
      </c>
      <c r="D390" s="1971">
        <v>10000</v>
      </c>
      <c r="E390" s="1973"/>
      <c r="F390" s="1973"/>
      <c r="G390" s="1971" t="s">
        <v>1600</v>
      </c>
      <c r="H390" s="1974"/>
      <c r="I390" s="1974"/>
      <c r="J390" s="1971"/>
    </row>
    <row r="391" spans="2:10" ht="18" outlineLevel="1" x14ac:dyDescent="0.25">
      <c r="B391" s="1970" t="s">
        <v>2057</v>
      </c>
      <c r="C391" s="1971" t="s">
        <v>2058</v>
      </c>
      <c r="D391" s="1971">
        <v>1000000</v>
      </c>
      <c r="E391" s="1973"/>
      <c r="F391" s="1973"/>
      <c r="G391" s="1971" t="s">
        <v>2059</v>
      </c>
      <c r="H391" s="1974"/>
      <c r="I391" s="1974"/>
      <c r="J391" s="1971"/>
    </row>
    <row r="392" spans="2:10" ht="18" outlineLevel="1" x14ac:dyDescent="0.25">
      <c r="B392" s="1970" t="s">
        <v>4180</v>
      </c>
      <c r="C392" s="1971" t="s">
        <v>4181</v>
      </c>
      <c r="D392" s="1971">
        <f>1/3785.411784</f>
        <v>2.6417205235814843E-4</v>
      </c>
      <c r="E392" s="1973"/>
      <c r="F392" s="1973"/>
      <c r="G392" s="1971" t="s">
        <v>4182</v>
      </c>
      <c r="H392" s="1974"/>
      <c r="I392" s="1974"/>
      <c r="J392" s="1971"/>
    </row>
    <row r="393" spans="2:10" ht="18" outlineLevel="1" x14ac:dyDescent="0.25">
      <c r="B393" s="1970" t="s">
        <v>4183</v>
      </c>
      <c r="C393" s="1971" t="s">
        <v>4184</v>
      </c>
      <c r="D393" s="1971">
        <f>1/0.003785411784</f>
        <v>264.17205235814839</v>
      </c>
      <c r="E393" s="1973"/>
      <c r="F393" s="1973"/>
      <c r="G393" s="1971" t="s">
        <v>4185</v>
      </c>
      <c r="H393" s="1974"/>
      <c r="I393" s="1974"/>
      <c r="J393" s="1971"/>
    </row>
    <row r="394" spans="2:10" ht="18" outlineLevel="1" x14ac:dyDescent="0.25">
      <c r="B394" s="1970" t="s">
        <v>4186</v>
      </c>
      <c r="C394" s="1971" t="s">
        <v>4187</v>
      </c>
      <c r="D394" s="1971">
        <v>2.2046226218000002E-3</v>
      </c>
      <c r="E394" s="1973"/>
      <c r="F394" s="1973"/>
      <c r="G394" s="1971" t="s">
        <v>4188</v>
      </c>
      <c r="H394" s="1974"/>
      <c r="I394" s="1974"/>
      <c r="J394" s="1971"/>
    </row>
    <row r="395" spans="2:10" ht="18" outlineLevel="1" x14ac:dyDescent="0.25">
      <c r="B395" s="1970" t="s">
        <v>4189</v>
      </c>
      <c r="C395" s="1971" t="s">
        <v>4190</v>
      </c>
      <c r="D395" s="1973">
        <f>+c_ft_m*c_ft2_m2</f>
        <v>35.314670111696707</v>
      </c>
      <c r="E395" s="1973"/>
      <c r="F395" s="1973"/>
      <c r="G395" s="1971" t="s">
        <v>4191</v>
      </c>
      <c r="H395" s="1974"/>
      <c r="I395" s="1974"/>
      <c r="J395" s="1971"/>
    </row>
    <row r="396" spans="2:10" ht="18" outlineLevel="1" x14ac:dyDescent="0.25">
      <c r="B396" s="1970" t="s">
        <v>4192</v>
      </c>
      <c r="C396" s="1971" t="s">
        <v>4193</v>
      </c>
      <c r="D396" s="1973">
        <f>+c_ft_m^2</f>
        <v>10.7639111056</v>
      </c>
      <c r="E396" s="1973"/>
      <c r="F396" s="1973"/>
      <c r="G396" s="1971" t="s">
        <v>4194</v>
      </c>
      <c r="H396" s="1974"/>
      <c r="I396" s="1974"/>
      <c r="J396" s="1971"/>
    </row>
    <row r="397" spans="2:10" ht="18" outlineLevel="1" x14ac:dyDescent="0.25">
      <c r="B397" s="1970" t="s">
        <v>4195</v>
      </c>
      <c r="C397" s="1971" t="s">
        <v>4196</v>
      </c>
      <c r="D397" s="1971">
        <v>3.28084</v>
      </c>
      <c r="E397" s="1973"/>
      <c r="F397" s="1973"/>
      <c r="G397" s="1971" t="s">
        <v>4197</v>
      </c>
      <c r="H397" s="1974"/>
      <c r="I397" s="1974"/>
      <c r="J397" s="1971"/>
    </row>
    <row r="399" spans="2:10" ht="15.75" thickBot="1" x14ac:dyDescent="0.3">
      <c r="C399" s="2247" t="s">
        <v>958</v>
      </c>
    </row>
    <row r="400" spans="2:10" ht="15.75" thickBot="1" x14ac:dyDescent="0.3">
      <c r="B400" s="2248" t="s">
        <v>0</v>
      </c>
      <c r="C400" s="2249" t="s">
        <v>1</v>
      </c>
      <c r="D400" s="2250" t="s">
        <v>152</v>
      </c>
      <c r="E400" s="2250" t="s">
        <v>470</v>
      </c>
      <c r="F400" s="2250" t="s">
        <v>471</v>
      </c>
      <c r="G400" s="2250" t="s">
        <v>2</v>
      </c>
      <c r="H400" s="2250" t="s">
        <v>298</v>
      </c>
      <c r="I400" s="2250" t="s">
        <v>116</v>
      </c>
      <c r="J400" s="2251" t="s">
        <v>117</v>
      </c>
    </row>
    <row r="401" spans="2:10" ht="18" outlineLevel="1" x14ac:dyDescent="0.25">
      <c r="B401" s="1970" t="s">
        <v>1086</v>
      </c>
      <c r="C401" s="1971" t="s">
        <v>959</v>
      </c>
      <c r="D401" s="1971">
        <v>0</v>
      </c>
      <c r="E401" s="1973"/>
      <c r="F401" s="1973"/>
      <c r="G401" s="1971" t="s">
        <v>3121</v>
      </c>
      <c r="H401" s="1974"/>
      <c r="I401" s="1974"/>
      <c r="J401" s="1971" t="s">
        <v>960</v>
      </c>
    </row>
    <row r="402" spans="2:10" ht="18" outlineLevel="1" x14ac:dyDescent="0.25">
      <c r="B402" s="1970" t="s">
        <v>1087</v>
      </c>
      <c r="C402" s="1971" t="s">
        <v>961</v>
      </c>
      <c r="D402" s="1971">
        <v>-285840</v>
      </c>
      <c r="E402" s="1973"/>
      <c r="F402" s="1973"/>
      <c r="G402" s="1971" t="s">
        <v>3121</v>
      </c>
      <c r="H402" s="1974"/>
      <c r="I402" s="1974"/>
      <c r="J402" s="1971" t="s">
        <v>962</v>
      </c>
    </row>
    <row r="403" spans="2:10" ht="18" outlineLevel="1" x14ac:dyDescent="0.25">
      <c r="B403" s="1970" t="s">
        <v>1088</v>
      </c>
      <c r="C403" s="1971" t="s">
        <v>963</v>
      </c>
      <c r="D403" s="1971">
        <v>-229994</v>
      </c>
      <c r="E403" s="1973"/>
      <c r="F403" s="1973"/>
      <c r="G403" s="1971" t="s">
        <v>3121</v>
      </c>
      <c r="H403" s="1974"/>
      <c r="I403" s="1974"/>
      <c r="J403" s="1971" t="s">
        <v>960</v>
      </c>
    </row>
    <row r="404" spans="2:10" ht="18" outlineLevel="1" x14ac:dyDescent="0.25">
      <c r="B404" s="1970" t="s">
        <v>1089</v>
      </c>
      <c r="C404" s="1971" t="s">
        <v>964</v>
      </c>
      <c r="D404" s="1971">
        <v>-80920</v>
      </c>
      <c r="E404" s="1973"/>
      <c r="F404" s="1973"/>
      <c r="G404" s="1971" t="s">
        <v>3121</v>
      </c>
      <c r="H404" s="1974"/>
      <c r="I404" s="1974"/>
      <c r="J404" s="1971" t="s">
        <v>960</v>
      </c>
    </row>
    <row r="405" spans="2:10" ht="18" outlineLevel="1" x14ac:dyDescent="0.25">
      <c r="B405" s="1970" t="s">
        <v>1090</v>
      </c>
      <c r="C405" s="1971" t="s">
        <v>965</v>
      </c>
      <c r="D405" s="1971">
        <v>-132510</v>
      </c>
      <c r="E405" s="1973"/>
      <c r="F405" s="1973"/>
      <c r="G405" s="1971" t="s">
        <v>3121</v>
      </c>
      <c r="H405" s="1974"/>
      <c r="I405" s="1974"/>
      <c r="J405" s="1971" t="s">
        <v>960</v>
      </c>
    </row>
    <row r="406" spans="2:10" ht="18" outlineLevel="1" x14ac:dyDescent="0.25">
      <c r="B406" s="1970" t="s">
        <v>1091</v>
      </c>
      <c r="C406" s="1971" t="s">
        <v>966</v>
      </c>
      <c r="D406" s="1971">
        <v>-119200</v>
      </c>
      <c r="E406" s="1973"/>
      <c r="F406" s="1973"/>
      <c r="G406" s="1971" t="s">
        <v>3121</v>
      </c>
      <c r="H406" s="1974"/>
      <c r="I406" s="1974"/>
      <c r="J406" s="1971" t="s">
        <v>960</v>
      </c>
    </row>
    <row r="407" spans="2:10" ht="18" outlineLevel="1" x14ac:dyDescent="0.25">
      <c r="B407" s="1970" t="s">
        <v>1092</v>
      </c>
      <c r="C407" s="1971" t="s">
        <v>967</v>
      </c>
      <c r="D407" s="1971">
        <v>-106000</v>
      </c>
      <c r="E407" s="1973"/>
      <c r="F407" s="1973"/>
      <c r="G407" s="1971" t="s">
        <v>3121</v>
      </c>
      <c r="H407" s="1974"/>
      <c r="I407" s="1974"/>
      <c r="J407" s="1971" t="s">
        <v>962</v>
      </c>
    </row>
    <row r="408" spans="2:10" ht="18" outlineLevel="1" x14ac:dyDescent="0.25">
      <c r="B408" s="1970" t="s">
        <v>1093</v>
      </c>
      <c r="C408" s="1971" t="s">
        <v>968</v>
      </c>
      <c r="D408" s="1971">
        <v>-205000</v>
      </c>
      <c r="E408" s="1973"/>
      <c r="F408" s="1973"/>
      <c r="G408" s="1971" t="s">
        <v>3121</v>
      </c>
      <c r="H408" s="1974"/>
      <c r="I408" s="1974"/>
      <c r="J408" s="1971" t="s">
        <v>960</v>
      </c>
    </row>
    <row r="409" spans="2:10" ht="18" outlineLevel="1" x14ac:dyDescent="0.25">
      <c r="B409" s="1970" t="s">
        <v>1094</v>
      </c>
      <c r="C409" s="1971" t="s">
        <v>969</v>
      </c>
      <c r="D409" s="1971">
        <v>-699650</v>
      </c>
      <c r="E409" s="1973"/>
      <c r="F409" s="1973"/>
      <c r="G409" s="1971" t="s">
        <v>3121</v>
      </c>
      <c r="H409" s="1974"/>
      <c r="I409" s="1974"/>
      <c r="J409" s="1971" t="s">
        <v>960</v>
      </c>
    </row>
    <row r="410" spans="2:10" ht="18" outlineLevel="1" x14ac:dyDescent="0.25">
      <c r="B410" s="1970" t="s">
        <v>1095</v>
      </c>
      <c r="C410" s="1971" t="s">
        <v>970</v>
      </c>
      <c r="D410" s="1971">
        <v>-691990</v>
      </c>
      <c r="E410" s="1973"/>
      <c r="F410" s="1973"/>
      <c r="G410" s="1971" t="s">
        <v>3121</v>
      </c>
      <c r="H410" s="1974"/>
      <c r="I410" s="1974"/>
      <c r="J410" s="1971" t="s">
        <v>960</v>
      </c>
    </row>
    <row r="411" spans="2:10" ht="18" outlineLevel="1" x14ac:dyDescent="0.25">
      <c r="B411" s="1970" t="s">
        <v>1096</v>
      </c>
      <c r="C411" s="1971" t="s">
        <v>971</v>
      </c>
      <c r="D411" s="1971">
        <v>-677140</v>
      </c>
      <c r="E411" s="1973"/>
      <c r="F411" s="1973"/>
      <c r="G411" s="1971" t="s">
        <v>3121</v>
      </c>
      <c r="H411" s="1974"/>
      <c r="I411" s="1974"/>
      <c r="J411" s="1971" t="s">
        <v>960</v>
      </c>
    </row>
    <row r="412" spans="2:10" ht="18" outlineLevel="1" x14ac:dyDescent="0.25">
      <c r="B412" s="1970" t="s">
        <v>1097</v>
      </c>
      <c r="C412" s="1971" t="s">
        <v>4198</v>
      </c>
      <c r="D412" s="1971">
        <v>-1299144</v>
      </c>
      <c r="E412" s="1973"/>
      <c r="F412" s="1973"/>
      <c r="G412" s="1971" t="s">
        <v>3121</v>
      </c>
      <c r="H412" s="1974"/>
      <c r="I412" s="1974"/>
      <c r="J412" s="1971" t="s">
        <v>972</v>
      </c>
    </row>
    <row r="413" spans="2:10" ht="18" outlineLevel="1" x14ac:dyDescent="0.25">
      <c r="B413" s="1970" t="s">
        <v>1098</v>
      </c>
      <c r="C413" s="1971" t="s">
        <v>973</v>
      </c>
      <c r="D413" s="1971">
        <v>1296000</v>
      </c>
      <c r="E413" s="1973"/>
      <c r="F413" s="1973"/>
      <c r="G413" s="1971" t="s">
        <v>3121</v>
      </c>
      <c r="H413" s="1974"/>
      <c r="I413" s="1974"/>
      <c r="J413" s="1971" t="s">
        <v>974</v>
      </c>
    </row>
    <row r="414" spans="2:10" ht="18" outlineLevel="1" x14ac:dyDescent="0.25">
      <c r="B414" s="1970" t="s">
        <v>1099</v>
      </c>
      <c r="C414" s="1971" t="s">
        <v>975</v>
      </c>
      <c r="D414" s="1971">
        <v>-1292000</v>
      </c>
      <c r="E414" s="1973"/>
      <c r="F414" s="1973"/>
      <c r="G414" s="1971" t="s">
        <v>3121</v>
      </c>
      <c r="H414" s="1974"/>
      <c r="I414" s="1974"/>
      <c r="J414" s="1971" t="s">
        <v>974</v>
      </c>
    </row>
    <row r="415" spans="2:10" ht="18" outlineLevel="1" x14ac:dyDescent="0.25">
      <c r="B415" s="1970" t="s">
        <v>1100</v>
      </c>
      <c r="C415" s="1971" t="s">
        <v>976</v>
      </c>
      <c r="D415" s="1971">
        <v>-1277400</v>
      </c>
      <c r="E415" s="1973"/>
      <c r="F415" s="1973"/>
      <c r="G415" s="1971" t="s">
        <v>3121</v>
      </c>
      <c r="H415" s="1974"/>
      <c r="I415" s="1974"/>
      <c r="J415" s="1971" t="s">
        <v>960</v>
      </c>
    </row>
    <row r="416" spans="2:10" ht="18" outlineLevel="1" x14ac:dyDescent="0.25">
      <c r="B416" s="1970" t="s">
        <v>1101</v>
      </c>
      <c r="C416" s="1971" t="s">
        <v>977</v>
      </c>
      <c r="D416" s="1971">
        <v>-488453</v>
      </c>
      <c r="E416" s="1973"/>
      <c r="F416" s="1973"/>
      <c r="G416" s="1971" t="s">
        <v>3121</v>
      </c>
      <c r="H416" s="1974"/>
      <c r="I416" s="1974"/>
      <c r="J416" s="1971" t="s">
        <v>962</v>
      </c>
    </row>
    <row r="417" spans="2:10" ht="18" outlineLevel="1" x14ac:dyDescent="0.25">
      <c r="B417" s="1970" t="s">
        <v>1102</v>
      </c>
      <c r="C417" s="1971" t="s">
        <v>978</v>
      </c>
      <c r="D417" s="1971">
        <v>-488871</v>
      </c>
      <c r="E417" s="1973"/>
      <c r="F417" s="1973"/>
      <c r="G417" s="1971" t="s">
        <v>3121</v>
      </c>
      <c r="H417" s="1974"/>
      <c r="I417" s="1974"/>
      <c r="J417" s="1971" t="s">
        <v>962</v>
      </c>
    </row>
    <row r="418" spans="2:10" ht="18" outlineLevel="1" x14ac:dyDescent="0.25">
      <c r="B418" s="1970" t="s">
        <v>1350</v>
      </c>
      <c r="C418" s="1971" t="s">
        <v>1276</v>
      </c>
      <c r="D418" s="1971">
        <v>-39000</v>
      </c>
      <c r="E418" s="1973"/>
      <c r="F418" s="1973"/>
      <c r="G418" s="1971" t="s">
        <v>3121</v>
      </c>
      <c r="H418" s="1974"/>
      <c r="I418" s="1974"/>
      <c r="J418" s="1971" t="s">
        <v>962</v>
      </c>
    </row>
    <row r="419" spans="2:10" ht="18" outlineLevel="1" x14ac:dyDescent="0.25">
      <c r="B419" s="1970" t="s">
        <v>1351</v>
      </c>
      <c r="C419" s="1971" t="s">
        <v>1277</v>
      </c>
      <c r="D419" s="1971">
        <v>-17000</v>
      </c>
      <c r="E419" s="1973"/>
      <c r="F419" s="1973"/>
      <c r="G419" s="1971" t="s">
        <v>3121</v>
      </c>
      <c r="H419" s="1974"/>
      <c r="I419" s="1974"/>
      <c r="J419" s="1971" t="s">
        <v>1278</v>
      </c>
    </row>
    <row r="420" spans="2:10" ht="18" outlineLevel="1" x14ac:dyDescent="0.25">
      <c r="B420" s="1970" t="s">
        <v>1352</v>
      </c>
      <c r="C420" s="1971" t="s">
        <v>1279</v>
      </c>
      <c r="D420" s="1971">
        <v>33000</v>
      </c>
      <c r="E420" s="1973"/>
      <c r="F420" s="1973"/>
      <c r="G420" s="1971" t="s">
        <v>3121</v>
      </c>
      <c r="H420" s="1974"/>
      <c r="I420" s="1974"/>
      <c r="J420" s="1971" t="s">
        <v>962</v>
      </c>
    </row>
    <row r="421" spans="2:10" ht="18" outlineLevel="1" x14ac:dyDescent="0.25">
      <c r="B421" s="1970" t="s">
        <v>1353</v>
      </c>
      <c r="C421" s="1971" t="s">
        <v>1280</v>
      </c>
      <c r="D421" s="1971">
        <v>-909000</v>
      </c>
      <c r="E421" s="1973"/>
      <c r="F421" s="1973"/>
      <c r="G421" s="1971" t="s">
        <v>3121</v>
      </c>
      <c r="H421" s="1974"/>
      <c r="I421" s="1974"/>
      <c r="J421" s="1971" t="s">
        <v>974</v>
      </c>
    </row>
    <row r="422" spans="2:10" ht="18" outlineLevel="1" x14ac:dyDescent="0.25">
      <c r="B422" s="1970" t="s">
        <v>1354</v>
      </c>
      <c r="C422" s="1971" t="s">
        <v>1281</v>
      </c>
      <c r="D422" s="1971">
        <v>-887000</v>
      </c>
      <c r="E422" s="1973"/>
      <c r="F422" s="1973"/>
      <c r="G422" s="1971" t="s">
        <v>3121</v>
      </c>
      <c r="H422" s="1974"/>
      <c r="I422" s="1974"/>
      <c r="J422" s="1971" t="s">
        <v>1282</v>
      </c>
    </row>
    <row r="423" spans="2:10" ht="18" outlineLevel="1" x14ac:dyDescent="0.25">
      <c r="B423" s="1970" t="s">
        <v>1355</v>
      </c>
      <c r="C423" s="1971" t="s">
        <v>1283</v>
      </c>
      <c r="D423" s="1971">
        <v>-909000</v>
      </c>
      <c r="E423" s="1973"/>
      <c r="F423" s="1973"/>
      <c r="G423" s="1971" t="s">
        <v>3121</v>
      </c>
      <c r="H423" s="1974"/>
      <c r="I423" s="1974"/>
      <c r="J423" s="1971" t="s">
        <v>974</v>
      </c>
    </row>
    <row r="424" spans="2:10" ht="18" outlineLevel="1" x14ac:dyDescent="0.25">
      <c r="B424" s="1970" t="s">
        <v>1312</v>
      </c>
      <c r="C424" s="1971" t="s">
        <v>1313</v>
      </c>
      <c r="D424" s="1971">
        <v>-542960</v>
      </c>
      <c r="E424" s="1973"/>
      <c r="F424" s="1973"/>
      <c r="G424" s="1971" t="s">
        <v>3121</v>
      </c>
      <c r="H424" s="1974"/>
      <c r="I424" s="1974"/>
      <c r="J424" s="1971" t="s">
        <v>962</v>
      </c>
    </row>
    <row r="425" spans="2:10" ht="18" outlineLevel="1" x14ac:dyDescent="0.25">
      <c r="B425" s="1970" t="s">
        <v>1314</v>
      </c>
      <c r="C425" s="1971" t="s">
        <v>3531</v>
      </c>
      <c r="D425" s="1971">
        <v>-461960</v>
      </c>
      <c r="E425" s="1973"/>
      <c r="F425" s="1973"/>
      <c r="G425" s="1971" t="s">
        <v>3121</v>
      </c>
      <c r="H425" s="1974"/>
      <c r="I425" s="1974"/>
      <c r="J425" s="1971" t="s">
        <v>962</v>
      </c>
    </row>
    <row r="426" spans="2:10" ht="18" outlineLevel="1" x14ac:dyDescent="0.25">
      <c r="B426" s="1970" t="s">
        <v>1315</v>
      </c>
      <c r="C426" s="1971" t="s">
        <v>1316</v>
      </c>
      <c r="D426" s="1971">
        <v>-239660</v>
      </c>
      <c r="E426" s="1973"/>
      <c r="F426" s="1973"/>
      <c r="G426" s="1971" t="s">
        <v>3121</v>
      </c>
      <c r="H426" s="1974"/>
      <c r="I426" s="1974"/>
      <c r="J426" s="1971" t="s">
        <v>962</v>
      </c>
    </row>
    <row r="428" spans="2:10" ht="15.75" thickBot="1" x14ac:dyDescent="0.3">
      <c r="C428" s="2247" t="s">
        <v>979</v>
      </c>
    </row>
    <row r="429" spans="2:10" ht="15.75" thickBot="1" x14ac:dyDescent="0.3">
      <c r="B429" s="2248" t="s">
        <v>0</v>
      </c>
      <c r="C429" s="2249" t="s">
        <v>1</v>
      </c>
      <c r="D429" s="2250" t="s">
        <v>152</v>
      </c>
      <c r="E429" s="2250" t="s">
        <v>470</v>
      </c>
      <c r="F429" s="2250" t="s">
        <v>471</v>
      </c>
      <c r="G429" s="2250" t="s">
        <v>2</v>
      </c>
      <c r="H429" s="2250" t="s">
        <v>298</v>
      </c>
      <c r="I429" s="2250" t="s">
        <v>116</v>
      </c>
      <c r="J429" s="2251" t="s">
        <v>117</v>
      </c>
    </row>
    <row r="430" spans="2:10" ht="18" x14ac:dyDescent="0.25">
      <c r="B430" s="1970" t="s">
        <v>980</v>
      </c>
      <c r="C430" s="1971" t="s">
        <v>981</v>
      </c>
      <c r="D430" s="1971">
        <v>-286933.08</v>
      </c>
      <c r="E430" s="1973"/>
      <c r="F430" s="1973"/>
      <c r="G430" s="1971" t="s">
        <v>3121</v>
      </c>
      <c r="H430" s="1974"/>
      <c r="I430" s="1974"/>
      <c r="J430" s="1971" t="s">
        <v>982</v>
      </c>
    </row>
    <row r="432" spans="2:10" ht="15.75" thickBot="1" x14ac:dyDescent="0.3">
      <c r="C432" s="2247" t="s">
        <v>2060</v>
      </c>
    </row>
    <row r="433" spans="2:12" ht="15.75" thickBot="1" x14ac:dyDescent="0.3">
      <c r="B433" s="2248" t="s">
        <v>0</v>
      </c>
      <c r="C433" s="2249" t="s">
        <v>1</v>
      </c>
      <c r="D433" s="2250" t="s">
        <v>152</v>
      </c>
      <c r="E433" s="2250" t="s">
        <v>470</v>
      </c>
      <c r="F433" s="2250" t="s">
        <v>471</v>
      </c>
      <c r="G433" s="2250" t="s">
        <v>2</v>
      </c>
      <c r="H433" s="2250" t="s">
        <v>298</v>
      </c>
      <c r="I433" s="2250" t="s">
        <v>116</v>
      </c>
      <c r="J433" s="2251" t="s">
        <v>117</v>
      </c>
      <c r="L433" s="1969" t="s">
        <v>2061</v>
      </c>
    </row>
    <row r="434" spans="2:12" ht="18" outlineLevel="1" x14ac:dyDescent="0.25">
      <c r="B434" s="1970" t="s">
        <v>2062</v>
      </c>
      <c r="C434" s="1971" t="s">
        <v>2063</v>
      </c>
      <c r="D434" s="1971">
        <v>58032.160000000098</v>
      </c>
      <c r="E434" s="1973"/>
      <c r="F434" s="1973"/>
      <c r="G434" s="1971" t="s">
        <v>3121</v>
      </c>
      <c r="H434" s="1974">
        <v>1</v>
      </c>
      <c r="I434" s="1974"/>
      <c r="J434" s="1971" t="s">
        <v>2064</v>
      </c>
      <c r="L434" s="1969">
        <f>(H_OHm+H_H3Op) - 2*H_H2O</f>
        <v>58032.160000000033</v>
      </c>
    </row>
    <row r="435" spans="2:12" ht="18" outlineLevel="1" x14ac:dyDescent="0.25">
      <c r="B435" s="1970" t="s">
        <v>2065</v>
      </c>
      <c r="C435" s="1971" t="s">
        <v>2066</v>
      </c>
      <c r="D435" s="1971">
        <v>5349.0800000000099</v>
      </c>
      <c r="E435" s="1973"/>
      <c r="F435" s="1973"/>
      <c r="G435" s="1971" t="s">
        <v>3121</v>
      </c>
      <c r="H435" s="1974">
        <v>1</v>
      </c>
      <c r="I435" s="1974"/>
      <c r="J435" s="1971" t="s">
        <v>2467</v>
      </c>
      <c r="L435" s="1969">
        <f>(H_NH4p + H_OHm) - (H_NH3 + H_H2O)</f>
        <v>5349.0800000000163</v>
      </c>
    </row>
    <row r="436" spans="2:12" ht="18" outlineLevel="1" x14ac:dyDescent="0.25">
      <c r="B436" s="1970" t="s">
        <v>2468</v>
      </c>
      <c r="C436" s="1971" t="s">
        <v>2469</v>
      </c>
      <c r="D436" s="1971">
        <v>14293.080000000031</v>
      </c>
      <c r="E436" s="1973"/>
      <c r="F436" s="1973"/>
      <c r="G436" s="1971" t="s">
        <v>3121</v>
      </c>
      <c r="H436" s="1974">
        <v>1</v>
      </c>
      <c r="I436" s="1974"/>
      <c r="J436" s="1971" t="s">
        <v>2470</v>
      </c>
      <c r="L436" s="1969">
        <f>(H_H3Op+H_NO2m)-(H_HNO2+H_H2O)</f>
        <v>14293.080000000016</v>
      </c>
    </row>
    <row r="437" spans="2:12" ht="18" outlineLevel="1" x14ac:dyDescent="0.25">
      <c r="B437" s="1970" t="s">
        <v>2067</v>
      </c>
      <c r="C437" s="1971" t="s">
        <v>2068</v>
      </c>
      <c r="D437" s="1971">
        <v>8753.0800000000672</v>
      </c>
      <c r="E437" s="1973"/>
      <c r="F437" s="1973"/>
      <c r="G437" s="1971" t="s">
        <v>3121</v>
      </c>
      <c r="H437" s="1974">
        <v>1</v>
      </c>
      <c r="I437" s="1974"/>
      <c r="J437" s="1971" t="s">
        <v>2069</v>
      </c>
      <c r="L437" s="1969">
        <f>(H_HCO3m + H_H3Op) - (H_H2CO3 + H_H2O)</f>
        <v>8753.0800000000745</v>
      </c>
    </row>
    <row r="438" spans="2:12" ht="18" outlineLevel="1" x14ac:dyDescent="0.25">
      <c r="B438" s="1970" t="s">
        <v>2070</v>
      </c>
      <c r="C438" s="1971" t="s">
        <v>2071</v>
      </c>
      <c r="D438" s="1971">
        <v>15943.080000000009</v>
      </c>
      <c r="E438" s="1973"/>
      <c r="F438" s="1973"/>
      <c r="G438" s="1971" t="s">
        <v>3121</v>
      </c>
      <c r="H438" s="1974">
        <v>1</v>
      </c>
      <c r="I438" s="1974"/>
      <c r="J438" s="1971" t="s">
        <v>2072</v>
      </c>
      <c r="L438" s="1969">
        <f>(H_H3Op + H_CO32m) - (H_HCO3m + H_H2O)</f>
        <v>15943.080000000075</v>
      </c>
    </row>
    <row r="439" spans="2:12" ht="18" outlineLevel="1" x14ac:dyDescent="0.25">
      <c r="B439" s="1970" t="s">
        <v>2073</v>
      </c>
      <c r="C439" s="1971" t="s">
        <v>2074</v>
      </c>
      <c r="D439" s="1971">
        <v>2596237.08</v>
      </c>
      <c r="E439" s="1973"/>
      <c r="F439" s="1973"/>
      <c r="G439" s="1971" t="s">
        <v>3121</v>
      </c>
      <c r="H439" s="1974">
        <v>1</v>
      </c>
      <c r="I439" s="1974"/>
      <c r="J439" s="1971" t="s">
        <v>2075</v>
      </c>
      <c r="L439" s="1969">
        <f>(H_H3Op + H_H2PO4m) - (H_H3PO4 + H_H2O)</f>
        <v>2596237.08</v>
      </c>
    </row>
    <row r="440" spans="2:12" ht="18" outlineLevel="1" x14ac:dyDescent="0.25">
      <c r="B440" s="1970" t="s">
        <v>2076</v>
      </c>
      <c r="C440" s="1971" t="s">
        <v>2077</v>
      </c>
      <c r="D440" s="1971">
        <v>-2586906.92</v>
      </c>
      <c r="E440" s="1973"/>
      <c r="F440" s="1973"/>
      <c r="G440" s="1971" t="s">
        <v>3121</v>
      </c>
      <c r="H440" s="1974">
        <v>1</v>
      </c>
      <c r="I440" s="1974"/>
      <c r="J440" s="1971" t="s">
        <v>2078</v>
      </c>
      <c r="L440" s="1969">
        <f>(H_H3Op + H_HPO42m) - (H_H2PO4m + H_H2O)</f>
        <v>-2586906.92</v>
      </c>
    </row>
    <row r="441" spans="2:12" ht="18" outlineLevel="1" x14ac:dyDescent="0.25">
      <c r="B441" s="1970" t="s">
        <v>2079</v>
      </c>
      <c r="C441" s="1971" t="s">
        <v>2080</v>
      </c>
      <c r="D441" s="1971">
        <v>15693.080000000009</v>
      </c>
      <c r="E441" s="1973"/>
      <c r="F441" s="1973"/>
      <c r="G441" s="1971" t="s">
        <v>3121</v>
      </c>
      <c r="H441" s="1974">
        <v>1</v>
      </c>
      <c r="I441" s="1974"/>
      <c r="J441" s="1971" t="s">
        <v>2081</v>
      </c>
      <c r="L441" s="1969">
        <f>(H_H3Op + H_PO43m) - (H_HPO42m + H_H2O)</f>
        <v>15693.080000000075</v>
      </c>
    </row>
    <row r="442" spans="2:12" ht="18" outlineLevel="1" x14ac:dyDescent="0.25">
      <c r="B442" s="1970" t="s">
        <v>2082</v>
      </c>
      <c r="C442" s="1971" t="s">
        <v>2083</v>
      </c>
      <c r="D442" s="1971">
        <v>675.07999999997992</v>
      </c>
      <c r="E442" s="1973"/>
      <c r="F442" s="1973"/>
      <c r="G442" s="1971" t="s">
        <v>3121</v>
      </c>
      <c r="H442" s="1974">
        <v>1</v>
      </c>
      <c r="I442" s="1974"/>
      <c r="J442" s="1971" t="s">
        <v>2084</v>
      </c>
      <c r="L442" s="1969">
        <f>(H_H3Op + H_Acm) - (H_HAc + H_H2O)</f>
        <v>675.08000000007451</v>
      </c>
    </row>
    <row r="443" spans="2:12" ht="18" outlineLevel="1" x14ac:dyDescent="0.25">
      <c r="B443" s="2265" t="s">
        <v>4199</v>
      </c>
      <c r="C443" s="2265" t="s">
        <v>4200</v>
      </c>
      <c r="D443" s="2265">
        <v>660</v>
      </c>
      <c r="E443" s="2266"/>
      <c r="F443" s="2265"/>
      <c r="G443" s="2267" t="s">
        <v>3121</v>
      </c>
      <c r="H443" s="2268">
        <v>1</v>
      </c>
      <c r="I443" s="2265"/>
      <c r="J443" s="2265" t="s">
        <v>4201</v>
      </c>
    </row>
    <row r="444" spans="2:12" ht="18" outlineLevel="1" x14ac:dyDescent="0.25">
      <c r="B444" s="2265" t="s">
        <v>4202</v>
      </c>
      <c r="C444" s="2265" t="s">
        <v>4203</v>
      </c>
      <c r="D444" s="2265">
        <v>2800</v>
      </c>
      <c r="E444" s="2266"/>
      <c r="F444" s="2265"/>
      <c r="G444" s="2267" t="s">
        <v>3121</v>
      </c>
      <c r="H444" s="2268">
        <v>1</v>
      </c>
      <c r="I444" s="2265"/>
      <c r="J444" s="2265" t="s">
        <v>4201</v>
      </c>
    </row>
    <row r="445" spans="2:12" ht="18" outlineLevel="1" x14ac:dyDescent="0.25">
      <c r="B445" s="2265" t="s">
        <v>4204</v>
      </c>
      <c r="C445" s="2265" t="s">
        <v>4205</v>
      </c>
      <c r="D445" s="2265">
        <v>2887</v>
      </c>
      <c r="E445" s="2266"/>
      <c r="F445" s="2265"/>
      <c r="G445" s="2267" t="s">
        <v>3121</v>
      </c>
      <c r="H445" s="2268">
        <v>1</v>
      </c>
      <c r="I445" s="2265"/>
      <c r="J445" s="2265" t="s">
        <v>4201</v>
      </c>
    </row>
    <row r="446" spans="2:12" ht="18" outlineLevel="1" x14ac:dyDescent="0.25">
      <c r="B446" s="1970" t="s">
        <v>2085</v>
      </c>
      <c r="C446" s="1971" t="s">
        <v>2086</v>
      </c>
      <c r="D446" s="1971">
        <v>23093.080000000042</v>
      </c>
      <c r="E446" s="1973"/>
      <c r="F446" s="1973"/>
      <c r="G446" s="1971" t="s">
        <v>3121</v>
      </c>
      <c r="H446" s="1974">
        <v>1</v>
      </c>
      <c r="I446" s="1974"/>
      <c r="J446" s="1971" t="s">
        <v>2087</v>
      </c>
      <c r="L446" s="1969">
        <f>(H_HSm+H_H3Op)-(H_H2S+H_H2O)</f>
        <v>23093.080000000016</v>
      </c>
    </row>
    <row r="447" spans="2:12" ht="18" outlineLevel="1" x14ac:dyDescent="0.25">
      <c r="B447" s="1970" t="s">
        <v>2088</v>
      </c>
      <c r="C447" s="1971" t="s">
        <v>2089</v>
      </c>
      <c r="D447" s="1971">
        <v>51093.080000000045</v>
      </c>
      <c r="E447" s="1973"/>
      <c r="F447" s="1973"/>
      <c r="G447" s="1971" t="s">
        <v>3121</v>
      </c>
      <c r="H447" s="1974">
        <v>1</v>
      </c>
      <c r="I447" s="1974"/>
      <c r="J447" s="1971" t="s">
        <v>2090</v>
      </c>
      <c r="L447" s="1969">
        <f>(H_H3Op+H_S2m)-(H_HSm+H_H2O)</f>
        <v>51093.080000000016</v>
      </c>
    </row>
    <row r="448" spans="2:12" ht="18" outlineLevel="1" x14ac:dyDescent="0.25">
      <c r="B448" s="1970" t="s">
        <v>2091</v>
      </c>
      <c r="C448" s="1971" t="s">
        <v>2092</v>
      </c>
      <c r="D448" s="1971">
        <v>23093.0800000001</v>
      </c>
      <c r="E448" s="1973"/>
      <c r="F448" s="1973"/>
      <c r="G448" s="1971" t="s">
        <v>3121</v>
      </c>
      <c r="H448" s="1974">
        <v>1</v>
      </c>
      <c r="I448" s="1974"/>
      <c r="J448" s="1971" t="s">
        <v>2093</v>
      </c>
      <c r="L448" s="1969">
        <f>(H_HSO4m+H_H3Op)-(H_H2SO4+H_H2O)</f>
        <v>23093.080000000075</v>
      </c>
    </row>
    <row r="449" spans="2:12" ht="18" outlineLevel="1" x14ac:dyDescent="0.25">
      <c r="B449" s="1970" t="s">
        <v>2094</v>
      </c>
      <c r="C449" s="1971" t="s">
        <v>2095</v>
      </c>
      <c r="D449" s="1971">
        <v>-20906.9199999999</v>
      </c>
      <c r="E449" s="1973"/>
      <c r="F449" s="1973"/>
      <c r="G449" s="1971" t="s">
        <v>3121</v>
      </c>
      <c r="H449" s="1974">
        <v>1</v>
      </c>
      <c r="I449" s="1974"/>
      <c r="J449" s="1971" t="s">
        <v>2096</v>
      </c>
      <c r="L449" s="1969">
        <f>(H_H3Op+H_SO42m)-(H_HSO4m+H_H2O)</f>
        <v>-20906.919999999925</v>
      </c>
    </row>
    <row r="450" spans="2:12" ht="18" outlineLevel="1" x14ac:dyDescent="0.25">
      <c r="B450" s="1970" t="s">
        <v>2097</v>
      </c>
      <c r="C450" s="1971" t="s">
        <v>2098</v>
      </c>
      <c r="D450" s="1971">
        <v>64110</v>
      </c>
      <c r="E450" s="1973"/>
      <c r="F450" s="1973"/>
      <c r="G450" s="1971" t="s">
        <v>3121</v>
      </c>
      <c r="H450" s="1974">
        <v>1</v>
      </c>
      <c r="I450" s="1974"/>
      <c r="J450" s="1971"/>
    </row>
    <row r="451" spans="2:12" ht="18" outlineLevel="1" x14ac:dyDescent="0.25">
      <c r="B451" s="1970" t="s">
        <v>2099</v>
      </c>
      <c r="C451" s="1971" t="s">
        <v>2100</v>
      </c>
      <c r="D451" s="1971">
        <v>16000</v>
      </c>
      <c r="E451" s="1973"/>
      <c r="F451" s="1973"/>
      <c r="G451" s="1971" t="s">
        <v>3121</v>
      </c>
      <c r="H451" s="1974">
        <v>1</v>
      </c>
      <c r="I451" s="1974"/>
      <c r="J451" s="1971"/>
    </row>
    <row r="452" spans="2:12" ht="18" outlineLevel="1" x14ac:dyDescent="0.25">
      <c r="B452" s="1970" t="s">
        <v>2101</v>
      </c>
      <c r="C452" s="1971" t="s">
        <v>2102</v>
      </c>
      <c r="D452" s="1971">
        <v>5400</v>
      </c>
      <c r="E452" s="1973"/>
      <c r="F452" s="1973"/>
      <c r="G452" s="1971" t="s">
        <v>3121</v>
      </c>
      <c r="H452" s="1974">
        <v>1</v>
      </c>
      <c r="I452" s="1974"/>
      <c r="J452" s="1971"/>
    </row>
    <row r="453" spans="2:12" ht="18" outlineLevel="1" x14ac:dyDescent="0.25">
      <c r="B453" s="1970" t="s">
        <v>2103</v>
      </c>
      <c r="C453" s="1971" t="s">
        <v>2104</v>
      </c>
      <c r="D453" s="1971">
        <v>12970.4</v>
      </c>
      <c r="E453" s="1973"/>
      <c r="F453" s="1973"/>
      <c r="G453" s="1971" t="s">
        <v>3121</v>
      </c>
      <c r="H453" s="1974">
        <v>1</v>
      </c>
      <c r="I453" s="1974"/>
      <c r="J453" s="1971"/>
    </row>
    <row r="454" spans="2:12" ht="18" outlineLevel="1" x14ac:dyDescent="0.25">
      <c r="B454" s="1970" t="s">
        <v>2105</v>
      </c>
      <c r="C454" s="1971" t="s">
        <v>2106</v>
      </c>
      <c r="D454" s="1971">
        <v>-3000</v>
      </c>
      <c r="E454" s="1973"/>
      <c r="F454" s="1973"/>
      <c r="G454" s="1971" t="s">
        <v>3121</v>
      </c>
      <c r="H454" s="1974">
        <v>1</v>
      </c>
      <c r="I454" s="1974"/>
      <c r="J454" s="1971"/>
    </row>
    <row r="455" spans="2:12" ht="18" outlineLevel="1" x14ac:dyDescent="0.25">
      <c r="B455" s="1970" t="s">
        <v>2107</v>
      </c>
      <c r="C455" s="1971" t="s">
        <v>2108</v>
      </c>
      <c r="D455" s="1971">
        <v>-6000</v>
      </c>
      <c r="E455" s="1973"/>
      <c r="F455" s="1973"/>
      <c r="G455" s="1971" t="s">
        <v>3121</v>
      </c>
      <c r="H455" s="1974">
        <v>1</v>
      </c>
      <c r="I455" s="1974"/>
      <c r="J455" s="1971"/>
    </row>
    <row r="456" spans="2:12" ht="18" outlineLevel="1" x14ac:dyDescent="0.25">
      <c r="B456" s="1970" t="s">
        <v>2109</v>
      </c>
      <c r="C456" s="1971" t="s">
        <v>2110</v>
      </c>
      <c r="D456" s="1971">
        <v>67810</v>
      </c>
      <c r="E456" s="1973"/>
      <c r="F456" s="1973"/>
      <c r="G456" s="1971" t="s">
        <v>3121</v>
      </c>
      <c r="H456" s="1974">
        <v>1</v>
      </c>
      <c r="I456" s="1974"/>
      <c r="J456" s="1971"/>
    </row>
    <row r="457" spans="2:12" ht="18" outlineLevel="1" x14ac:dyDescent="0.25">
      <c r="B457" s="1970" t="s">
        <v>2111</v>
      </c>
      <c r="C457" s="1971" t="s">
        <v>2112</v>
      </c>
      <c r="D457" s="1971">
        <v>12000</v>
      </c>
      <c r="E457" s="1973"/>
      <c r="F457" s="1973"/>
      <c r="G457" s="1971" t="s">
        <v>3121</v>
      </c>
      <c r="H457" s="1974">
        <v>1</v>
      </c>
      <c r="I457" s="1974"/>
      <c r="J457" s="1971"/>
    </row>
    <row r="458" spans="2:12" ht="18" outlineLevel="1" x14ac:dyDescent="0.25">
      <c r="B458" s="1970" t="s">
        <v>2113</v>
      </c>
      <c r="C458" s="1971" t="s">
        <v>2114</v>
      </c>
      <c r="D458" s="1971">
        <v>-10600</v>
      </c>
      <c r="E458" s="1973"/>
      <c r="F458" s="1973"/>
      <c r="G458" s="1971" t="s">
        <v>3121</v>
      </c>
      <c r="H458" s="1974">
        <v>1</v>
      </c>
      <c r="I458" s="1974"/>
      <c r="J458" s="1971"/>
    </row>
    <row r="459" spans="2:12" ht="18" outlineLevel="1" x14ac:dyDescent="0.25">
      <c r="B459" s="1970" t="s">
        <v>2115</v>
      </c>
      <c r="C459" s="1971" t="s">
        <v>2116</v>
      </c>
      <c r="D459" s="1971">
        <v>-3000</v>
      </c>
      <c r="E459" s="1973"/>
      <c r="F459" s="1973"/>
      <c r="G459" s="1971" t="s">
        <v>3121</v>
      </c>
      <c r="H459" s="1974">
        <v>1</v>
      </c>
      <c r="I459" s="1974"/>
      <c r="J459" s="1971"/>
    </row>
    <row r="460" spans="2:12" ht="18" outlineLevel="1" x14ac:dyDescent="0.25">
      <c r="B460" s="1970" t="s">
        <v>2117</v>
      </c>
      <c r="C460" s="1971" t="s">
        <v>2118</v>
      </c>
      <c r="D460" s="1971">
        <v>12970.4</v>
      </c>
      <c r="E460" s="1973"/>
      <c r="F460" s="1973"/>
      <c r="G460" s="1971" t="s">
        <v>3121</v>
      </c>
      <c r="H460" s="1974">
        <v>1</v>
      </c>
      <c r="I460" s="1974"/>
      <c r="J460" s="1971"/>
    </row>
    <row r="461" spans="2:12" ht="18" outlineLevel="1" x14ac:dyDescent="0.25">
      <c r="B461" s="1970" t="s">
        <v>2119</v>
      </c>
      <c r="C461" s="1971" t="s">
        <v>2120</v>
      </c>
      <c r="D461" s="1971">
        <v>21256.1</v>
      </c>
      <c r="E461" s="1973"/>
      <c r="F461" s="1973"/>
      <c r="G461" s="1971" t="s">
        <v>3121</v>
      </c>
      <c r="H461" s="1974">
        <v>1</v>
      </c>
      <c r="I461" s="1974"/>
      <c r="J461" s="1971"/>
    </row>
    <row r="462" spans="2:12" ht="18" outlineLevel="1" x14ac:dyDescent="0.25">
      <c r="B462" s="1970" t="s">
        <v>2121</v>
      </c>
      <c r="C462" s="1971" t="s">
        <v>2122</v>
      </c>
      <c r="D462" s="1971">
        <v>0</v>
      </c>
      <c r="E462" s="1973"/>
      <c r="F462" s="1973"/>
      <c r="G462" s="1971" t="s">
        <v>3121</v>
      </c>
      <c r="H462" s="1974">
        <v>1</v>
      </c>
      <c r="I462" s="1974"/>
      <c r="J462" s="1971"/>
    </row>
    <row r="464" spans="2:12" ht="15.75" thickBot="1" x14ac:dyDescent="0.3">
      <c r="C464" s="2247" t="s">
        <v>3532</v>
      </c>
    </row>
    <row r="465" spans="2:12" ht="15.75" thickBot="1" x14ac:dyDescent="0.3">
      <c r="B465" s="2248" t="s">
        <v>0</v>
      </c>
      <c r="C465" s="2249" t="s">
        <v>1</v>
      </c>
      <c r="D465" s="2250" t="s">
        <v>152</v>
      </c>
      <c r="E465" s="2250" t="s">
        <v>470</v>
      </c>
      <c r="F465" s="2250" t="s">
        <v>471</v>
      </c>
      <c r="G465" s="2250" t="s">
        <v>2</v>
      </c>
      <c r="H465" s="2250" t="s">
        <v>298</v>
      </c>
      <c r="I465" s="2250" t="s">
        <v>116</v>
      </c>
      <c r="J465" s="2251" t="s">
        <v>117</v>
      </c>
      <c r="L465" s="1969" t="s">
        <v>2061</v>
      </c>
    </row>
    <row r="466" spans="2:12" ht="18" outlineLevel="1" x14ac:dyDescent="0.25">
      <c r="B466" s="1970" t="s">
        <v>3287</v>
      </c>
      <c r="C466" s="1971" t="s">
        <v>3122</v>
      </c>
      <c r="D466" s="1971">
        <v>2.5000000000000001E-5</v>
      </c>
      <c r="E466" s="1973" t="s">
        <v>1220</v>
      </c>
      <c r="F466" s="1973" t="s">
        <v>1257</v>
      </c>
      <c r="G466" s="1971" t="s">
        <v>3288</v>
      </c>
      <c r="H466" s="1974">
        <v>2</v>
      </c>
      <c r="I466" s="1974"/>
      <c r="J466" s="1971" t="s">
        <v>3123</v>
      </c>
    </row>
    <row r="467" spans="2:12" ht="18" outlineLevel="1" x14ac:dyDescent="0.25">
      <c r="B467" s="1970" t="s">
        <v>3289</v>
      </c>
      <c r="C467" s="1971" t="s">
        <v>3122</v>
      </c>
      <c r="D467" s="1971">
        <v>2.5000000000000001E-5</v>
      </c>
      <c r="E467" s="1973" t="s">
        <v>1220</v>
      </c>
      <c r="F467" s="1973" t="s">
        <v>1257</v>
      </c>
      <c r="G467" s="1971" t="s">
        <v>3288</v>
      </c>
      <c r="H467" s="1974">
        <v>2</v>
      </c>
      <c r="I467" s="1974"/>
      <c r="J467" s="1971" t="s">
        <v>3123</v>
      </c>
    </row>
    <row r="468" spans="2:12" ht="18" outlineLevel="1" x14ac:dyDescent="0.25">
      <c r="B468" s="1970" t="s">
        <v>3290</v>
      </c>
      <c r="C468" s="1971" t="s">
        <v>3122</v>
      </c>
      <c r="D468" s="1971">
        <v>2.5000000000000001E-5</v>
      </c>
      <c r="E468" s="1973" t="s">
        <v>1220</v>
      </c>
      <c r="F468" s="1973" t="s">
        <v>1257</v>
      </c>
      <c r="G468" s="1971" t="s">
        <v>3288</v>
      </c>
      <c r="H468" s="1974">
        <v>2</v>
      </c>
      <c r="I468" s="1974"/>
      <c r="J468" s="1971" t="s">
        <v>3123</v>
      </c>
    </row>
    <row r="469" spans="2:12" ht="18" outlineLevel="1" x14ac:dyDescent="0.25">
      <c r="B469" s="1970" t="s">
        <v>3291</v>
      </c>
      <c r="C469" s="1971" t="s">
        <v>3124</v>
      </c>
      <c r="D469" s="1971">
        <v>1.24E-5</v>
      </c>
      <c r="E469" s="1973" t="s">
        <v>1220</v>
      </c>
      <c r="F469" s="1973" t="s">
        <v>1257</v>
      </c>
      <c r="G469" s="1971" t="s">
        <v>3288</v>
      </c>
      <c r="H469" s="1974">
        <v>2</v>
      </c>
      <c r="I469" s="1974"/>
      <c r="J469" s="1971" t="s">
        <v>3123</v>
      </c>
    </row>
    <row r="470" spans="2:12" ht="18" outlineLevel="1" x14ac:dyDescent="0.25">
      <c r="B470" s="1970" t="s">
        <v>3292</v>
      </c>
      <c r="C470" s="1971" t="s">
        <v>3125</v>
      </c>
      <c r="D470" s="1971">
        <v>1.24E-5</v>
      </c>
      <c r="E470" s="1973" t="s">
        <v>1220</v>
      </c>
      <c r="F470" s="1973" t="s">
        <v>1257</v>
      </c>
      <c r="G470" s="1971" t="s">
        <v>3288</v>
      </c>
      <c r="H470" s="1974">
        <v>2</v>
      </c>
      <c r="I470" s="1974"/>
      <c r="J470" s="1971" t="s">
        <v>3123</v>
      </c>
    </row>
    <row r="471" spans="2:12" ht="18" outlineLevel="1" x14ac:dyDescent="0.25">
      <c r="B471" s="1970" t="s">
        <v>3293</v>
      </c>
      <c r="C471" s="1971" t="s">
        <v>3126</v>
      </c>
      <c r="D471" s="1971">
        <v>1.24E-5</v>
      </c>
      <c r="E471" s="1973" t="s">
        <v>1220</v>
      </c>
      <c r="F471" s="1973" t="s">
        <v>1257</v>
      </c>
      <c r="G471" s="1971" t="s">
        <v>3288</v>
      </c>
      <c r="H471" s="1974">
        <v>2</v>
      </c>
      <c r="I471" s="1974"/>
      <c r="J471" s="1971" t="s">
        <v>3123</v>
      </c>
    </row>
    <row r="472" spans="2:12" ht="18" outlineLevel="1" x14ac:dyDescent="0.25">
      <c r="B472" s="1970" t="s">
        <v>3294</v>
      </c>
      <c r="C472" s="1971" t="s">
        <v>3124</v>
      </c>
      <c r="D472" s="1971">
        <v>1.24E-5</v>
      </c>
      <c r="E472" s="1973" t="s">
        <v>1220</v>
      </c>
      <c r="F472" s="1973" t="s">
        <v>1257</v>
      </c>
      <c r="G472" s="1971" t="s">
        <v>3288</v>
      </c>
      <c r="H472" s="1974">
        <v>2</v>
      </c>
      <c r="I472" s="1974"/>
      <c r="J472" s="1971" t="s">
        <v>3123</v>
      </c>
    </row>
    <row r="473" spans="2:12" ht="18" outlineLevel="1" x14ac:dyDescent="0.25">
      <c r="B473" s="1970" t="s">
        <v>4742</v>
      </c>
      <c r="C473" s="1971" t="s">
        <v>4743</v>
      </c>
      <c r="D473" s="1971">
        <v>1.24E-5</v>
      </c>
      <c r="E473" s="1973" t="s">
        <v>1220</v>
      </c>
      <c r="F473" s="1973" t="s">
        <v>1257</v>
      </c>
      <c r="G473" s="1971" t="s">
        <v>3288</v>
      </c>
      <c r="H473" s="1974">
        <v>2</v>
      </c>
      <c r="I473" s="1974"/>
      <c r="J473" s="1971" t="s">
        <v>3123</v>
      </c>
    </row>
    <row r="474" spans="2:12" ht="18" outlineLevel="1" x14ac:dyDescent="0.25">
      <c r="B474" s="1970" t="s">
        <v>3295</v>
      </c>
      <c r="C474" s="1971" t="s">
        <v>3127</v>
      </c>
      <c r="D474" s="1971">
        <v>1.24E-5</v>
      </c>
      <c r="E474" s="1973" t="s">
        <v>1220</v>
      </c>
      <c r="F474" s="1973" t="s">
        <v>1257</v>
      </c>
      <c r="G474" s="1971" t="s">
        <v>3288</v>
      </c>
      <c r="H474" s="1974">
        <v>2</v>
      </c>
      <c r="I474" s="1974"/>
      <c r="J474" s="1971" t="s">
        <v>3123</v>
      </c>
    </row>
    <row r="475" spans="2:12" ht="18" outlineLevel="1" x14ac:dyDescent="0.25">
      <c r="B475" s="1970" t="s">
        <v>3296</v>
      </c>
      <c r="C475" s="1971" t="s">
        <v>3127</v>
      </c>
      <c r="D475" s="1971">
        <v>1.24E-5</v>
      </c>
      <c r="E475" s="1973" t="s">
        <v>1220</v>
      </c>
      <c r="F475" s="1973" t="s">
        <v>1257</v>
      </c>
      <c r="G475" s="1971" t="s">
        <v>3288</v>
      </c>
      <c r="H475" s="1974">
        <v>2</v>
      </c>
      <c r="I475" s="1974"/>
      <c r="J475" s="1971" t="s">
        <v>3123</v>
      </c>
    </row>
    <row r="476" spans="2:12" ht="18" outlineLevel="1" x14ac:dyDescent="0.25">
      <c r="B476" s="1970" t="s">
        <v>3297</v>
      </c>
      <c r="C476" s="1971" t="s">
        <v>3128</v>
      </c>
      <c r="D476" s="1971">
        <v>1.24E-5</v>
      </c>
      <c r="E476" s="1973" t="s">
        <v>1220</v>
      </c>
      <c r="F476" s="1973" t="s">
        <v>1257</v>
      </c>
      <c r="G476" s="1971" t="s">
        <v>3288</v>
      </c>
      <c r="H476" s="1974">
        <v>2</v>
      </c>
      <c r="I476" s="1974"/>
      <c r="J476" s="1971" t="s">
        <v>3123</v>
      </c>
    </row>
    <row r="477" spans="2:12" ht="18" outlineLevel="1" x14ac:dyDescent="0.25">
      <c r="B477" s="1970" t="s">
        <v>3298</v>
      </c>
      <c r="C477" s="1971" t="s">
        <v>3129</v>
      </c>
      <c r="D477" s="1971">
        <v>1.0000000000000001E-5</v>
      </c>
      <c r="E477" s="1973" t="s">
        <v>1220</v>
      </c>
      <c r="F477" s="1973" t="s">
        <v>1257</v>
      </c>
      <c r="G477" s="1971" t="s">
        <v>3288</v>
      </c>
      <c r="H477" s="1974">
        <v>2</v>
      </c>
      <c r="I477" s="1974"/>
      <c r="J477" s="1971"/>
    </row>
    <row r="478" spans="2:12" ht="18" outlineLevel="1" x14ac:dyDescent="0.25">
      <c r="B478" s="1970" t="s">
        <v>3299</v>
      </c>
      <c r="C478" s="1971" t="s">
        <v>3129</v>
      </c>
      <c r="D478" s="1971">
        <v>1.0000000000000001E-5</v>
      </c>
      <c r="E478" s="1973" t="s">
        <v>1220</v>
      </c>
      <c r="F478" s="1973" t="s">
        <v>1257</v>
      </c>
      <c r="G478" s="1971" t="s">
        <v>3288</v>
      </c>
      <c r="H478" s="1974">
        <v>2</v>
      </c>
      <c r="I478" s="1974"/>
      <c r="J478" s="1971"/>
    </row>
    <row r="479" spans="2:12" ht="18" outlineLevel="1" x14ac:dyDescent="0.25">
      <c r="B479" s="1970" t="s">
        <v>3331</v>
      </c>
      <c r="C479" s="1971" t="s">
        <v>3160</v>
      </c>
      <c r="D479" s="1971">
        <v>2.5000000000000002E-6</v>
      </c>
      <c r="E479" s="1973" t="s">
        <v>1220</v>
      </c>
      <c r="F479" s="1973" t="s">
        <v>1257</v>
      </c>
      <c r="G479" s="1971" t="s">
        <v>3288</v>
      </c>
      <c r="H479" s="1974">
        <v>2</v>
      </c>
      <c r="I479" s="1974"/>
      <c r="J479" s="1971" t="s">
        <v>3123</v>
      </c>
    </row>
    <row r="480" spans="2:12" ht="18" outlineLevel="1" x14ac:dyDescent="0.25">
      <c r="B480" s="1970" t="s">
        <v>3332</v>
      </c>
      <c r="C480" s="1971" t="s">
        <v>3161</v>
      </c>
      <c r="D480" s="1971">
        <v>2.5000000000000002E-6</v>
      </c>
      <c r="E480" s="1973" t="s">
        <v>1220</v>
      </c>
      <c r="F480" s="1973" t="s">
        <v>1257</v>
      </c>
      <c r="G480" s="1971" t="s">
        <v>3288</v>
      </c>
      <c r="H480" s="1974">
        <v>2</v>
      </c>
      <c r="I480" s="1974"/>
      <c r="J480" s="1971" t="s">
        <v>3123</v>
      </c>
    </row>
    <row r="481" spans="2:10" ht="18" outlineLevel="1" x14ac:dyDescent="0.25">
      <c r="B481" s="1970" t="s">
        <v>3300</v>
      </c>
      <c r="C481" s="1971" t="s">
        <v>3130</v>
      </c>
      <c r="D481" s="1971">
        <v>2.0000000000000002E-5</v>
      </c>
      <c r="E481" s="1973" t="s">
        <v>1220</v>
      </c>
      <c r="F481" s="1973" t="s">
        <v>1257</v>
      </c>
      <c r="G481" s="1971" t="s">
        <v>3288</v>
      </c>
      <c r="H481" s="1974">
        <v>2</v>
      </c>
      <c r="I481" s="1974"/>
      <c r="J481" s="1971" t="s">
        <v>3131</v>
      </c>
    </row>
    <row r="482" spans="2:10" ht="18" outlineLevel="1" x14ac:dyDescent="0.25">
      <c r="B482" s="1970" t="s">
        <v>3301</v>
      </c>
      <c r="C482" s="1971" t="s">
        <v>3130</v>
      </c>
      <c r="D482" s="1971">
        <v>2.0000000000000002E-5</v>
      </c>
      <c r="E482" s="1973" t="s">
        <v>1220</v>
      </c>
      <c r="F482" s="1973" t="s">
        <v>1257</v>
      </c>
      <c r="G482" s="1971" t="s">
        <v>3288</v>
      </c>
      <c r="H482" s="1974">
        <v>2</v>
      </c>
      <c r="I482" s="1974"/>
      <c r="J482" s="1971" t="s">
        <v>3131</v>
      </c>
    </row>
    <row r="483" spans="2:10" ht="18" outlineLevel="1" x14ac:dyDescent="0.25">
      <c r="B483" s="1970" t="s">
        <v>3302</v>
      </c>
      <c r="C483" s="1971" t="s">
        <v>3130</v>
      </c>
      <c r="D483" s="1971">
        <v>2.0000000000000002E-5</v>
      </c>
      <c r="E483" s="1973" t="s">
        <v>1220</v>
      </c>
      <c r="F483" s="1973" t="s">
        <v>1257</v>
      </c>
      <c r="G483" s="1971" t="s">
        <v>3288</v>
      </c>
      <c r="H483" s="1974">
        <v>2</v>
      </c>
      <c r="I483" s="1974"/>
      <c r="J483" s="1971" t="s">
        <v>3131</v>
      </c>
    </row>
    <row r="484" spans="2:10" ht="18" outlineLevel="1" x14ac:dyDescent="0.25">
      <c r="B484" s="1970" t="s">
        <v>3303</v>
      </c>
      <c r="C484" s="1971" t="s">
        <v>3132</v>
      </c>
      <c r="D484" s="1971">
        <v>2.0000000000000002E-5</v>
      </c>
      <c r="E484" s="1973" t="s">
        <v>1220</v>
      </c>
      <c r="F484" s="1973" t="s">
        <v>2331</v>
      </c>
      <c r="G484" s="1971" t="s">
        <v>3288</v>
      </c>
      <c r="H484" s="1974">
        <v>2</v>
      </c>
      <c r="I484" s="1974"/>
      <c r="J484" s="1971" t="s">
        <v>3133</v>
      </c>
    </row>
    <row r="485" spans="2:10" ht="18" outlineLevel="1" x14ac:dyDescent="0.25">
      <c r="B485" s="1970" t="s">
        <v>3304</v>
      </c>
      <c r="C485" s="1971" t="s">
        <v>3134</v>
      </c>
      <c r="D485" s="1971">
        <v>1.0000000000000001E-5</v>
      </c>
      <c r="E485" s="1973" t="s">
        <v>1220</v>
      </c>
      <c r="F485" s="1973" t="s">
        <v>2331</v>
      </c>
      <c r="G485" s="1971" t="s">
        <v>3288</v>
      </c>
      <c r="H485" s="1974">
        <v>2</v>
      </c>
      <c r="I485" s="1974"/>
      <c r="J485" s="1971" t="s">
        <v>3123</v>
      </c>
    </row>
    <row r="486" spans="2:10" ht="18" outlineLevel="1" x14ac:dyDescent="0.25">
      <c r="B486" s="1970" t="s">
        <v>3305</v>
      </c>
      <c r="C486" s="1971" t="s">
        <v>3135</v>
      </c>
      <c r="D486" s="1971">
        <v>1.24E-5</v>
      </c>
      <c r="E486" s="1973" t="s">
        <v>1220</v>
      </c>
      <c r="F486" s="1973" t="s">
        <v>2331</v>
      </c>
      <c r="G486" s="1971" t="s">
        <v>3288</v>
      </c>
      <c r="H486" s="1974">
        <v>2</v>
      </c>
      <c r="I486" s="1974"/>
      <c r="J486" s="1971" t="s">
        <v>3123</v>
      </c>
    </row>
    <row r="487" spans="2:10" ht="18" outlineLevel="1" x14ac:dyDescent="0.25">
      <c r="B487" s="1970" t="s">
        <v>3306</v>
      </c>
      <c r="C487" s="1971" t="s">
        <v>3136</v>
      </c>
      <c r="D487" s="1971">
        <v>1.9000000000000001E-5</v>
      </c>
      <c r="E487" s="1973" t="s">
        <v>1220</v>
      </c>
      <c r="F487" s="1973" t="s">
        <v>2331</v>
      </c>
      <c r="G487" s="1971" t="s">
        <v>3288</v>
      </c>
      <c r="H487" s="1974">
        <v>2</v>
      </c>
      <c r="I487" s="1974"/>
      <c r="J487" s="1971" t="s">
        <v>3137</v>
      </c>
    </row>
    <row r="488" spans="2:10" ht="18" outlineLevel="1" x14ac:dyDescent="0.25">
      <c r="B488" s="1970" t="s">
        <v>3307</v>
      </c>
      <c r="C488" s="1971" t="s">
        <v>3138</v>
      </c>
      <c r="D488" s="1971">
        <v>1.24E-5</v>
      </c>
      <c r="E488" s="1973" t="s">
        <v>1220</v>
      </c>
      <c r="F488" s="1973" t="s">
        <v>2331</v>
      </c>
      <c r="G488" s="1971" t="s">
        <v>3288</v>
      </c>
      <c r="H488" s="1974">
        <v>2</v>
      </c>
      <c r="I488" s="1974"/>
      <c r="J488" s="1971" t="s">
        <v>3139</v>
      </c>
    </row>
    <row r="489" spans="2:10" ht="18" outlineLevel="1" x14ac:dyDescent="0.25">
      <c r="B489" s="1970" t="s">
        <v>3308</v>
      </c>
      <c r="C489" s="1971" t="s">
        <v>3140</v>
      </c>
      <c r="D489" s="1971">
        <v>1.24E-5</v>
      </c>
      <c r="E489" s="1973" t="s">
        <v>1220</v>
      </c>
      <c r="F489" s="1973" t="s">
        <v>2331</v>
      </c>
      <c r="G489" s="1971" t="s">
        <v>3288</v>
      </c>
      <c r="H489" s="1974">
        <v>2</v>
      </c>
      <c r="I489" s="1974"/>
      <c r="J489" s="1971" t="s">
        <v>3139</v>
      </c>
    </row>
    <row r="490" spans="2:10" ht="18" outlineLevel="1" x14ac:dyDescent="0.25">
      <c r="B490" s="1970" t="s">
        <v>3309</v>
      </c>
      <c r="C490" s="1971" t="s">
        <v>3129</v>
      </c>
      <c r="D490" s="1971">
        <v>1.0000000000000001E-5</v>
      </c>
      <c r="E490" s="1973" t="s">
        <v>1220</v>
      </c>
      <c r="F490" s="1973" t="s">
        <v>2331</v>
      </c>
      <c r="G490" s="1971" t="s">
        <v>3288</v>
      </c>
      <c r="H490" s="1974">
        <v>2</v>
      </c>
      <c r="I490" s="1974"/>
      <c r="J490" s="1971" t="s">
        <v>3123</v>
      </c>
    </row>
    <row r="491" spans="2:10" ht="18" outlineLevel="1" x14ac:dyDescent="0.25">
      <c r="B491" s="1970" t="s">
        <v>4744</v>
      </c>
      <c r="C491" s="1971" t="s">
        <v>3134</v>
      </c>
      <c r="D491" s="1971">
        <v>1.0000000000000001E-5</v>
      </c>
      <c r="E491" s="1973" t="s">
        <v>1220</v>
      </c>
      <c r="F491" s="1973" t="s">
        <v>1257</v>
      </c>
      <c r="G491" s="1971" t="s">
        <v>3288</v>
      </c>
      <c r="H491" s="1974">
        <v>2</v>
      </c>
      <c r="I491" s="1974"/>
      <c r="J491" s="1971"/>
    </row>
    <row r="492" spans="2:10" ht="18" outlineLevel="1" x14ac:dyDescent="0.25">
      <c r="B492" s="1970" t="s">
        <v>4206</v>
      </c>
      <c r="C492" s="1971" t="s">
        <v>4207</v>
      </c>
      <c r="D492" s="1971">
        <v>1.0000000000000001E-5</v>
      </c>
      <c r="E492" s="1973" t="s">
        <v>1220</v>
      </c>
      <c r="F492" s="1973" t="s">
        <v>2331</v>
      </c>
      <c r="G492" s="1971" t="s">
        <v>3288</v>
      </c>
      <c r="H492" s="1974">
        <v>2</v>
      </c>
      <c r="I492" s="1974"/>
      <c r="J492" s="1971"/>
    </row>
    <row r="493" spans="2:10" ht="18" outlineLevel="1" x14ac:dyDescent="0.25">
      <c r="B493" s="1970" t="s">
        <v>3311</v>
      </c>
      <c r="C493" s="1971" t="s">
        <v>3142</v>
      </c>
      <c r="D493" s="1971">
        <v>1.0000000000000001E-5</v>
      </c>
      <c r="E493" s="1973" t="s">
        <v>1220</v>
      </c>
      <c r="F493" s="1973" t="s">
        <v>2331</v>
      </c>
      <c r="G493" s="1971" t="s">
        <v>3288</v>
      </c>
      <c r="H493" s="1974">
        <v>2</v>
      </c>
      <c r="I493" s="1974"/>
      <c r="J493" s="1971"/>
    </row>
    <row r="494" spans="2:10" ht="18" outlineLevel="1" x14ac:dyDescent="0.25">
      <c r="B494" s="1970" t="s">
        <v>3310</v>
      </c>
      <c r="C494" s="1971" t="s">
        <v>3141</v>
      </c>
      <c r="D494" s="1971">
        <v>1.0000000000000001E-5</v>
      </c>
      <c r="E494" s="1973" t="s">
        <v>1220</v>
      </c>
      <c r="F494" s="1973" t="s">
        <v>2331</v>
      </c>
      <c r="G494" s="1971" t="s">
        <v>3288</v>
      </c>
      <c r="H494" s="1974">
        <v>2</v>
      </c>
      <c r="I494" s="1974"/>
      <c r="J494" s="1971"/>
    </row>
    <row r="495" spans="2:10" ht="18" outlineLevel="1" x14ac:dyDescent="0.25">
      <c r="B495" s="1970" t="s">
        <v>4208</v>
      </c>
      <c r="C495" s="1971" t="s">
        <v>3134</v>
      </c>
      <c r="D495" s="1971">
        <v>1.0000000000000001E-5</v>
      </c>
      <c r="E495" s="1973" t="s">
        <v>1220</v>
      </c>
      <c r="F495" s="1973" t="s">
        <v>1257</v>
      </c>
      <c r="G495" s="1971" t="s">
        <v>3288</v>
      </c>
      <c r="H495" s="1974">
        <v>2</v>
      </c>
      <c r="I495" s="1974"/>
      <c r="J495" s="1971"/>
    </row>
    <row r="496" spans="2:10" ht="18" outlineLevel="1" x14ac:dyDescent="0.25">
      <c r="B496" s="1970" t="s">
        <v>4209</v>
      </c>
      <c r="C496" s="1971" t="s">
        <v>4210</v>
      </c>
      <c r="D496" s="1971">
        <v>1.0000000000000001E-5</v>
      </c>
      <c r="E496" s="1973" t="s">
        <v>1220</v>
      </c>
      <c r="F496" s="1973" t="s">
        <v>2331</v>
      </c>
      <c r="G496" s="1971" t="s">
        <v>3288</v>
      </c>
      <c r="H496" s="1974">
        <v>2</v>
      </c>
      <c r="I496" s="1974"/>
      <c r="J496" s="1971"/>
    </row>
    <row r="497" spans="2:10" ht="18" outlineLevel="1" x14ac:dyDescent="0.25">
      <c r="B497" s="1970" t="s">
        <v>3312</v>
      </c>
      <c r="C497" s="1971" t="s">
        <v>3143</v>
      </c>
      <c r="D497" s="1971">
        <v>1.24E-5</v>
      </c>
      <c r="E497" s="1973" t="s">
        <v>1220</v>
      </c>
      <c r="F497" s="1973" t="s">
        <v>1257</v>
      </c>
      <c r="G497" s="1971" t="s">
        <v>3288</v>
      </c>
      <c r="H497" s="1974">
        <v>2</v>
      </c>
      <c r="I497" s="1974"/>
      <c r="J497" s="1971" t="s">
        <v>3139</v>
      </c>
    </row>
    <row r="498" spans="2:10" ht="18" outlineLevel="1" x14ac:dyDescent="0.25">
      <c r="B498" s="1970" t="s">
        <v>3313</v>
      </c>
      <c r="C498" s="1971" t="s">
        <v>3143</v>
      </c>
      <c r="D498" s="1971">
        <v>1.24E-5</v>
      </c>
      <c r="E498" s="1973" t="s">
        <v>1220</v>
      </c>
      <c r="F498" s="1973" t="s">
        <v>1257</v>
      </c>
      <c r="G498" s="1971" t="s">
        <v>3288</v>
      </c>
      <c r="H498" s="1974">
        <v>2</v>
      </c>
      <c r="I498" s="1974"/>
      <c r="J498" s="1971" t="s">
        <v>3139</v>
      </c>
    </row>
    <row r="499" spans="2:10" ht="18" outlineLevel="1" x14ac:dyDescent="0.25">
      <c r="B499" s="1970" t="s">
        <v>3314</v>
      </c>
      <c r="C499" s="1971" t="s">
        <v>3135</v>
      </c>
      <c r="D499" s="1971">
        <v>1.24E-5</v>
      </c>
      <c r="E499" s="1973" t="s">
        <v>1220</v>
      </c>
      <c r="F499" s="1973" t="s">
        <v>1257</v>
      </c>
      <c r="G499" s="1971" t="s">
        <v>3288</v>
      </c>
      <c r="H499" s="1974">
        <v>2</v>
      </c>
      <c r="I499" s="1974"/>
      <c r="J499" s="1971" t="s">
        <v>3123</v>
      </c>
    </row>
    <row r="500" spans="2:10" ht="18" outlineLevel="1" x14ac:dyDescent="0.25">
      <c r="B500" s="1970" t="s">
        <v>3315</v>
      </c>
      <c r="C500" s="1971" t="s">
        <v>3135</v>
      </c>
      <c r="D500" s="1971">
        <v>1.24E-5</v>
      </c>
      <c r="E500" s="1973" t="s">
        <v>1220</v>
      </c>
      <c r="F500" s="1973" t="s">
        <v>1257</v>
      </c>
      <c r="G500" s="1971" t="s">
        <v>3288</v>
      </c>
      <c r="H500" s="1974">
        <v>2</v>
      </c>
      <c r="I500" s="1974"/>
      <c r="J500" s="1971" t="s">
        <v>3123</v>
      </c>
    </row>
    <row r="501" spans="2:10" ht="18" outlineLevel="1" x14ac:dyDescent="0.25">
      <c r="B501" s="1970" t="s">
        <v>3316</v>
      </c>
      <c r="C501" s="1971" t="s">
        <v>3144</v>
      </c>
      <c r="D501" s="1971">
        <v>1.24E-5</v>
      </c>
      <c r="E501" s="1973" t="s">
        <v>1220</v>
      </c>
      <c r="F501" s="1973" t="s">
        <v>1257</v>
      </c>
      <c r="G501" s="1971" t="s">
        <v>3288</v>
      </c>
      <c r="H501" s="1974">
        <v>2</v>
      </c>
      <c r="I501" s="1974"/>
      <c r="J501" s="1971" t="s">
        <v>3139</v>
      </c>
    </row>
    <row r="502" spans="2:10" ht="18" outlineLevel="1" x14ac:dyDescent="0.25">
      <c r="B502" s="1970" t="s">
        <v>3317</v>
      </c>
      <c r="C502" s="1971" t="s">
        <v>3145</v>
      </c>
      <c r="D502" s="1971">
        <v>2.5000000000000001E-5</v>
      </c>
      <c r="E502" s="1973" t="s">
        <v>1220</v>
      </c>
      <c r="F502" s="1973" t="s">
        <v>1257</v>
      </c>
      <c r="G502" s="1971" t="s">
        <v>3288</v>
      </c>
      <c r="H502" s="1974">
        <v>2</v>
      </c>
      <c r="I502" s="1974"/>
      <c r="J502" s="1971" t="s">
        <v>3146</v>
      </c>
    </row>
    <row r="503" spans="2:10" ht="18" outlineLevel="1" x14ac:dyDescent="0.25">
      <c r="B503" s="1970" t="s">
        <v>4211</v>
      </c>
      <c r="C503" s="1971" t="s">
        <v>3145</v>
      </c>
      <c r="D503" s="1971">
        <v>2.5000000000000001E-5</v>
      </c>
      <c r="E503" s="1973" t="s">
        <v>1220</v>
      </c>
      <c r="F503" s="1973" t="s">
        <v>1257</v>
      </c>
      <c r="G503" s="1971" t="s">
        <v>3288</v>
      </c>
      <c r="H503" s="1974">
        <v>2</v>
      </c>
      <c r="I503" s="1974"/>
      <c r="J503" s="1971" t="s">
        <v>3146</v>
      </c>
    </row>
    <row r="504" spans="2:10" ht="18" outlineLevel="1" x14ac:dyDescent="0.25">
      <c r="B504" s="1970" t="s">
        <v>3318</v>
      </c>
      <c r="C504" s="1971" t="s">
        <v>3147</v>
      </c>
      <c r="D504" s="1971">
        <v>2.5000000000000001E-5</v>
      </c>
      <c r="E504" s="1973" t="s">
        <v>1220</v>
      </c>
      <c r="F504" s="1973" t="s">
        <v>1257</v>
      </c>
      <c r="G504" s="1971" t="s">
        <v>3288</v>
      </c>
      <c r="H504" s="1974">
        <v>2</v>
      </c>
      <c r="I504" s="1974"/>
      <c r="J504" s="1971" t="s">
        <v>3123</v>
      </c>
    </row>
    <row r="505" spans="2:10" ht="18" outlineLevel="1" x14ac:dyDescent="0.25">
      <c r="B505" s="1970" t="s">
        <v>3319</v>
      </c>
      <c r="C505" s="1971" t="s">
        <v>3148</v>
      </c>
      <c r="D505" s="1971">
        <v>2.5000000000000001E-5</v>
      </c>
      <c r="E505" s="1973" t="s">
        <v>1220</v>
      </c>
      <c r="F505" s="1973" t="s">
        <v>1257</v>
      </c>
      <c r="G505" s="1971" t="s">
        <v>3288</v>
      </c>
      <c r="H505" s="1974">
        <v>2</v>
      </c>
      <c r="I505" s="1974"/>
      <c r="J505" s="1971" t="s">
        <v>3123</v>
      </c>
    </row>
    <row r="506" spans="2:10" ht="18" outlineLevel="1" x14ac:dyDescent="0.25">
      <c r="B506" s="1970" t="s">
        <v>3320</v>
      </c>
      <c r="C506" s="1971" t="s">
        <v>3149</v>
      </c>
      <c r="D506" s="1971">
        <v>1.0000000000000001E-5</v>
      </c>
      <c r="E506" s="1973" t="s">
        <v>1220</v>
      </c>
      <c r="F506" s="1973" t="s">
        <v>1257</v>
      </c>
      <c r="G506" s="1971" t="s">
        <v>3288</v>
      </c>
      <c r="H506" s="1974">
        <v>2</v>
      </c>
      <c r="I506" s="1974"/>
      <c r="J506" s="1971" t="s">
        <v>3123</v>
      </c>
    </row>
    <row r="507" spans="2:10" ht="18" outlineLevel="1" x14ac:dyDescent="0.25">
      <c r="B507" s="1970" t="s">
        <v>3321</v>
      </c>
      <c r="C507" s="1971" t="s">
        <v>3150</v>
      </c>
      <c r="D507" s="1971">
        <v>1.9000000000000001E-5</v>
      </c>
      <c r="E507" s="1973" t="s">
        <v>1220</v>
      </c>
      <c r="F507" s="1973" t="s">
        <v>1257</v>
      </c>
      <c r="G507" s="1971" t="s">
        <v>3288</v>
      </c>
      <c r="H507" s="1974">
        <v>2</v>
      </c>
      <c r="I507" s="1974"/>
      <c r="J507" s="1971" t="s">
        <v>3123</v>
      </c>
    </row>
    <row r="508" spans="2:10" ht="18" outlineLevel="1" x14ac:dyDescent="0.25">
      <c r="B508" s="1970" t="s">
        <v>3322</v>
      </c>
      <c r="C508" s="1971" t="s">
        <v>3151</v>
      </c>
      <c r="D508" s="1971">
        <v>1.9000000000000001E-5</v>
      </c>
      <c r="E508" s="1973" t="s">
        <v>1220</v>
      </c>
      <c r="F508" s="1973" t="s">
        <v>1257</v>
      </c>
      <c r="G508" s="1971" t="s">
        <v>3288</v>
      </c>
      <c r="H508" s="1974">
        <v>2</v>
      </c>
      <c r="I508" s="1974"/>
      <c r="J508" s="1971" t="s">
        <v>3123</v>
      </c>
    </row>
    <row r="509" spans="2:10" ht="18" outlineLevel="1" x14ac:dyDescent="0.25">
      <c r="B509" s="1970" t="s">
        <v>3323</v>
      </c>
      <c r="C509" s="1971" t="s">
        <v>3152</v>
      </c>
      <c r="D509" s="1971">
        <v>1.9000000000000001E-5</v>
      </c>
      <c r="E509" s="1973" t="s">
        <v>1220</v>
      </c>
      <c r="F509" s="1973" t="s">
        <v>1257</v>
      </c>
      <c r="G509" s="1971" t="s">
        <v>3288</v>
      </c>
      <c r="H509" s="1974">
        <v>2</v>
      </c>
      <c r="I509" s="1974"/>
      <c r="J509" s="1971" t="s">
        <v>3123</v>
      </c>
    </row>
    <row r="510" spans="2:10" ht="18" outlineLevel="1" x14ac:dyDescent="0.25">
      <c r="B510" s="1970" t="s">
        <v>3324</v>
      </c>
      <c r="C510" s="1971" t="s">
        <v>3153</v>
      </c>
      <c r="D510" s="1971">
        <v>1.9000000000000001E-5</v>
      </c>
      <c r="E510" s="1973" t="s">
        <v>1220</v>
      </c>
      <c r="F510" s="1973" t="s">
        <v>1257</v>
      </c>
      <c r="G510" s="1971" t="s">
        <v>3288</v>
      </c>
      <c r="H510" s="1974">
        <v>2</v>
      </c>
      <c r="I510" s="1974"/>
      <c r="J510" s="1971" t="s">
        <v>3123</v>
      </c>
    </row>
    <row r="511" spans="2:10" ht="18" outlineLevel="1" x14ac:dyDescent="0.25">
      <c r="B511" s="1970" t="s">
        <v>3325</v>
      </c>
      <c r="C511" s="1971" t="s">
        <v>3154</v>
      </c>
      <c r="D511" s="1971">
        <v>1.9000000000000001E-5</v>
      </c>
      <c r="E511" s="1973" t="s">
        <v>1220</v>
      </c>
      <c r="F511" s="1973" t="s">
        <v>1257</v>
      </c>
      <c r="G511" s="1971" t="s">
        <v>3288</v>
      </c>
      <c r="H511" s="1974">
        <v>2</v>
      </c>
      <c r="I511" s="1974"/>
      <c r="J511" s="1971" t="s">
        <v>3123</v>
      </c>
    </row>
    <row r="512" spans="2:10" ht="18" outlineLevel="1" x14ac:dyDescent="0.25">
      <c r="B512" s="1970" t="s">
        <v>3326</v>
      </c>
      <c r="C512" s="1971" t="s">
        <v>3155</v>
      </c>
      <c r="D512" s="1971">
        <v>1.9000000000000001E-5</v>
      </c>
      <c r="E512" s="1973" t="s">
        <v>1220</v>
      </c>
      <c r="F512" s="1973" t="s">
        <v>1257</v>
      </c>
      <c r="G512" s="1971" t="s">
        <v>3288</v>
      </c>
      <c r="H512" s="1974">
        <v>2</v>
      </c>
      <c r="I512" s="1974"/>
      <c r="J512" s="1971" t="s">
        <v>3123</v>
      </c>
    </row>
    <row r="513" spans="2:10" ht="18" outlineLevel="1" x14ac:dyDescent="0.25">
      <c r="B513" s="1970" t="s">
        <v>3327</v>
      </c>
      <c r="C513" s="1971" t="s">
        <v>3156</v>
      </c>
      <c r="D513" s="1971">
        <v>1.9000000000000001E-5</v>
      </c>
      <c r="E513" s="1973" t="s">
        <v>1220</v>
      </c>
      <c r="F513" s="1973" t="s">
        <v>1257</v>
      </c>
      <c r="G513" s="1971" t="s">
        <v>3288</v>
      </c>
      <c r="H513" s="1974">
        <v>2</v>
      </c>
      <c r="I513" s="1974"/>
      <c r="J513" s="1971" t="s">
        <v>3123</v>
      </c>
    </row>
    <row r="514" spans="2:10" ht="18" outlineLevel="1" x14ac:dyDescent="0.25">
      <c r="B514" s="1970" t="s">
        <v>3328</v>
      </c>
      <c r="C514" s="1971" t="s">
        <v>3157</v>
      </c>
      <c r="D514" s="1971">
        <v>1.9000000000000001E-5</v>
      </c>
      <c r="E514" s="1973" t="s">
        <v>1220</v>
      </c>
      <c r="F514" s="1973" t="s">
        <v>1257</v>
      </c>
      <c r="G514" s="1971" t="s">
        <v>3288</v>
      </c>
      <c r="H514" s="1974">
        <v>2</v>
      </c>
      <c r="I514" s="1974"/>
      <c r="J514" s="1971" t="s">
        <v>3123</v>
      </c>
    </row>
    <row r="515" spans="2:10" ht="18" outlineLevel="1" x14ac:dyDescent="0.25">
      <c r="B515" s="1970" t="s">
        <v>3329</v>
      </c>
      <c r="C515" s="1971" t="s">
        <v>3158</v>
      </c>
      <c r="D515" s="1971">
        <v>1.0000000000000001E-5</v>
      </c>
      <c r="E515" s="1973" t="s">
        <v>1220</v>
      </c>
      <c r="F515" s="1973" t="s">
        <v>2331</v>
      </c>
      <c r="G515" s="1971" t="s">
        <v>3288</v>
      </c>
      <c r="H515" s="1974"/>
      <c r="I515" s="1974"/>
      <c r="J515" s="1971"/>
    </row>
    <row r="516" spans="2:10" ht="18" outlineLevel="1" x14ac:dyDescent="0.25">
      <c r="B516" s="1970" t="s">
        <v>4212</v>
      </c>
      <c r="C516" s="1971" t="s">
        <v>3158</v>
      </c>
      <c r="D516" s="1971">
        <v>1.0000000000000001E-5</v>
      </c>
      <c r="E516" s="1973" t="s">
        <v>1220</v>
      </c>
      <c r="F516" s="1973" t="s">
        <v>2331</v>
      </c>
      <c r="G516" s="1971" t="s">
        <v>3288</v>
      </c>
      <c r="H516" s="1974"/>
      <c r="I516" s="1974"/>
      <c r="J516" s="1971"/>
    </row>
    <row r="517" spans="2:10" ht="18" outlineLevel="1" x14ac:dyDescent="0.25">
      <c r="B517" s="1970" t="s">
        <v>3330</v>
      </c>
      <c r="C517" s="1971" t="s">
        <v>3159</v>
      </c>
      <c r="D517" s="1971">
        <v>1.9000000000000001E-5</v>
      </c>
      <c r="E517" s="1973" t="s">
        <v>1220</v>
      </c>
      <c r="F517" s="1973" t="s">
        <v>2331</v>
      </c>
      <c r="G517" s="1971" t="s">
        <v>3288</v>
      </c>
      <c r="H517" s="1974">
        <v>2</v>
      </c>
      <c r="I517" s="1974"/>
      <c r="J517" s="1971" t="s">
        <v>3123</v>
      </c>
    </row>
  </sheetData>
  <conditionalFormatting sqref="E227:F227">
    <cfRule type="cellIs" dxfId="74" priority="18" stopIfTrue="1" operator="notEqual">
      <formula>INDIRECT("Dummy_for_Comparison3!"&amp;ADDRESS(ROW(),COLUMN()))</formula>
    </cfRule>
  </conditionalFormatting>
  <conditionalFormatting sqref="E219:F219">
    <cfRule type="cellIs" dxfId="73" priority="22" stopIfTrue="1" operator="notEqual">
      <formula>INDIRECT("Dummy_for_Comparison3!"&amp;ADDRESS(ROW(),COLUMN()))</formula>
    </cfRule>
  </conditionalFormatting>
  <conditionalFormatting sqref="E226:F226">
    <cfRule type="cellIs" dxfId="72" priority="21" stopIfTrue="1" operator="notEqual">
      <formula>INDIRECT("Dummy_for_Comparison3!"&amp;ADDRESS(ROW(),COLUMN()))</formula>
    </cfRule>
  </conditionalFormatting>
  <conditionalFormatting sqref="E251:F251">
    <cfRule type="cellIs" dxfId="71" priority="20" stopIfTrue="1" operator="notEqual">
      <formula>INDIRECT("Dummy_for_Comparison3!"&amp;ADDRESS(ROW(),COLUMN()))</formula>
    </cfRule>
  </conditionalFormatting>
  <conditionalFormatting sqref="E386:F386">
    <cfRule type="cellIs" dxfId="70" priority="19" stopIfTrue="1" operator="notEqual">
      <formula>INDIRECT("Dummy_for_Comparison3!"&amp;ADDRESS(ROW(),COLUMN()))</formula>
    </cfRule>
  </conditionalFormatting>
  <conditionalFormatting sqref="E239:F239">
    <cfRule type="cellIs" dxfId="69" priority="16" stopIfTrue="1" operator="notEqual">
      <formula>INDIRECT("Dummy_for_Comparison3!"&amp;ADDRESS(ROW(),COLUMN()))</formula>
    </cfRule>
  </conditionalFormatting>
  <conditionalFormatting sqref="E263:F263">
    <cfRule type="cellIs" dxfId="68" priority="15" stopIfTrue="1" operator="notEqual">
      <formula>INDIRECT("Dummy_for_Comparison3!"&amp;ADDRESS(ROW(),COLUMN()))</formula>
    </cfRule>
  </conditionalFormatting>
  <conditionalFormatting sqref="E264:F264">
    <cfRule type="cellIs" dxfId="67" priority="14" stopIfTrue="1" operator="notEqual">
      <formula>INDIRECT("Dummy_for_Comparison3!"&amp;ADDRESS(ROW(),COLUMN()))</formula>
    </cfRule>
  </conditionalFormatting>
  <conditionalFormatting sqref="E268:F268">
    <cfRule type="cellIs" dxfId="66" priority="13" stopIfTrue="1" operator="notEqual">
      <formula>INDIRECT("Dummy_for_Comparison3!"&amp;ADDRESS(ROW(),COLUMN()))</formula>
    </cfRule>
  </conditionalFormatting>
  <conditionalFormatting sqref="E30:F30">
    <cfRule type="cellIs" dxfId="65" priority="12" stopIfTrue="1" operator="notEqual">
      <formula>INDIRECT("Dummy_for_Comparison3!"&amp;ADDRESS(ROW(),COLUMN()))</formula>
    </cfRule>
  </conditionalFormatting>
  <conditionalFormatting sqref="E492:F494">
    <cfRule type="cellIs" dxfId="64" priority="11" stopIfTrue="1" operator="notEqual">
      <formula>INDIRECT("Dummy_for_Comparison3!"&amp;ADDRESS(ROW(),COLUMN()))</formula>
    </cfRule>
  </conditionalFormatting>
  <conditionalFormatting sqref="E496:F496">
    <cfRule type="cellIs" dxfId="63" priority="10" stopIfTrue="1" operator="notEqual">
      <formula>INDIRECT("Dummy_for_Comparison3!"&amp;ADDRESS(ROW(),COLUMN()))</formula>
    </cfRule>
  </conditionalFormatting>
  <conditionalFormatting sqref="E217:F217">
    <cfRule type="cellIs" dxfId="62" priority="9" stopIfTrue="1" operator="notEqual">
      <formula>INDIRECT("Dummy_for_Comparison3!"&amp;ADDRESS(ROW(),COLUMN()))</formula>
    </cfRule>
  </conditionalFormatting>
  <conditionalFormatting sqref="E316:F316">
    <cfRule type="cellIs" dxfId="61" priority="8" stopIfTrue="1" operator="notEqual">
      <formula>INDIRECT("Dummy_for_Comparison3!"&amp;ADDRESS(ROW(),COLUMN()))</formula>
    </cfRule>
  </conditionalFormatting>
  <conditionalFormatting sqref="E31:F32">
    <cfRule type="cellIs" dxfId="60" priority="7" stopIfTrue="1" operator="notEqual">
      <formula>INDIRECT("Dummy_for_Comparison3!"&amp;ADDRESS(ROW(),COLUMN()))</formula>
    </cfRule>
  </conditionalFormatting>
  <conditionalFormatting sqref="E367:F367">
    <cfRule type="cellIs" dxfId="59" priority="6" stopIfTrue="1" operator="notEqual">
      <formula>INDIRECT("Dummy_for_Comparison3!"&amp;ADDRESS(ROW(),COLUMN()))</formula>
    </cfRule>
  </conditionalFormatting>
  <conditionalFormatting sqref="E383:F383">
    <cfRule type="cellIs" dxfId="58" priority="5" stopIfTrue="1" operator="notEqual">
      <formula>INDIRECT("Dummy_for_Comparison3!"&amp;ADDRESS(ROW(),COLUMN()))</formula>
    </cfRule>
  </conditionalFormatting>
  <conditionalFormatting sqref="E366:F366">
    <cfRule type="cellIs" dxfId="57" priority="4" stopIfTrue="1" operator="notEqual">
      <formula>INDIRECT("Dummy_for_Comparison3!"&amp;ADDRESS(ROW(),COLUMN()))</formula>
    </cfRule>
  </conditionalFormatting>
  <conditionalFormatting sqref="E443:F445">
    <cfRule type="cellIs" dxfId="56" priority="3" stopIfTrue="1" operator="notEqual">
      <formula>INDIRECT("Dummy_for_Comparison3!"&amp;ADDRESS(ROW(),COLUMN()))</formula>
    </cfRule>
  </conditionalFormatting>
  <conditionalFormatting sqref="B293:J309">
    <cfRule type="cellIs" dxfId="55" priority="2" stopIfTrue="1" operator="notEqual">
      <formula>INDIRECT("Dummy_for_Comparison3!"&amp;ADDRESS(ROW(),COLUMN()))</formula>
    </cfRule>
  </conditionalFormatting>
  <conditionalFormatting sqref="E473:F473">
    <cfRule type="cellIs" dxfId="54" priority="1" stopIfTrue="1" operator="notEqual">
      <formula>INDIRECT("Dummy_for_Comparison3!"&amp;ADDRESS(ROW(),COLUMN()))</formula>
    </cfRule>
  </conditionalFormatting>
  <conditionalFormatting sqref="E218:F218">
    <cfRule type="cellIs" dxfId="53" priority="23" stopIfTrue="1" operator="notEqual">
      <formula>INDIRECT("Dummy_for_Comparison3!"&amp;ADDRESS(ROW(),COLUMN()))</formula>
    </cfRule>
  </conditionalFormatting>
  <conditionalFormatting sqref="E246:F246">
    <cfRule type="cellIs" dxfId="52" priority="17" stopIfTrue="1" operator="notEqual">
      <formula>INDIRECT("Dummy_for_Comparison3!"&amp;ADDRESS(ROW(),COLUMN()))</formula>
    </cfRule>
  </conditionalFormatting>
  <conditionalFormatting sqref="E25:F25">
    <cfRule type="cellIs" dxfId="51" priority="64" stopIfTrue="1" operator="notEqual">
      <formula>INDIRECT("Dummy_for_Comparison3!"&amp;ADDRESS(ROW(),COLUMN()))</formula>
    </cfRule>
  </conditionalFormatting>
  <conditionalFormatting sqref="E37:F37">
    <cfRule type="cellIs" dxfId="50" priority="63" stopIfTrue="1" operator="notEqual">
      <formula>INDIRECT("Dummy_for_Comparison3!"&amp;ADDRESS(ROW(),COLUMN()))</formula>
    </cfRule>
  </conditionalFormatting>
  <conditionalFormatting sqref="E46:F46 E504:F515 E517:F517 E497:F502 E466:F472 E402:F426 E474:F494 E56:F56">
    <cfRule type="cellIs" dxfId="49" priority="62" stopIfTrue="1" operator="notEqual">
      <formula>INDIRECT("Dummy_for_Comparison3!"&amp;ADDRESS(ROW(),COLUMN()))</formula>
    </cfRule>
  </conditionalFormatting>
  <conditionalFormatting sqref="E60:F60">
    <cfRule type="cellIs" dxfId="48" priority="61" stopIfTrue="1" operator="notEqual">
      <formula>INDIRECT("Dummy_for_Comparison3!"&amp;ADDRESS(ROW(),COLUMN()))</formula>
    </cfRule>
  </conditionalFormatting>
  <conditionalFormatting sqref="E74:F74">
    <cfRule type="cellIs" dxfId="47" priority="60" stopIfTrue="1" operator="notEqual">
      <formula>INDIRECT("Dummy_for_Comparison3!"&amp;ADDRESS(ROW(),COLUMN()))</formula>
    </cfRule>
  </conditionalFormatting>
  <conditionalFormatting sqref="E78:F78">
    <cfRule type="cellIs" dxfId="46" priority="59" stopIfTrue="1" operator="notEqual">
      <formula>INDIRECT("Dummy_for_Comparison3!"&amp;ADDRESS(ROW(),COLUMN()))</formula>
    </cfRule>
  </conditionalFormatting>
  <conditionalFormatting sqref="E199:F199">
    <cfRule type="cellIs" dxfId="45" priority="58" stopIfTrue="1" operator="notEqual">
      <formula>INDIRECT("Dummy_for_Comparison3!"&amp;ADDRESS(ROW(),COLUMN()))</formula>
    </cfRule>
  </conditionalFormatting>
  <conditionalFormatting sqref="E212:F212">
    <cfRule type="cellIs" dxfId="44" priority="57" stopIfTrue="1" operator="notEqual">
      <formula>INDIRECT("Dummy_for_Comparison3!"&amp;ADDRESS(ROW(),COLUMN()))</formula>
    </cfRule>
  </conditionalFormatting>
  <conditionalFormatting sqref="E281:F281">
    <cfRule type="cellIs" dxfId="43" priority="56" stopIfTrue="1" operator="notEqual">
      <formula>INDIRECT("Dummy_for_Comparison3!"&amp;ADDRESS(ROW(),COLUMN()))</formula>
    </cfRule>
  </conditionalFormatting>
  <conditionalFormatting sqref="E313:F313">
    <cfRule type="cellIs" dxfId="42" priority="55" stopIfTrue="1" operator="notEqual">
      <formula>INDIRECT("Dummy_for_Comparison3!"&amp;ADDRESS(ROW(),COLUMN()))</formula>
    </cfRule>
  </conditionalFormatting>
  <conditionalFormatting sqref="E324:F324">
    <cfRule type="cellIs" dxfId="41" priority="54" stopIfTrue="1" operator="notEqual">
      <formula>INDIRECT("Dummy_for_Comparison3!"&amp;ADDRESS(ROW(),COLUMN()))</formula>
    </cfRule>
  </conditionalFormatting>
  <conditionalFormatting sqref="E343:F343">
    <cfRule type="cellIs" dxfId="40" priority="53" stopIfTrue="1" operator="notEqual">
      <formula>INDIRECT("Dummy_for_Comparison3!"&amp;ADDRESS(ROW(),COLUMN()))</formula>
    </cfRule>
  </conditionalFormatting>
  <conditionalFormatting sqref="E352:F352">
    <cfRule type="cellIs" dxfId="39" priority="52" stopIfTrue="1" operator="notEqual">
      <formula>INDIRECT("Dummy_for_Comparison3!"&amp;ADDRESS(ROW(),COLUMN()))</formula>
    </cfRule>
  </conditionalFormatting>
  <conditionalFormatting sqref="E356:F356">
    <cfRule type="cellIs" dxfId="38" priority="51" stopIfTrue="1" operator="notEqual">
      <formula>INDIRECT("Dummy_for_Comparison3!"&amp;ADDRESS(ROW(),COLUMN()))</formula>
    </cfRule>
  </conditionalFormatting>
  <conditionalFormatting sqref="E360:F360">
    <cfRule type="cellIs" dxfId="37" priority="50" stopIfTrue="1" operator="notEqual">
      <formula>INDIRECT("Dummy_for_Comparison3!"&amp;ADDRESS(ROW(),COLUMN()))</formula>
    </cfRule>
  </conditionalFormatting>
  <conditionalFormatting sqref="E401:F401">
    <cfRule type="cellIs" dxfId="36" priority="49" stopIfTrue="1" operator="notEqual">
      <formula>INDIRECT("Dummy_for_Comparison3!"&amp;ADDRESS(ROW(),COLUMN()))</formula>
    </cfRule>
  </conditionalFormatting>
  <conditionalFormatting sqref="E430:F430">
    <cfRule type="cellIs" dxfId="35" priority="48" stopIfTrue="1" operator="notEqual">
      <formula>INDIRECT("Dummy_for_Comparison3!"&amp;ADDRESS(ROW(),COLUMN()))</formula>
    </cfRule>
  </conditionalFormatting>
  <conditionalFormatting sqref="E434:F434">
    <cfRule type="cellIs" dxfId="34" priority="47" stopIfTrue="1" operator="notEqual">
      <formula>INDIRECT("Dummy_for_Comparison3!"&amp;ADDRESS(ROW(),COLUMN()))</formula>
    </cfRule>
  </conditionalFormatting>
  <conditionalFormatting sqref="E256:F256">
    <cfRule type="cellIs" dxfId="33" priority="46" stopIfTrue="1" operator="notEqual">
      <formula>INDIRECT("Dummy_for_Comparison3!"&amp;ADDRESS(ROW(),COLUMN()))</formula>
    </cfRule>
  </conditionalFormatting>
  <conditionalFormatting sqref="E5:F5">
    <cfRule type="cellIs" dxfId="32" priority="45" stopIfTrue="1" operator="notEqual">
      <formula>INDIRECT("Dummy_for_Comparison3!"&amp;ADDRESS(ROW(),COLUMN()))</formula>
    </cfRule>
  </conditionalFormatting>
  <conditionalFormatting sqref="E4:F4">
    <cfRule type="cellIs" dxfId="31" priority="44" stopIfTrue="1" operator="notEqual">
      <formula>INDIRECT("Dummy_for_Comparison3!"&amp;ADDRESS(ROW(),COLUMN()))</formula>
    </cfRule>
  </conditionalFormatting>
  <conditionalFormatting sqref="E393:F393">
    <cfRule type="cellIs" dxfId="30" priority="43" stopIfTrue="1" operator="notEqual">
      <formula>INDIRECT("Dummy_for_Comparison3!"&amp;ADDRESS(ROW(),COLUMN()))</formula>
    </cfRule>
  </conditionalFormatting>
  <conditionalFormatting sqref="E392:F392">
    <cfRule type="cellIs" dxfId="29" priority="42" stopIfTrue="1" operator="notEqual">
      <formula>INDIRECT("Dummy_for_Comparison3!"&amp;ADDRESS(ROW(),COLUMN()))</formula>
    </cfRule>
  </conditionalFormatting>
  <conditionalFormatting sqref="E394:F394">
    <cfRule type="cellIs" dxfId="28" priority="41" stopIfTrue="1" operator="notEqual">
      <formula>INDIRECT("Dummy_for_Comparison3!"&amp;ADDRESS(ROW(),COLUMN()))</formula>
    </cfRule>
  </conditionalFormatting>
  <conditionalFormatting sqref="F396">
    <cfRule type="cellIs" dxfId="27" priority="40" stopIfTrue="1" operator="notEqual">
      <formula>INDIRECT("Dummy_for_Comparison3!"&amp;ADDRESS(ROW(),COLUMN()))</formula>
    </cfRule>
  </conditionalFormatting>
  <conditionalFormatting sqref="D396">
    <cfRule type="cellIs" dxfId="26" priority="39" stopIfTrue="1" operator="notEqual">
      <formula>INDIRECT("Dummy_for_Comparison3!"&amp;ADDRESS(ROW(),COLUMN()))</formula>
    </cfRule>
  </conditionalFormatting>
  <conditionalFormatting sqref="E397:F397">
    <cfRule type="cellIs" dxfId="25" priority="38" stopIfTrue="1" operator="notEqual">
      <formula>INDIRECT("Dummy_for_Comparison3!"&amp;ADDRESS(ROW(),COLUMN()))</formula>
    </cfRule>
  </conditionalFormatting>
  <conditionalFormatting sqref="E396">
    <cfRule type="cellIs" dxfId="24" priority="37" stopIfTrue="1" operator="notEqual">
      <formula>INDIRECT("Dummy_for_Comparison3!"&amp;ADDRESS(ROW(),COLUMN()))</formula>
    </cfRule>
  </conditionalFormatting>
  <conditionalFormatting sqref="E388:F388">
    <cfRule type="cellIs" dxfId="23" priority="36" stopIfTrue="1" operator="notEqual">
      <formula>INDIRECT("Dummy_for_Comparison3!"&amp;ADDRESS(ROW(),COLUMN()))</formula>
    </cfRule>
  </conditionalFormatting>
  <conditionalFormatting sqref="E378:F378">
    <cfRule type="cellIs" dxfId="22" priority="35" stopIfTrue="1" operator="notEqual">
      <formula>INDIRECT("Dummy_for_Comparison3!"&amp;ADDRESS(ROW(),COLUMN()))</formula>
    </cfRule>
  </conditionalFormatting>
  <conditionalFormatting sqref="E363:F363">
    <cfRule type="cellIs" dxfId="21" priority="34" stopIfTrue="1" operator="notEqual">
      <formula>INDIRECT("Dummy_for_Comparison3!"&amp;ADDRESS(ROW(),COLUMN()))</formula>
    </cfRule>
  </conditionalFormatting>
  <conditionalFormatting sqref="F395">
    <cfRule type="cellIs" dxfId="20" priority="33" stopIfTrue="1" operator="notEqual">
      <formula>INDIRECT("Dummy_for_Comparison3!"&amp;ADDRESS(ROW(),COLUMN()))</formula>
    </cfRule>
  </conditionalFormatting>
  <conditionalFormatting sqref="D395">
    <cfRule type="cellIs" dxfId="19" priority="32" stopIfTrue="1" operator="notEqual">
      <formula>INDIRECT("Dummy_for_Comparison3!"&amp;ADDRESS(ROW(),COLUMN()))</formula>
    </cfRule>
  </conditionalFormatting>
  <conditionalFormatting sqref="E395">
    <cfRule type="cellIs" dxfId="18" priority="31" stopIfTrue="1" operator="notEqual">
      <formula>INDIRECT("Dummy_for_Comparison3!"&amp;ADDRESS(ROW(),COLUMN()))</formula>
    </cfRule>
  </conditionalFormatting>
  <conditionalFormatting sqref="E257:F257">
    <cfRule type="cellIs" dxfId="17" priority="30" stopIfTrue="1" operator="notEqual">
      <formula>INDIRECT("Dummy_for_Comparison3!"&amp;ADDRESS(ROW(),COLUMN()))</formula>
    </cfRule>
  </conditionalFormatting>
  <conditionalFormatting sqref="E374:F374">
    <cfRule type="cellIs" dxfId="16" priority="29" stopIfTrue="1" operator="notEqual">
      <formula>INDIRECT("Dummy_for_Comparison3!"&amp;ADDRESS(ROW(),COLUMN()))</formula>
    </cfRule>
  </conditionalFormatting>
  <conditionalFormatting sqref="E375:F375">
    <cfRule type="cellIs" dxfId="15" priority="28" stopIfTrue="1" operator="notEqual">
      <formula>INDIRECT("Dummy_for_Comparison3!"&amp;ADDRESS(ROW(),COLUMN()))</formula>
    </cfRule>
  </conditionalFormatting>
  <conditionalFormatting sqref="E376:F376">
    <cfRule type="cellIs" dxfId="14" priority="27" stopIfTrue="1" operator="notEqual">
      <formula>INDIRECT("Dummy_for_Comparison3!"&amp;ADDRESS(ROW(),COLUMN()))</formula>
    </cfRule>
  </conditionalFormatting>
  <conditionalFormatting sqref="E503:F503">
    <cfRule type="cellIs" dxfId="13" priority="26"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12" priority="65" stopIfTrue="1" operator="notEqual">
      <formula>INDIRECT("Dummy_for_Comparison3!"&amp;ADDRESS(ROW(),COLUMN()))</formula>
    </cfRule>
  </conditionalFormatting>
  <conditionalFormatting sqref="E495:F495">
    <cfRule type="cellIs" dxfId="11" priority="25" stopIfTrue="1" operator="notEqual">
      <formula>INDIRECT("Dummy_for_Comparison3!"&amp;ADDRESS(ROW(),COLUMN()))</formula>
    </cfRule>
  </conditionalFormatting>
  <conditionalFormatting sqref="E516:F516">
    <cfRule type="cellIs" dxfId="10" priority="24" stopIfTrue="1" operator="notEqual">
      <formula>INDIRECT("Dummy_for_Comparison3!"&amp;ADDRESS(ROW(),COLUMN()))</formula>
    </cfRule>
  </conditionalFormatting>
  <hyperlinks>
    <hyperlink ref="J18" r:id="rId1"/>
    <hyperlink ref="J19" r:id="rId2"/>
    <hyperlink ref="J20" r:id="rId3"/>
    <hyperlink ref="J21" r:id="rId4"/>
    <hyperlink ref="J14" r:id="rId5"/>
    <hyperlink ref="J15" r:id="rId6"/>
    <hyperlink ref="J16" r:id="rId7"/>
    <hyperlink ref="J17" r:id="rId8"/>
    <hyperlink ref="J424" r:id="rId9"/>
    <hyperlink ref="J7" r:id="rId10"/>
  </hyperlinks>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8"/>
  <sheetViews>
    <sheetView showGridLines="0" workbookViewId="0">
      <selection activeCell="B4" sqref="B4:D8"/>
    </sheetView>
  </sheetViews>
  <sheetFormatPr defaultColWidth="9.140625" defaultRowHeight="15" x14ac:dyDescent="0.25"/>
  <cols>
    <col min="2" max="2" width="24.42578125" customWidth="1"/>
    <col min="3" max="3" width="23.42578125" customWidth="1"/>
    <col min="4" max="4" width="22.140625" customWidth="1"/>
  </cols>
  <sheetData>
    <row r="1" spans="2:6" s="47" customFormat="1" ht="58.5" customHeight="1" thickBot="1" x14ac:dyDescent="0.3"/>
    <row r="2" spans="2:6" ht="15.75" thickBot="1" x14ac:dyDescent="0.3">
      <c r="C2" s="63" t="s">
        <v>133</v>
      </c>
      <c r="D2" s="1"/>
    </row>
    <row r="3" spans="2:6" ht="20.25" customHeight="1" x14ac:dyDescent="0.25">
      <c r="B3" s="54" t="s">
        <v>0</v>
      </c>
      <c r="C3" s="54" t="s">
        <v>1</v>
      </c>
      <c r="D3" s="76" t="s">
        <v>5</v>
      </c>
      <c r="E3" s="76" t="s">
        <v>116</v>
      </c>
      <c r="F3" s="70" t="s">
        <v>2</v>
      </c>
    </row>
    <row r="4" spans="2:6" x14ac:dyDescent="0.25">
      <c r="B4" s="77"/>
      <c r="C4" s="73"/>
      <c r="D4" s="74"/>
      <c r="E4" s="6"/>
      <c r="F4" s="6"/>
    </row>
    <row r="5" spans="2:6" x14ac:dyDescent="0.25">
      <c r="B5" s="77"/>
      <c r="C5" s="73"/>
      <c r="D5" s="73"/>
      <c r="E5" s="6"/>
      <c r="F5" s="6"/>
    </row>
    <row r="6" spans="2:6" x14ac:dyDescent="0.25">
      <c r="B6" s="77"/>
      <c r="C6" s="73"/>
      <c r="D6" s="73"/>
      <c r="E6" s="73"/>
      <c r="F6" s="73"/>
    </row>
    <row r="7" spans="2:6" x14ac:dyDescent="0.25">
      <c r="B7" s="77"/>
      <c r="C7" s="73"/>
      <c r="D7" s="73"/>
      <c r="E7" s="73"/>
      <c r="F7" s="73"/>
    </row>
    <row r="8" spans="2:6" x14ac:dyDescent="0.25">
      <c r="B8" s="77"/>
      <c r="C8" s="73"/>
      <c r="D8" s="73"/>
      <c r="E8" s="73"/>
      <c r="F8" s="73"/>
    </row>
  </sheetData>
  <phoneticPr fontId="31"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42578125" customWidth="1"/>
    <col min="6" max="6" width="9.85546875" customWidth="1"/>
    <col min="7" max="7" width="20.85546875" customWidth="1"/>
  </cols>
  <sheetData>
    <row r="1" spans="2:7" s="47" customFormat="1" ht="44.25" customHeight="1" thickBot="1" x14ac:dyDescent="0.3"/>
    <row r="2" spans="2:7" ht="16.5" customHeight="1" thickBot="1" x14ac:dyDescent="0.3">
      <c r="B2" s="4"/>
      <c r="C2" s="63"/>
      <c r="D2" s="62"/>
      <c r="E2" s="4"/>
      <c r="F2" s="4"/>
      <c r="G2" s="4"/>
    </row>
    <row r="3" spans="2:7" ht="13.5" customHeight="1" thickBot="1" x14ac:dyDescent="0.3">
      <c r="B3" s="64"/>
      <c r="C3" s="65" t="s">
        <v>1</v>
      </c>
      <c r="D3" s="65" t="s">
        <v>5</v>
      </c>
      <c r="E3" s="67" t="s">
        <v>2</v>
      </c>
      <c r="F3" s="68" t="s">
        <v>116</v>
      </c>
      <c r="G3" s="66" t="s">
        <v>117</v>
      </c>
    </row>
    <row r="4" spans="2:7" ht="20.25" customHeight="1" x14ac:dyDescent="0.25">
      <c r="B4" s="42"/>
      <c r="C4" s="42"/>
      <c r="D4" s="41"/>
      <c r="E4" s="43"/>
      <c r="F4" s="44"/>
      <c r="G4" s="44"/>
    </row>
  </sheetData>
  <phoneticPr fontId="3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B10" sqref="B10:G18"/>
    </sheetView>
  </sheetViews>
  <sheetFormatPr defaultColWidth="9.140625" defaultRowHeight="15" x14ac:dyDescent="0.25"/>
  <cols>
    <col min="1" max="1" width="9.140625" style="10"/>
    <col min="2" max="7" width="16.42578125" style="10" customWidth="1"/>
    <col min="8" max="73" width="9.140625" style="10"/>
  </cols>
  <sheetData>
    <row r="1" spans="2:7" ht="15.75" thickBot="1" x14ac:dyDescent="0.3"/>
    <row r="2" spans="2:7" x14ac:dyDescent="0.25">
      <c r="B2" s="11"/>
      <c r="C2" s="12"/>
      <c r="D2" s="12"/>
      <c r="E2" s="12"/>
      <c r="F2" s="12"/>
      <c r="G2" s="13"/>
    </row>
    <row r="3" spans="2:7" x14ac:dyDescent="0.25">
      <c r="B3" s="2552" t="s">
        <v>109</v>
      </c>
      <c r="C3" s="2553"/>
      <c r="D3" s="2553"/>
      <c r="E3" s="2553"/>
      <c r="F3" s="2553"/>
      <c r="G3" s="2554"/>
    </row>
    <row r="4" spans="2:7" x14ac:dyDescent="0.25">
      <c r="B4" s="2552"/>
      <c r="C4" s="2553"/>
      <c r="D4" s="2553"/>
      <c r="E4" s="2553"/>
      <c r="F4" s="2553"/>
      <c r="G4" s="2554"/>
    </row>
    <row r="5" spans="2:7" x14ac:dyDescent="0.25">
      <c r="B5" s="2552"/>
      <c r="C5" s="2553"/>
      <c r="D5" s="2553"/>
      <c r="E5" s="2553"/>
      <c r="F5" s="2553"/>
      <c r="G5" s="2554"/>
    </row>
    <row r="6" spans="2:7" x14ac:dyDescent="0.25">
      <c r="B6" s="2552"/>
      <c r="C6" s="2553"/>
      <c r="D6" s="2553"/>
      <c r="E6" s="2553"/>
      <c r="F6" s="2553"/>
      <c r="G6" s="2554"/>
    </row>
    <row r="7" spans="2:7" x14ac:dyDescent="0.25">
      <c r="B7" s="2552"/>
      <c r="C7" s="2553"/>
      <c r="D7" s="2553"/>
      <c r="E7" s="2553"/>
      <c r="F7" s="2553"/>
      <c r="G7" s="2554"/>
    </row>
    <row r="8" spans="2:7" ht="15.75" thickBot="1" x14ac:dyDescent="0.3">
      <c r="B8" s="2555"/>
      <c r="C8" s="2556"/>
      <c r="D8" s="2556"/>
      <c r="E8" s="2556"/>
      <c r="F8" s="2556"/>
      <c r="G8" s="2557"/>
    </row>
    <row r="10" spans="2:7" x14ac:dyDescent="0.25">
      <c r="B10" s="2558"/>
      <c r="C10" s="2558"/>
      <c r="D10" s="2558"/>
      <c r="E10" s="2558"/>
      <c r="F10" s="2558"/>
      <c r="G10" s="2558"/>
    </row>
    <row r="11" spans="2:7" x14ac:dyDescent="0.25">
      <c r="B11" s="2558"/>
      <c r="C11" s="2558"/>
      <c r="D11" s="2558"/>
      <c r="E11" s="2558"/>
      <c r="F11" s="2558"/>
      <c r="G11" s="2558"/>
    </row>
    <row r="12" spans="2:7" x14ac:dyDescent="0.25">
      <c r="B12" s="2558"/>
      <c r="C12" s="2558"/>
      <c r="D12" s="2558"/>
      <c r="E12" s="2558"/>
      <c r="F12" s="2558"/>
      <c r="G12" s="2558"/>
    </row>
    <row r="13" spans="2:7" x14ac:dyDescent="0.25">
      <c r="B13" s="2558"/>
      <c r="C13" s="2558"/>
      <c r="D13" s="2558"/>
      <c r="E13" s="2558"/>
      <c r="F13" s="2558"/>
      <c r="G13" s="2558"/>
    </row>
    <row r="14" spans="2:7" x14ac:dyDescent="0.25">
      <c r="B14" s="2558"/>
      <c r="C14" s="2558"/>
      <c r="D14" s="2558"/>
      <c r="E14" s="2558"/>
      <c r="F14" s="2558"/>
      <c r="G14" s="2558"/>
    </row>
    <row r="15" spans="2:7" x14ac:dyDescent="0.25">
      <c r="B15" s="2558"/>
      <c r="C15" s="2558"/>
      <c r="D15" s="2558"/>
      <c r="E15" s="2558"/>
      <c r="F15" s="2558"/>
      <c r="G15" s="2558"/>
    </row>
    <row r="16" spans="2:7" x14ac:dyDescent="0.25">
      <c r="B16" s="2558"/>
      <c r="C16" s="2558"/>
      <c r="D16" s="2558"/>
      <c r="E16" s="2558"/>
      <c r="F16" s="2558"/>
      <c r="G16" s="2558"/>
    </row>
    <row r="17" spans="2:7" x14ac:dyDescent="0.25">
      <c r="B17" s="2558"/>
      <c r="C17" s="2558"/>
      <c r="D17" s="2558"/>
      <c r="E17" s="2558"/>
      <c r="F17" s="2558"/>
      <c r="G17" s="2558"/>
    </row>
    <row r="18" spans="2:7" x14ac:dyDescent="0.25">
      <c r="B18" s="2558"/>
      <c r="C18" s="2558"/>
      <c r="D18" s="2558"/>
      <c r="E18" s="2558"/>
      <c r="F18" s="2558"/>
      <c r="G18" s="2558"/>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107</v>
      </c>
      <c r="B1" s="9">
        <v>387</v>
      </c>
    </row>
    <row r="2" spans="1:3" x14ac:dyDescent="0.25">
      <c r="A2" t="s">
        <v>108</v>
      </c>
      <c r="B2" s="9">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24"/>
  <sheetViews>
    <sheetView showGridLines="0" workbookViewId="0"/>
  </sheetViews>
  <sheetFormatPr defaultColWidth="8.7109375" defaultRowHeight="15" x14ac:dyDescent="0.25"/>
  <cols>
    <col min="1" max="1" width="5.7109375" customWidth="1"/>
    <col min="2" max="2" width="51.28515625" customWidth="1"/>
    <col min="3" max="3" width="52" customWidth="1"/>
    <col min="4" max="4" width="75.85546875" style="1123" bestFit="1" customWidth="1"/>
    <col min="5" max="5" width="17.7109375" customWidth="1"/>
    <col min="6" max="6" width="9.28515625" customWidth="1"/>
    <col min="7" max="7" width="2.7109375" customWidth="1"/>
    <col min="8" max="8" width="56.7109375" style="14" customWidth="1"/>
  </cols>
  <sheetData>
    <row r="1" spans="1:10" s="1104" customFormat="1" x14ac:dyDescent="0.25">
      <c r="D1" s="1120"/>
    </row>
    <row r="2" spans="1:10" s="1104" customFormat="1" ht="15.75" thickBot="1" x14ac:dyDescent="0.3">
      <c r="C2" s="1109" t="s">
        <v>780</v>
      </c>
      <c r="D2" s="1120"/>
    </row>
    <row r="3" spans="1:10" s="1104" customFormat="1" ht="15.75" thickBot="1" x14ac:dyDescent="0.3">
      <c r="B3" s="1110" t="s">
        <v>0</v>
      </c>
      <c r="C3" s="1111" t="s">
        <v>1</v>
      </c>
      <c r="D3" s="1121" t="s">
        <v>5</v>
      </c>
      <c r="E3" s="1112" t="s">
        <v>116</v>
      </c>
      <c r="F3" s="1112" t="s">
        <v>2</v>
      </c>
      <c r="H3" s="1112" t="s">
        <v>4070</v>
      </c>
    </row>
    <row r="4" spans="1:10" s="1104" customFormat="1" x14ac:dyDescent="0.25">
      <c r="B4" s="1105" t="s">
        <v>165</v>
      </c>
      <c r="C4" s="1106" t="s">
        <v>166</v>
      </c>
      <c r="D4" s="1122" t="s">
        <v>167</v>
      </c>
      <c r="E4" s="1107"/>
      <c r="F4" s="1107"/>
      <c r="H4" s="1108"/>
    </row>
    <row r="5" spans="1:10" s="1104" customFormat="1" x14ac:dyDescent="0.25">
      <c r="B5" s="1105" t="s">
        <v>168</v>
      </c>
      <c r="C5" s="1106" t="s">
        <v>169</v>
      </c>
      <c r="D5" s="1122" t="s">
        <v>170</v>
      </c>
      <c r="E5" s="1107"/>
      <c r="F5" s="1107"/>
      <c r="H5" s="1108"/>
    </row>
    <row r="6" spans="1:10" s="1104" customFormat="1" x14ac:dyDescent="0.25">
      <c r="B6" s="1105" t="s">
        <v>267</v>
      </c>
      <c r="C6" s="1106" t="s">
        <v>268</v>
      </c>
      <c r="D6" s="1122" t="s">
        <v>774</v>
      </c>
      <c r="E6" s="1107"/>
      <c r="F6" s="1107"/>
      <c r="H6" s="1108"/>
    </row>
    <row r="7" spans="1:10" s="1104" customFormat="1" x14ac:dyDescent="0.25">
      <c r="B7" s="1105" t="s">
        <v>269</v>
      </c>
      <c r="C7" s="1106" t="s">
        <v>270</v>
      </c>
      <c r="D7" s="1122" t="s">
        <v>1379</v>
      </c>
      <c r="E7" s="1107"/>
      <c r="F7" s="1107"/>
      <c r="H7" s="1108"/>
    </row>
    <row r="8" spans="1:10" s="1104" customFormat="1" x14ac:dyDescent="0.25">
      <c r="B8" s="1105" t="s">
        <v>171</v>
      </c>
      <c r="C8" s="1106" t="s">
        <v>172</v>
      </c>
      <c r="D8" s="1122" t="s">
        <v>173</v>
      </c>
      <c r="E8" s="1107"/>
      <c r="F8" s="1107"/>
      <c r="H8" s="1108"/>
    </row>
    <row r="9" spans="1:10" s="1104" customFormat="1" x14ac:dyDescent="0.25">
      <c r="B9" s="1105" t="s">
        <v>4591</v>
      </c>
      <c r="C9" s="1106" t="s">
        <v>4592</v>
      </c>
      <c r="D9" s="1122" t="s">
        <v>4593</v>
      </c>
      <c r="E9" s="1107"/>
      <c r="F9" s="1107"/>
      <c r="H9" s="1108"/>
    </row>
    <row r="10" spans="1:10" s="1969" customFormat="1" x14ac:dyDescent="0.25">
      <c r="B10" s="1970" t="s">
        <v>4692</v>
      </c>
      <c r="C10" s="1971" t="s">
        <v>4693</v>
      </c>
      <c r="D10" s="1972" t="s">
        <v>4694</v>
      </c>
      <c r="E10" s="1973"/>
      <c r="F10" s="1973"/>
      <c r="H10" s="1974"/>
    </row>
    <row r="11" spans="1:10" s="1104" customFormat="1" x14ac:dyDescent="0.25">
      <c r="A11" s="1969"/>
      <c r="B11" s="1881" t="s">
        <v>1380</v>
      </c>
      <c r="C11" s="1882" t="s">
        <v>175</v>
      </c>
      <c r="D11" s="1883" t="s">
        <v>4652</v>
      </c>
      <c r="E11" s="1884"/>
      <c r="F11" s="1884"/>
      <c r="G11" s="1885"/>
      <c r="H11" s="1974"/>
      <c r="I11" s="1885"/>
      <c r="J11" s="1885"/>
    </row>
    <row r="12" spans="1:10" s="1104" customFormat="1" x14ac:dyDescent="0.25">
      <c r="A12" s="1969"/>
      <c r="B12" s="1881" t="s">
        <v>1381</v>
      </c>
      <c r="C12" s="1882" t="s">
        <v>178</v>
      </c>
      <c r="D12" s="1883" t="s">
        <v>4653</v>
      </c>
      <c r="E12" s="1884"/>
      <c r="F12" s="1884"/>
      <c r="G12" s="1885"/>
      <c r="H12" s="1974"/>
      <c r="I12" s="1885"/>
      <c r="J12" s="1885"/>
    </row>
    <row r="13" spans="1:10" s="1104" customFormat="1" x14ac:dyDescent="0.25">
      <c r="A13" s="1969"/>
      <c r="B13" s="1881" t="s">
        <v>4594</v>
      </c>
      <c r="C13" s="1882" t="s">
        <v>4595</v>
      </c>
      <c r="D13" s="1883" t="s">
        <v>1137</v>
      </c>
      <c r="E13" s="1884"/>
      <c r="F13" s="1884"/>
      <c r="G13" s="1885"/>
      <c r="H13" s="1886"/>
      <c r="I13" s="1885"/>
      <c r="J13" s="1885"/>
    </row>
    <row r="14" spans="1:10" s="1104" customFormat="1" x14ac:dyDescent="0.25">
      <c r="A14" s="1969"/>
      <c r="B14" s="1881" t="s">
        <v>4596</v>
      </c>
      <c r="C14" s="1882" t="s">
        <v>4597</v>
      </c>
      <c r="D14" s="1883" t="s">
        <v>1138</v>
      </c>
      <c r="E14" s="1884"/>
      <c r="F14" s="1884"/>
      <c r="G14" s="1885"/>
      <c r="H14" s="1886"/>
      <c r="I14" s="1885"/>
      <c r="J14" s="1885"/>
    </row>
    <row r="15" spans="1:10" s="1104" customFormat="1" x14ac:dyDescent="0.25">
      <c r="A15" s="1969"/>
      <c r="B15" s="1105" t="s">
        <v>1231</v>
      </c>
      <c r="C15" s="1106" t="s">
        <v>1139</v>
      </c>
      <c r="D15" s="1122" t="s">
        <v>1232</v>
      </c>
      <c r="E15" s="1107"/>
      <c r="F15" s="1107"/>
      <c r="H15" s="1108"/>
    </row>
    <row r="16" spans="1:10" s="1104" customFormat="1" x14ac:dyDescent="0.25">
      <c r="B16" s="1105" t="s">
        <v>1140</v>
      </c>
      <c r="C16" s="1106" t="s">
        <v>1141</v>
      </c>
      <c r="D16" s="1122" t="s">
        <v>1142</v>
      </c>
      <c r="E16" s="1107"/>
      <c r="F16" s="1107"/>
      <c r="H16" s="1108"/>
    </row>
    <row r="17" spans="2:8" s="1104" customFormat="1" x14ac:dyDescent="0.25">
      <c r="B17" s="1105" t="s">
        <v>180</v>
      </c>
      <c r="C17" s="1106" t="s">
        <v>181</v>
      </c>
      <c r="D17" s="1122" t="s">
        <v>182</v>
      </c>
      <c r="E17" s="1107"/>
      <c r="F17" s="1107"/>
      <c r="H17" s="1108"/>
    </row>
    <row r="18" spans="2:8" s="1104" customFormat="1" x14ac:dyDescent="0.25">
      <c r="B18" s="1105" t="s">
        <v>183</v>
      </c>
      <c r="C18" s="1106" t="s">
        <v>184</v>
      </c>
      <c r="D18" s="1122" t="s">
        <v>778</v>
      </c>
      <c r="E18" s="1107"/>
      <c r="F18" s="1107"/>
      <c r="H18" s="1108"/>
    </row>
    <row r="19" spans="2:8" s="1104" customFormat="1" x14ac:dyDescent="0.25">
      <c r="B19" s="1105" t="s">
        <v>151</v>
      </c>
      <c r="C19" s="1106" t="s">
        <v>149</v>
      </c>
      <c r="D19" s="1122" t="s">
        <v>150</v>
      </c>
      <c r="E19" s="1107"/>
      <c r="F19" s="1107"/>
      <c r="H19" s="1108"/>
    </row>
    <row r="20" spans="2:8" s="1104" customFormat="1" x14ac:dyDescent="0.25">
      <c r="B20" s="1105" t="s">
        <v>775</v>
      </c>
      <c r="C20" s="1106" t="s">
        <v>776</v>
      </c>
      <c r="D20" s="1122" t="s">
        <v>779</v>
      </c>
      <c r="E20" s="1107"/>
      <c r="F20" s="1107"/>
      <c r="H20" s="1108" t="s">
        <v>781</v>
      </c>
    </row>
    <row r="21" spans="2:8" s="1104" customFormat="1" x14ac:dyDescent="0.25">
      <c r="B21" s="1105" t="s">
        <v>1409</v>
      </c>
      <c r="C21" s="1106" t="s">
        <v>1410</v>
      </c>
      <c r="D21" s="1122" t="s">
        <v>4071</v>
      </c>
      <c r="E21" s="1107"/>
      <c r="F21" s="1107"/>
      <c r="H21" s="1108"/>
    </row>
    <row r="22" spans="2:8" s="1104" customFormat="1" ht="18" x14ac:dyDescent="0.25">
      <c r="B22" s="1105" t="s">
        <v>1384</v>
      </c>
      <c r="C22" s="1106" t="s">
        <v>1385</v>
      </c>
      <c r="D22" s="1122" t="s">
        <v>1386</v>
      </c>
      <c r="E22" s="1107"/>
      <c r="F22" s="1107"/>
      <c r="H22" s="1108"/>
    </row>
    <row r="23" spans="2:8" s="1104" customFormat="1" ht="18" x14ac:dyDescent="0.25">
      <c r="B23" s="1105" t="s">
        <v>1387</v>
      </c>
      <c r="C23" s="1106" t="s">
        <v>1388</v>
      </c>
      <c r="D23" s="1122" t="s">
        <v>1389</v>
      </c>
      <c r="E23" s="1107"/>
      <c r="F23" s="1107"/>
      <c r="H23" s="1108"/>
    </row>
    <row r="24" spans="2:8" s="1104" customFormat="1" ht="18" x14ac:dyDescent="0.25">
      <c r="B24" s="1105" t="s">
        <v>1390</v>
      </c>
      <c r="C24" s="1106" t="s">
        <v>777</v>
      </c>
      <c r="D24" s="1122" t="s">
        <v>1391</v>
      </c>
      <c r="E24" s="1107"/>
      <c r="F24" s="1107"/>
      <c r="H24" s="1108"/>
    </row>
    <row r="25" spans="2:8" s="1104" customFormat="1" ht="18" x14ac:dyDescent="0.25">
      <c r="B25" s="1105" t="s">
        <v>1392</v>
      </c>
      <c r="C25" s="1106" t="s">
        <v>1393</v>
      </c>
      <c r="D25" s="1122" t="s">
        <v>1394</v>
      </c>
      <c r="E25" s="1107"/>
      <c r="F25" s="1107"/>
      <c r="H25" s="1108"/>
    </row>
    <row r="26" spans="2:8" s="1104" customFormat="1" ht="18" x14ac:dyDescent="0.25">
      <c r="B26" s="1105" t="s">
        <v>1395</v>
      </c>
      <c r="C26" s="1106" t="s">
        <v>1396</v>
      </c>
      <c r="D26" s="1122" t="s">
        <v>1397</v>
      </c>
      <c r="E26" s="1107"/>
      <c r="F26" s="1107"/>
      <c r="H26" s="1108"/>
    </row>
    <row r="27" spans="2:8" s="1104" customFormat="1" ht="18" x14ac:dyDescent="0.25">
      <c r="B27" s="1105" t="s">
        <v>1398</v>
      </c>
      <c r="C27" s="1106" t="s">
        <v>1399</v>
      </c>
      <c r="D27" s="1122" t="s">
        <v>1400</v>
      </c>
      <c r="E27" s="1107"/>
      <c r="F27" s="1107"/>
      <c r="H27" s="1108"/>
    </row>
    <row r="28" spans="2:8" s="1104" customFormat="1" ht="18" x14ac:dyDescent="0.25">
      <c r="B28" s="1105" t="s">
        <v>1401</v>
      </c>
      <c r="C28" s="1106" t="s">
        <v>1402</v>
      </c>
      <c r="D28" s="1122" t="s">
        <v>1403</v>
      </c>
      <c r="E28" s="1107"/>
      <c r="F28" s="1107"/>
      <c r="H28" s="1108"/>
    </row>
    <row r="29" spans="2:8" s="1104" customFormat="1" ht="18" x14ac:dyDescent="0.25">
      <c r="B29" s="1105" t="s">
        <v>4072</v>
      </c>
      <c r="C29" s="1106" t="s">
        <v>4073</v>
      </c>
      <c r="D29" s="1122" t="s">
        <v>4074</v>
      </c>
      <c r="E29" s="1107"/>
      <c r="F29" s="1107"/>
      <c r="H29" s="1108"/>
    </row>
    <row r="30" spans="2:8" s="1104" customFormat="1" ht="18" x14ac:dyDescent="0.25">
      <c r="B30" s="1105" t="s">
        <v>4075</v>
      </c>
      <c r="C30" s="1106" t="s">
        <v>4076</v>
      </c>
      <c r="D30" s="1122" t="s">
        <v>4077</v>
      </c>
      <c r="E30" s="1107"/>
      <c r="F30" s="1107"/>
      <c r="H30" s="1108"/>
    </row>
    <row r="31" spans="2:8" s="1104" customFormat="1" x14ac:dyDescent="0.25">
      <c r="D31" s="1120"/>
    </row>
    <row r="32" spans="2:8" s="1104" customFormat="1" ht="15.75" thickBot="1" x14ac:dyDescent="0.3">
      <c r="C32" s="1109" t="s">
        <v>1404</v>
      </c>
      <c r="D32" s="1120"/>
    </row>
    <row r="33" spans="2:8" s="1104" customFormat="1" ht="15.75" thickBot="1" x14ac:dyDescent="0.3">
      <c r="B33" s="1110" t="s">
        <v>0</v>
      </c>
      <c r="C33" s="1111" t="s">
        <v>1</v>
      </c>
      <c r="D33" s="1121" t="s">
        <v>5</v>
      </c>
      <c r="E33" s="1112" t="s">
        <v>116</v>
      </c>
      <c r="F33" s="1112" t="s">
        <v>2</v>
      </c>
      <c r="H33" s="1112" t="s">
        <v>1405</v>
      </c>
    </row>
    <row r="34" spans="2:8" s="1104" customFormat="1" x14ac:dyDescent="0.25">
      <c r="B34" s="1105" t="s">
        <v>1406</v>
      </c>
      <c r="C34" s="1106" t="s">
        <v>1407</v>
      </c>
      <c r="D34" s="1122" t="s">
        <v>1408</v>
      </c>
      <c r="E34" s="1107"/>
      <c r="F34" s="1107"/>
      <c r="H34" s="1108"/>
    </row>
    <row r="35" spans="2:8" s="1104" customFormat="1" ht="120" x14ac:dyDescent="0.25">
      <c r="B35" s="1105" t="s">
        <v>1382</v>
      </c>
      <c r="C35" s="1106" t="s">
        <v>1383</v>
      </c>
      <c r="D35" s="1122" t="s">
        <v>4078</v>
      </c>
      <c r="E35" s="1107"/>
      <c r="F35" s="1107"/>
      <c r="H35" s="1108"/>
    </row>
    <row r="36" spans="2:8" s="1104" customFormat="1" x14ac:dyDescent="0.25">
      <c r="B36" s="1105" t="s">
        <v>1411</v>
      </c>
      <c r="C36" s="1106" t="s">
        <v>1412</v>
      </c>
      <c r="D36" s="1122" t="s">
        <v>1413</v>
      </c>
      <c r="E36" s="1107"/>
      <c r="F36" s="1107"/>
      <c r="H36" s="1108"/>
    </row>
    <row r="37" spans="2:8" s="1104" customFormat="1" x14ac:dyDescent="0.25">
      <c r="B37" s="1105" t="s">
        <v>1414</v>
      </c>
      <c r="C37" s="1106" t="s">
        <v>1415</v>
      </c>
      <c r="D37" s="1122" t="s">
        <v>1416</v>
      </c>
      <c r="E37" s="1107"/>
      <c r="F37" s="1107"/>
      <c r="H37" s="1108"/>
    </row>
    <row r="38" spans="2:8" s="1104" customFormat="1" x14ac:dyDescent="0.25">
      <c r="B38" s="1105" t="s">
        <v>1417</v>
      </c>
      <c r="C38" s="1106" t="s">
        <v>1418</v>
      </c>
      <c r="D38" s="1122" t="s">
        <v>1419</v>
      </c>
      <c r="E38" s="1107"/>
      <c r="F38" s="1107"/>
      <c r="H38" s="1108"/>
    </row>
    <row r="39" spans="2:8" s="1104" customFormat="1" x14ac:dyDescent="0.25">
      <c r="B39" s="1105" t="s">
        <v>1420</v>
      </c>
      <c r="C39" s="1106" t="s">
        <v>1421</v>
      </c>
      <c r="D39" s="1122" t="s">
        <v>1422</v>
      </c>
      <c r="E39" s="1107"/>
      <c r="F39" s="1107"/>
      <c r="H39" s="1108"/>
    </row>
    <row r="40" spans="2:8" s="1104" customFormat="1" x14ac:dyDescent="0.25">
      <c r="B40" s="1105" t="s">
        <v>1423</v>
      </c>
      <c r="C40" s="1106" t="s">
        <v>1424</v>
      </c>
      <c r="D40" s="1122" t="s">
        <v>1425</v>
      </c>
      <c r="E40" s="1107"/>
      <c r="F40" s="1107"/>
      <c r="H40" s="1108"/>
    </row>
    <row r="41" spans="2:8" s="1104" customFormat="1" x14ac:dyDescent="0.25">
      <c r="B41" s="1105" t="s">
        <v>4079</v>
      </c>
      <c r="C41" s="1106" t="s">
        <v>4080</v>
      </c>
      <c r="D41" s="1122" t="s">
        <v>4081</v>
      </c>
      <c r="E41" s="1107"/>
      <c r="F41" s="1107"/>
      <c r="H41" s="1108"/>
    </row>
    <row r="42" spans="2:8" s="1104" customFormat="1" ht="90" x14ac:dyDescent="0.25">
      <c r="B42" s="1105" t="s">
        <v>1426</v>
      </c>
      <c r="C42" s="1106" t="s">
        <v>1427</v>
      </c>
      <c r="D42" s="1122" t="s">
        <v>4082</v>
      </c>
      <c r="E42" s="1107"/>
      <c r="F42" s="1107"/>
      <c r="H42" s="1108"/>
    </row>
    <row r="43" spans="2:8" s="1104" customFormat="1" x14ac:dyDescent="0.25">
      <c r="B43" s="1105" t="s">
        <v>1428</v>
      </c>
      <c r="C43" s="1106" t="s">
        <v>1429</v>
      </c>
      <c r="D43" s="1122" t="s">
        <v>1430</v>
      </c>
      <c r="E43" s="1107"/>
      <c r="F43" s="1107"/>
      <c r="H43" s="1108"/>
    </row>
    <row r="44" spans="2:8" s="1104" customFormat="1" x14ac:dyDescent="0.25">
      <c r="B44" s="1105" t="s">
        <v>4083</v>
      </c>
      <c r="C44" s="1106"/>
      <c r="D44" s="1122" t="s">
        <v>1430</v>
      </c>
      <c r="E44" s="1107" t="s">
        <v>4084</v>
      </c>
      <c r="F44" s="1107"/>
      <c r="H44" s="1108"/>
    </row>
    <row r="45" spans="2:8" s="1104" customFormat="1" ht="90" x14ac:dyDescent="0.25">
      <c r="B45" s="1105" t="s">
        <v>1431</v>
      </c>
      <c r="C45" s="1106" t="s">
        <v>1432</v>
      </c>
      <c r="D45" s="1122" t="s">
        <v>4085</v>
      </c>
      <c r="E45" s="1107"/>
      <c r="F45" s="1107"/>
      <c r="H45" s="1108"/>
    </row>
    <row r="46" spans="2:8" s="1104" customFormat="1" ht="270" x14ac:dyDescent="0.25">
      <c r="B46" s="1105" t="s">
        <v>4086</v>
      </c>
      <c r="C46" s="1106" t="s">
        <v>4087</v>
      </c>
      <c r="D46" s="1122" t="s">
        <v>4088</v>
      </c>
      <c r="E46" s="1107"/>
      <c r="F46" s="1107"/>
      <c r="H46" s="1108"/>
    </row>
    <row r="47" spans="2:8" s="1104" customFormat="1" ht="90" x14ac:dyDescent="0.25">
      <c r="B47" s="1105" t="s">
        <v>1433</v>
      </c>
      <c r="C47" s="1106" t="s">
        <v>1434</v>
      </c>
      <c r="D47" s="1122" t="s">
        <v>4089</v>
      </c>
      <c r="E47" s="1107"/>
      <c r="F47" s="1107"/>
      <c r="H47" s="1108"/>
    </row>
    <row r="48" spans="2:8" s="1104" customFormat="1" ht="90" x14ac:dyDescent="0.25">
      <c r="B48" s="1105" t="s">
        <v>1435</v>
      </c>
      <c r="C48" s="1106" t="s">
        <v>1436</v>
      </c>
      <c r="D48" s="1122" t="s">
        <v>4090</v>
      </c>
      <c r="E48" s="1107"/>
      <c r="F48" s="1107"/>
      <c r="H48" s="1108"/>
    </row>
    <row r="49" spans="2:8" s="1104" customFormat="1" ht="90" x14ac:dyDescent="0.25">
      <c r="B49" s="1105" t="s">
        <v>1437</v>
      </c>
      <c r="C49" s="1106" t="s">
        <v>1438</v>
      </c>
      <c r="D49" s="1122" t="s">
        <v>4091</v>
      </c>
      <c r="E49" s="1107"/>
      <c r="F49" s="1107"/>
      <c r="H49" s="1108"/>
    </row>
    <row r="50" spans="2:8" s="1104" customFormat="1" ht="105" x14ac:dyDescent="0.25">
      <c r="B50" s="1105" t="s">
        <v>4092</v>
      </c>
      <c r="C50" s="1106" t="s">
        <v>4093</v>
      </c>
      <c r="D50" s="1122" t="s">
        <v>4094</v>
      </c>
      <c r="E50" s="1107"/>
      <c r="F50" s="1107"/>
      <c r="H50" s="1108"/>
    </row>
    <row r="51" spans="2:8" s="1104" customFormat="1" ht="90" x14ac:dyDescent="0.25">
      <c r="B51" s="1105" t="s">
        <v>4095</v>
      </c>
      <c r="C51" s="1106" t="s">
        <v>4096</v>
      </c>
      <c r="D51" s="1122" t="s">
        <v>4097</v>
      </c>
      <c r="E51" s="1107"/>
      <c r="F51" s="1107"/>
      <c r="H51" s="1108"/>
    </row>
    <row r="52" spans="2:8" s="1104" customFormat="1" x14ac:dyDescent="0.25">
      <c r="B52" s="1105" t="s">
        <v>1439</v>
      </c>
      <c r="C52" s="1106" t="s">
        <v>1440</v>
      </c>
      <c r="D52" s="1122" t="s">
        <v>1441</v>
      </c>
      <c r="E52" s="1107"/>
      <c r="F52" s="1107"/>
      <c r="H52" s="1108"/>
    </row>
    <row r="53" spans="2:8" s="1104" customFormat="1" x14ac:dyDescent="0.25">
      <c r="B53" s="1105" t="s">
        <v>1442</v>
      </c>
      <c r="C53" s="1106" t="s">
        <v>1443</v>
      </c>
      <c r="D53" s="1122" t="s">
        <v>1444</v>
      </c>
      <c r="E53" s="1107"/>
      <c r="F53" s="1107"/>
      <c r="H53" s="1108"/>
    </row>
    <row r="54" spans="2:8" s="1104" customFormat="1" x14ac:dyDescent="0.25">
      <c r="B54" s="1105" t="s">
        <v>1445</v>
      </c>
      <c r="C54" s="1106" t="s">
        <v>1446</v>
      </c>
      <c r="D54" s="1122" t="s">
        <v>1447</v>
      </c>
      <c r="E54" s="1107"/>
      <c r="F54" s="1107"/>
      <c r="H54" s="1108"/>
    </row>
    <row r="55" spans="2:8" s="1104" customFormat="1" x14ac:dyDescent="0.25">
      <c r="B55" s="1105" t="s">
        <v>1448</v>
      </c>
      <c r="C55" s="1106" t="s">
        <v>1449</v>
      </c>
      <c r="D55" s="1122" t="s">
        <v>1450</v>
      </c>
      <c r="E55" s="1107"/>
      <c r="F55" s="1107"/>
      <c r="H55" s="1108"/>
    </row>
    <row r="56" spans="2:8" s="1104" customFormat="1" x14ac:dyDescent="0.25">
      <c r="B56" s="1105" t="s">
        <v>1451</v>
      </c>
      <c r="C56" s="1106" t="s">
        <v>1452</v>
      </c>
      <c r="D56" s="1122" t="s">
        <v>1453</v>
      </c>
      <c r="E56" s="1107"/>
      <c r="F56" s="1107"/>
      <c r="H56" s="1108"/>
    </row>
    <row r="57" spans="2:8" s="1104" customFormat="1" x14ac:dyDescent="0.25">
      <c r="B57" s="1105" t="s">
        <v>1454</v>
      </c>
      <c r="C57" s="1106" t="s">
        <v>1455</v>
      </c>
      <c r="D57" s="1122" t="s">
        <v>1456</v>
      </c>
      <c r="E57" s="1107"/>
      <c r="F57" s="1107"/>
      <c r="H57" s="1108"/>
    </row>
    <row r="58" spans="2:8" s="1104" customFormat="1" x14ac:dyDescent="0.25">
      <c r="B58" s="1105" t="s">
        <v>1457</v>
      </c>
      <c r="C58" s="1106" t="s">
        <v>1458</v>
      </c>
      <c r="D58" s="1122" t="s">
        <v>1459</v>
      </c>
      <c r="E58" s="1107"/>
      <c r="F58" s="1107"/>
      <c r="H58" s="1108"/>
    </row>
    <row r="59" spans="2:8" s="1104" customFormat="1" x14ac:dyDescent="0.25">
      <c r="B59" s="1105" t="s">
        <v>1460</v>
      </c>
      <c r="C59" s="1106" t="s">
        <v>1461</v>
      </c>
      <c r="D59" s="1122" t="s">
        <v>1462</v>
      </c>
      <c r="E59" s="1107"/>
      <c r="F59" s="1107"/>
      <c r="H59" s="1108"/>
    </row>
    <row r="60" spans="2:8" s="1104" customFormat="1" x14ac:dyDescent="0.25">
      <c r="B60" s="1105" t="s">
        <v>1463</v>
      </c>
      <c r="C60" s="1106" t="s">
        <v>1464</v>
      </c>
      <c r="D60" s="1122" t="s">
        <v>1465</v>
      </c>
      <c r="E60" s="1107"/>
      <c r="F60" s="1107"/>
      <c r="H60" s="1108"/>
    </row>
    <row r="61" spans="2:8" s="1104" customFormat="1" x14ac:dyDescent="0.25">
      <c r="B61" s="1105" t="s">
        <v>1466</v>
      </c>
      <c r="C61" s="1106" t="s">
        <v>1467</v>
      </c>
      <c r="D61" s="1122" t="s">
        <v>1468</v>
      </c>
      <c r="E61" s="1107"/>
      <c r="F61" s="1107"/>
      <c r="H61" s="1108"/>
    </row>
    <row r="62" spans="2:8" s="1104" customFormat="1" x14ac:dyDescent="0.25">
      <c r="D62" s="1120"/>
    </row>
    <row r="63" spans="2:8" s="1104" customFormat="1" ht="15.75" thickBot="1" x14ac:dyDescent="0.3">
      <c r="C63" s="1109"/>
      <c r="D63" s="1120"/>
    </row>
    <row r="64" spans="2:8" s="1104" customFormat="1" ht="15.75" thickBot="1" x14ac:dyDescent="0.3">
      <c r="B64" s="1110"/>
      <c r="C64" s="1111" t="s">
        <v>1469</v>
      </c>
      <c r="D64" s="1121"/>
      <c r="E64" s="1112"/>
      <c r="F64" s="1112"/>
      <c r="H64" s="1112"/>
    </row>
    <row r="65" spans="2:8" s="1104" customFormat="1" x14ac:dyDescent="0.25">
      <c r="B65" s="1105" t="s">
        <v>0</v>
      </c>
      <c r="C65" s="1106" t="s">
        <v>1</v>
      </c>
      <c r="D65" s="1122" t="s">
        <v>5</v>
      </c>
      <c r="E65" s="1107" t="s">
        <v>116</v>
      </c>
      <c r="F65" s="1107" t="s">
        <v>2</v>
      </c>
      <c r="H65" s="1108" t="s">
        <v>1470</v>
      </c>
    </row>
    <row r="66" spans="2:8" s="1104" customFormat="1" x14ac:dyDescent="0.25">
      <c r="B66" s="1105" t="s">
        <v>1471</v>
      </c>
      <c r="C66" s="1106" t="s">
        <v>374</v>
      </c>
      <c r="D66" s="1122" t="s">
        <v>1472</v>
      </c>
      <c r="E66" s="1107"/>
      <c r="F66" s="1107"/>
      <c r="H66" s="1108"/>
    </row>
    <row r="67" spans="2:8" s="1104" customFormat="1" x14ac:dyDescent="0.25">
      <c r="B67" s="1105" t="s">
        <v>190</v>
      </c>
      <c r="C67" s="1106" t="s">
        <v>375</v>
      </c>
      <c r="D67" s="1122" t="s">
        <v>192</v>
      </c>
      <c r="E67" s="1107"/>
      <c r="F67" s="1107"/>
      <c r="H67" s="1108"/>
    </row>
    <row r="68" spans="2:8" s="1104" customFormat="1" x14ac:dyDescent="0.25">
      <c r="B68" s="1105" t="s">
        <v>1473</v>
      </c>
      <c r="C68" s="1106" t="s">
        <v>375</v>
      </c>
      <c r="D68" s="1122" t="s">
        <v>1474</v>
      </c>
      <c r="E68" s="1107"/>
      <c r="F68" s="1107"/>
      <c r="H68" s="1108"/>
    </row>
    <row r="69" spans="2:8" s="1104" customFormat="1" x14ac:dyDescent="0.25">
      <c r="B69" s="1105" t="s">
        <v>1475</v>
      </c>
      <c r="C69" s="1106" t="s">
        <v>375</v>
      </c>
      <c r="D69" s="1122" t="s">
        <v>1476</v>
      </c>
      <c r="E69" s="1107"/>
      <c r="F69" s="1107"/>
      <c r="H69" s="1108"/>
    </row>
    <row r="70" spans="2:8" s="1104" customFormat="1" x14ac:dyDescent="0.25">
      <c r="B70" s="1105" t="s">
        <v>1477</v>
      </c>
      <c r="C70" s="1106" t="s">
        <v>375</v>
      </c>
      <c r="D70" s="1122" t="s">
        <v>1478</v>
      </c>
      <c r="E70" s="1107"/>
      <c r="F70" s="1107"/>
      <c r="H70" s="1108"/>
    </row>
    <row r="71" spans="2:8" s="1104" customFormat="1" x14ac:dyDescent="0.25">
      <c r="B71" s="1105" t="s">
        <v>1479</v>
      </c>
      <c r="C71" s="1106" t="s">
        <v>375</v>
      </c>
      <c r="D71" s="1122" t="s">
        <v>1480</v>
      </c>
      <c r="E71" s="1107"/>
      <c r="F71" s="1107"/>
      <c r="H71" s="1108"/>
    </row>
    <row r="72" spans="2:8" s="1104" customFormat="1" x14ac:dyDescent="0.25">
      <c r="B72" s="1105" t="s">
        <v>1481</v>
      </c>
      <c r="C72" s="1106" t="s">
        <v>375</v>
      </c>
      <c r="D72" s="1122" t="s">
        <v>1482</v>
      </c>
      <c r="E72" s="1107"/>
      <c r="F72" s="1107"/>
      <c r="H72" s="1108"/>
    </row>
    <row r="73" spans="2:8" s="1104" customFormat="1" x14ac:dyDescent="0.25">
      <c r="B73" s="1105" t="s">
        <v>1483</v>
      </c>
      <c r="C73" s="1106" t="s">
        <v>375</v>
      </c>
      <c r="D73" s="1122" t="s">
        <v>1484</v>
      </c>
      <c r="E73" s="1107"/>
      <c r="F73" s="1107"/>
      <c r="H73" s="1108"/>
    </row>
    <row r="74" spans="2:8" s="1104" customFormat="1" x14ac:dyDescent="0.25">
      <c r="B74" s="1105" t="s">
        <v>1485</v>
      </c>
      <c r="C74" s="1106" t="s">
        <v>375</v>
      </c>
      <c r="D74" s="1122" t="s">
        <v>1486</v>
      </c>
      <c r="E74" s="1107"/>
      <c r="F74" s="1107"/>
      <c r="H74" s="1108"/>
    </row>
    <row r="75" spans="2:8" s="1104" customFormat="1" x14ac:dyDescent="0.25">
      <c r="B75" s="1105" t="s">
        <v>1487</v>
      </c>
      <c r="C75" s="1106" t="s">
        <v>375</v>
      </c>
      <c r="D75" s="1122" t="s">
        <v>1488</v>
      </c>
      <c r="E75" s="1107"/>
      <c r="F75" s="1107"/>
      <c r="H75" s="1108"/>
    </row>
    <row r="76" spans="2:8" s="1104" customFormat="1" x14ac:dyDescent="0.25">
      <c r="B76" s="1105" t="s">
        <v>1489</v>
      </c>
      <c r="C76" s="1106" t="s">
        <v>375</v>
      </c>
      <c r="D76" s="1122" t="s">
        <v>1490</v>
      </c>
      <c r="E76" s="1107"/>
      <c r="F76" s="1107"/>
      <c r="H76" s="1108"/>
    </row>
    <row r="77" spans="2:8" s="1104" customFormat="1" x14ac:dyDescent="0.25">
      <c r="B77" s="1105" t="s">
        <v>1491</v>
      </c>
      <c r="C77" s="1106" t="s">
        <v>375</v>
      </c>
      <c r="D77" s="1122" t="s">
        <v>1492</v>
      </c>
      <c r="E77" s="1107"/>
      <c r="F77" s="1107"/>
      <c r="H77" s="1108"/>
    </row>
    <row r="78" spans="2:8" s="1104" customFormat="1" x14ac:dyDescent="0.25">
      <c r="B78" s="1105" t="s">
        <v>1493</v>
      </c>
      <c r="C78" s="1106" t="s">
        <v>375</v>
      </c>
      <c r="D78" s="1122" t="s">
        <v>1494</v>
      </c>
      <c r="E78" s="1107"/>
      <c r="F78" s="1107"/>
      <c r="H78" s="1108"/>
    </row>
    <row r="79" spans="2:8" s="1104" customFormat="1" x14ac:dyDescent="0.25">
      <c r="B79" s="1105" t="s">
        <v>1495</v>
      </c>
      <c r="C79" s="1106" t="s">
        <v>375</v>
      </c>
      <c r="D79" s="1122" t="s">
        <v>1496</v>
      </c>
      <c r="E79" s="1107"/>
      <c r="F79" s="1107"/>
      <c r="H79" s="1108"/>
    </row>
    <row r="80" spans="2:8" s="1104" customFormat="1" x14ac:dyDescent="0.25">
      <c r="B80" s="1105" t="s">
        <v>1497</v>
      </c>
      <c r="C80" s="1106" t="s">
        <v>375</v>
      </c>
      <c r="D80" s="1122" t="s">
        <v>1498</v>
      </c>
      <c r="E80" s="1107"/>
      <c r="F80" s="1107"/>
      <c r="H80" s="1108"/>
    </row>
    <row r="81" spans="2:8" s="1104" customFormat="1" x14ac:dyDescent="0.25">
      <c r="B81" s="1105" t="s">
        <v>1499</v>
      </c>
      <c r="C81" s="1106" t="s">
        <v>375</v>
      </c>
      <c r="D81" s="1122" t="s">
        <v>1500</v>
      </c>
      <c r="E81" s="1107"/>
      <c r="F81" s="1107"/>
      <c r="H81" s="1108"/>
    </row>
    <row r="82" spans="2:8" s="1104" customFormat="1" x14ac:dyDescent="0.25">
      <c r="B82" s="1105" t="s">
        <v>1501</v>
      </c>
      <c r="C82" s="1106" t="s">
        <v>375</v>
      </c>
      <c r="D82" s="1122" t="s">
        <v>1502</v>
      </c>
      <c r="E82" s="1107"/>
      <c r="F82" s="1107"/>
      <c r="H82" s="1108"/>
    </row>
    <row r="83" spans="2:8" s="1104" customFormat="1" x14ac:dyDescent="0.25">
      <c r="B83" s="1105" t="s">
        <v>1503</v>
      </c>
      <c r="C83" s="1106" t="s">
        <v>375</v>
      </c>
      <c r="D83" s="1122" t="s">
        <v>1504</v>
      </c>
      <c r="E83" s="1107"/>
      <c r="F83" s="1107"/>
      <c r="H83" s="1108"/>
    </row>
    <row r="84" spans="2:8" s="1104" customFormat="1" x14ac:dyDescent="0.25">
      <c r="B84" s="1105" t="s">
        <v>1505</v>
      </c>
      <c r="C84" s="1106" t="s">
        <v>375</v>
      </c>
      <c r="D84" s="1122" t="s">
        <v>1506</v>
      </c>
      <c r="E84" s="1107"/>
      <c r="F84" s="1107"/>
      <c r="H84" s="1108"/>
    </row>
    <row r="85" spans="2:8" s="1104" customFormat="1" x14ac:dyDescent="0.25">
      <c r="B85" s="1105" t="s">
        <v>1507</v>
      </c>
      <c r="C85" s="1106" t="s">
        <v>375</v>
      </c>
      <c r="D85" s="1122" t="s">
        <v>1508</v>
      </c>
      <c r="E85" s="1107"/>
      <c r="F85" s="1107"/>
      <c r="H85" s="1108"/>
    </row>
    <row r="86" spans="2:8" s="1104" customFormat="1" x14ac:dyDescent="0.25">
      <c r="B86" s="1105" t="s">
        <v>193</v>
      </c>
      <c r="C86" s="1106" t="s">
        <v>1509</v>
      </c>
      <c r="D86" s="1122" t="s">
        <v>195</v>
      </c>
      <c r="E86" s="1107"/>
      <c r="F86" s="1107"/>
      <c r="H86" s="1108"/>
    </row>
    <row r="87" spans="2:8" s="1104" customFormat="1" x14ac:dyDescent="0.25">
      <c r="B87" s="1105" t="s">
        <v>196</v>
      </c>
      <c r="C87" s="1106" t="s">
        <v>1510</v>
      </c>
      <c r="D87" s="1122" t="s">
        <v>198</v>
      </c>
      <c r="E87" s="1107"/>
      <c r="F87" s="1107"/>
      <c r="H87" s="1108"/>
    </row>
    <row r="88" spans="2:8" s="1104" customFormat="1" x14ac:dyDescent="0.25">
      <c r="B88" s="1105" t="s">
        <v>199</v>
      </c>
      <c r="C88" s="1106" t="s">
        <v>1511</v>
      </c>
      <c r="D88" s="1122" t="s">
        <v>201</v>
      </c>
      <c r="E88" s="1107"/>
      <c r="F88" s="1107"/>
      <c r="H88" s="1108"/>
    </row>
    <row r="89" spans="2:8" s="1104" customFormat="1" x14ac:dyDescent="0.25">
      <c r="B89" s="1105" t="s">
        <v>202</v>
      </c>
      <c r="C89" s="1106" t="s">
        <v>203</v>
      </c>
      <c r="D89" s="1122" t="s">
        <v>204</v>
      </c>
      <c r="E89" s="1107"/>
      <c r="F89" s="1107"/>
      <c r="H89" s="1108" t="s">
        <v>781</v>
      </c>
    </row>
    <row r="90" spans="2:8" s="1104" customFormat="1" x14ac:dyDescent="0.25">
      <c r="B90" s="1105" t="s">
        <v>1512</v>
      </c>
      <c r="C90" s="1106" t="s">
        <v>1513</v>
      </c>
      <c r="D90" s="1122" t="s">
        <v>1514</v>
      </c>
      <c r="E90" s="1107"/>
      <c r="F90" s="1107"/>
      <c r="H90" s="1108"/>
    </row>
    <row r="91" spans="2:8" s="1104" customFormat="1" x14ac:dyDescent="0.25">
      <c r="B91" s="1105" t="s">
        <v>205</v>
      </c>
      <c r="C91" s="1106" t="s">
        <v>206</v>
      </c>
      <c r="D91" s="1122" t="s">
        <v>207</v>
      </c>
      <c r="E91" s="1107"/>
      <c r="F91" s="1107"/>
      <c r="H91" s="1108"/>
    </row>
    <row r="92" spans="2:8" s="1104" customFormat="1" x14ac:dyDescent="0.25">
      <c r="B92" s="1105" t="s">
        <v>1515</v>
      </c>
      <c r="C92" s="1106" t="s">
        <v>1516</v>
      </c>
      <c r="D92" s="1122" t="s">
        <v>1517</v>
      </c>
      <c r="E92" s="1107"/>
      <c r="F92" s="1107"/>
      <c r="H92" s="1108"/>
    </row>
    <row r="93" spans="2:8" s="1104" customFormat="1" x14ac:dyDescent="0.25">
      <c r="B93" s="1105" t="s">
        <v>1518</v>
      </c>
      <c r="C93" s="1106" t="s">
        <v>1519</v>
      </c>
      <c r="D93" s="1122" t="s">
        <v>1520</v>
      </c>
      <c r="E93" s="1107"/>
      <c r="F93" s="1107"/>
      <c r="H93" s="1108"/>
    </row>
    <row r="94" spans="2:8" s="1104" customFormat="1" x14ac:dyDescent="0.25">
      <c r="B94" s="1105" t="s">
        <v>1521</v>
      </c>
      <c r="C94" s="1106" t="s">
        <v>1522</v>
      </c>
      <c r="D94" s="1122" t="s">
        <v>1523</v>
      </c>
      <c r="E94" s="1107"/>
      <c r="F94" s="1107"/>
      <c r="H94" s="1108"/>
    </row>
    <row r="95" spans="2:8" s="1104" customFormat="1" x14ac:dyDescent="0.25">
      <c r="D95" s="1120"/>
    </row>
    <row r="96" spans="2:8" s="1104" customFormat="1" ht="15.75" thickBot="1" x14ac:dyDescent="0.3">
      <c r="C96" s="1109" t="s">
        <v>1524</v>
      </c>
      <c r="D96" s="1120" t="s">
        <v>1525</v>
      </c>
      <c r="H96" s="1104" t="s">
        <v>1526</v>
      </c>
    </row>
    <row r="97" spans="2:8" s="1104" customFormat="1" ht="15.75" thickBot="1" x14ac:dyDescent="0.3">
      <c r="B97" s="1110" t="s">
        <v>0</v>
      </c>
      <c r="C97" s="1111" t="s">
        <v>1</v>
      </c>
      <c r="D97" s="1121" t="s">
        <v>5</v>
      </c>
      <c r="E97" s="1112" t="s">
        <v>1527</v>
      </c>
      <c r="F97" s="1112"/>
      <c r="H97" s="1112"/>
    </row>
    <row r="98" spans="2:8" s="1104" customFormat="1" x14ac:dyDescent="0.25">
      <c r="B98" s="1105" t="s">
        <v>1528</v>
      </c>
      <c r="C98" s="1106" t="s">
        <v>1529</v>
      </c>
      <c r="D98" s="1122" t="s">
        <v>1528</v>
      </c>
      <c r="E98" s="1107"/>
      <c r="F98" s="1107"/>
      <c r="H98" s="1108"/>
    </row>
    <row r="99" spans="2:8" s="1104" customFormat="1" x14ac:dyDescent="0.25">
      <c r="B99" s="1105" t="s">
        <v>1530</v>
      </c>
      <c r="C99" s="1106" t="s">
        <v>1531</v>
      </c>
      <c r="D99" s="1122" t="s">
        <v>1530</v>
      </c>
      <c r="E99" s="1107"/>
      <c r="F99" s="1107"/>
      <c r="H99" s="1108"/>
    </row>
    <row r="100" spans="2:8" s="1104" customFormat="1" x14ac:dyDescent="0.25">
      <c r="B100" s="1105" t="s">
        <v>1532</v>
      </c>
      <c r="C100" s="1106" t="s">
        <v>1533</v>
      </c>
      <c r="D100" s="1122" t="s">
        <v>1532</v>
      </c>
      <c r="E100" s="1107"/>
      <c r="F100" s="1107"/>
      <c r="H100" s="1108"/>
    </row>
    <row r="101" spans="2:8" s="1104" customFormat="1" x14ac:dyDescent="0.25">
      <c r="B101" s="1105" t="s">
        <v>1534</v>
      </c>
      <c r="C101" s="1106" t="s">
        <v>1535</v>
      </c>
      <c r="D101" s="1122" t="s">
        <v>1534</v>
      </c>
      <c r="E101" s="1107"/>
      <c r="F101" s="1107"/>
      <c r="H101" s="1108"/>
    </row>
    <row r="102" spans="2:8" s="1104" customFormat="1" x14ac:dyDescent="0.25">
      <c r="B102" s="1105" t="s">
        <v>1536</v>
      </c>
      <c r="C102" s="1106" t="s">
        <v>1537</v>
      </c>
      <c r="D102" s="1122" t="s">
        <v>1536</v>
      </c>
      <c r="E102" s="1107"/>
      <c r="F102" s="1107"/>
      <c r="H102" s="1108"/>
    </row>
    <row r="103" spans="2:8" s="1104" customFormat="1" x14ac:dyDescent="0.25">
      <c r="B103" s="1105" t="s">
        <v>1538</v>
      </c>
      <c r="C103" s="1106" t="s">
        <v>1539</v>
      </c>
      <c r="D103" s="1122" t="s">
        <v>1538</v>
      </c>
      <c r="E103" s="1107"/>
      <c r="F103" s="1107"/>
      <c r="H103" s="1108"/>
    </row>
    <row r="104" spans="2:8" s="1104" customFormat="1" x14ac:dyDescent="0.25">
      <c r="B104" s="1105" t="s">
        <v>1540</v>
      </c>
      <c r="C104" s="1106" t="s">
        <v>1541</v>
      </c>
      <c r="D104" s="1122" t="s">
        <v>1540</v>
      </c>
      <c r="E104" s="1107"/>
      <c r="F104" s="1107"/>
      <c r="H104" s="1108"/>
    </row>
    <row r="105" spans="2:8" s="1104" customFormat="1" x14ac:dyDescent="0.25">
      <c r="B105" s="1105" t="s">
        <v>1542</v>
      </c>
      <c r="C105" s="1106" t="s">
        <v>1543</v>
      </c>
      <c r="D105" s="1122" t="s">
        <v>1542</v>
      </c>
      <c r="E105" s="1107"/>
      <c r="F105" s="1107"/>
      <c r="H105" s="1108"/>
    </row>
    <row r="106" spans="2:8" s="1104" customFormat="1" x14ac:dyDescent="0.25">
      <c r="B106" s="1105" t="s">
        <v>1544</v>
      </c>
      <c r="C106" s="1106" t="s">
        <v>1545</v>
      </c>
      <c r="D106" s="1122" t="s">
        <v>1544</v>
      </c>
      <c r="E106" s="1107"/>
      <c r="F106" s="1107"/>
      <c r="H106" s="1108"/>
    </row>
    <row r="107" spans="2:8" s="1104" customFormat="1" x14ac:dyDescent="0.25">
      <c r="B107" s="1105" t="s">
        <v>1546</v>
      </c>
      <c r="C107" s="1106" t="s">
        <v>1547</v>
      </c>
      <c r="D107" s="1122" t="s">
        <v>1546</v>
      </c>
      <c r="E107" s="1107"/>
      <c r="F107" s="1107"/>
      <c r="H107" s="1108"/>
    </row>
    <row r="108" spans="2:8" s="1104" customFormat="1" x14ac:dyDescent="0.25">
      <c r="B108" s="1105" t="s">
        <v>1548</v>
      </c>
      <c r="C108" s="1106" t="s">
        <v>1549</v>
      </c>
      <c r="D108" s="1122" t="s">
        <v>1548</v>
      </c>
      <c r="E108" s="1107" t="s">
        <v>1550</v>
      </c>
      <c r="F108" s="1107"/>
      <c r="H108" s="1108"/>
    </row>
    <row r="109" spans="2:8" s="1104" customFormat="1" x14ac:dyDescent="0.25">
      <c r="B109" s="1105" t="s">
        <v>1551</v>
      </c>
      <c r="C109" s="1106" t="s">
        <v>1552</v>
      </c>
      <c r="D109" s="1122" t="s">
        <v>1551</v>
      </c>
      <c r="E109" s="1107"/>
      <c r="F109" s="1107"/>
      <c r="H109" s="1108"/>
    </row>
    <row r="110" spans="2:8" s="1104" customFormat="1" x14ac:dyDescent="0.25">
      <c r="B110" s="1105" t="s">
        <v>1553</v>
      </c>
      <c r="C110" s="1106" t="s">
        <v>1554</v>
      </c>
      <c r="D110" s="1122" t="s">
        <v>1553</v>
      </c>
      <c r="E110" s="1107"/>
      <c r="F110" s="1107"/>
      <c r="H110" s="1108"/>
    </row>
    <row r="111" spans="2:8" s="1104" customFormat="1" x14ac:dyDescent="0.25">
      <c r="B111" s="1105" t="s">
        <v>1555</v>
      </c>
      <c r="C111" s="1106" t="s">
        <v>1556</v>
      </c>
      <c r="D111" s="1122" t="s">
        <v>1555</v>
      </c>
      <c r="E111" s="1107"/>
      <c r="F111" s="1107"/>
      <c r="H111" s="1108"/>
    </row>
    <row r="112" spans="2:8" s="1104" customFormat="1" x14ac:dyDescent="0.25">
      <c r="B112" s="1105" t="s">
        <v>1557</v>
      </c>
      <c r="C112" s="1106" t="s">
        <v>1558</v>
      </c>
      <c r="D112" s="1122" t="s">
        <v>1557</v>
      </c>
      <c r="E112" s="1107"/>
      <c r="F112" s="1107"/>
      <c r="H112" s="1108"/>
    </row>
    <row r="113" spans="2:8" s="1104" customFormat="1" x14ac:dyDescent="0.25">
      <c r="B113" s="1105" t="s">
        <v>1559</v>
      </c>
      <c r="C113" s="1106" t="s">
        <v>1560</v>
      </c>
      <c r="D113" s="1122" t="s">
        <v>1559</v>
      </c>
      <c r="E113" s="1107"/>
      <c r="F113" s="1107"/>
      <c r="H113" s="1108"/>
    </row>
    <row r="114" spans="2:8" s="1104" customFormat="1" x14ac:dyDescent="0.25">
      <c r="B114" s="1105" t="s">
        <v>1561</v>
      </c>
      <c r="C114" s="1106" t="s">
        <v>1562</v>
      </c>
      <c r="D114" s="1122" t="s">
        <v>1561</v>
      </c>
      <c r="E114" s="1107"/>
      <c r="F114" s="1107"/>
      <c r="H114" s="1108"/>
    </row>
    <row r="115" spans="2:8" s="1104" customFormat="1" x14ac:dyDescent="0.25">
      <c r="B115" s="1105" t="s">
        <v>1563</v>
      </c>
      <c r="C115" s="1106" t="s">
        <v>1564</v>
      </c>
      <c r="D115" s="1122" t="s">
        <v>1563</v>
      </c>
      <c r="E115" s="1107"/>
      <c r="F115" s="1107"/>
      <c r="H115" s="1108"/>
    </row>
    <row r="116" spans="2:8" s="1104" customFormat="1" x14ac:dyDescent="0.25">
      <c r="B116" s="1105" t="s">
        <v>1565</v>
      </c>
      <c r="C116" s="1106" t="s">
        <v>1566</v>
      </c>
      <c r="D116" s="1122" t="s">
        <v>1565</v>
      </c>
      <c r="E116" s="1107"/>
      <c r="F116" s="1107"/>
      <c r="H116" s="1108"/>
    </row>
    <row r="117" spans="2:8" s="1104" customFormat="1" x14ac:dyDescent="0.25">
      <c r="B117" s="1105" t="s">
        <v>1567</v>
      </c>
      <c r="C117" s="1106" t="s">
        <v>1568</v>
      </c>
      <c r="D117" s="1122" t="s">
        <v>1567</v>
      </c>
      <c r="E117" s="1107"/>
      <c r="F117" s="1107"/>
      <c r="H117" s="1108"/>
    </row>
    <row r="118" spans="2:8" s="1104" customFormat="1" x14ac:dyDescent="0.25">
      <c r="B118" s="1105" t="s">
        <v>1569</v>
      </c>
      <c r="C118" s="1106" t="s">
        <v>1509</v>
      </c>
      <c r="D118" s="1122" t="s">
        <v>1569</v>
      </c>
      <c r="E118" s="1107" t="s">
        <v>1570</v>
      </c>
      <c r="F118" s="1107"/>
      <c r="H118" s="1108"/>
    </row>
    <row r="119" spans="2:8" s="1104" customFormat="1" x14ac:dyDescent="0.25">
      <c r="B119" s="1105" t="s">
        <v>197</v>
      </c>
      <c r="C119" s="1106" t="s">
        <v>1571</v>
      </c>
      <c r="D119" s="1122" t="s">
        <v>197</v>
      </c>
      <c r="E119" s="1107"/>
      <c r="F119" s="1107"/>
      <c r="H119" s="1108"/>
    </row>
    <row r="120" spans="2:8" s="1104" customFormat="1" x14ac:dyDescent="0.25">
      <c r="B120" s="1105" t="s">
        <v>1572</v>
      </c>
      <c r="C120" s="1106" t="s">
        <v>1573</v>
      </c>
      <c r="D120" s="1122" t="s">
        <v>1572</v>
      </c>
      <c r="E120" s="1107"/>
      <c r="F120" s="1107"/>
      <c r="H120" s="1108"/>
    </row>
    <row r="121" spans="2:8" s="1104" customFormat="1" x14ac:dyDescent="0.25">
      <c r="B121" s="1105" t="s">
        <v>1574</v>
      </c>
      <c r="C121" s="1106" t="s">
        <v>1575</v>
      </c>
      <c r="D121" s="1122" t="s">
        <v>1574</v>
      </c>
      <c r="E121" s="1107"/>
      <c r="F121" s="1107"/>
      <c r="H121" s="1108"/>
    </row>
    <row r="122" spans="2:8" s="1104" customFormat="1" x14ac:dyDescent="0.25">
      <c r="B122" s="1105" t="s">
        <v>1576</v>
      </c>
      <c r="C122" s="1106" t="s">
        <v>1577</v>
      </c>
      <c r="D122" s="1122" t="s">
        <v>1576</v>
      </c>
      <c r="E122" s="1107"/>
      <c r="F122" s="1107"/>
      <c r="H122" s="1108"/>
    </row>
    <row r="123" spans="2:8" s="1104" customFormat="1" x14ac:dyDescent="0.25">
      <c r="B123" s="1105" t="s">
        <v>1578</v>
      </c>
      <c r="C123" s="1106" t="s">
        <v>1579</v>
      </c>
      <c r="D123" s="1122" t="s">
        <v>1578</v>
      </c>
      <c r="E123" s="1107"/>
      <c r="F123" s="1107"/>
      <c r="H123" s="1108"/>
    </row>
    <row r="124" spans="2:8" s="1104" customFormat="1" x14ac:dyDescent="0.25">
      <c r="B124" s="1105" t="s">
        <v>1580</v>
      </c>
      <c r="C124" s="1106" t="s">
        <v>1581</v>
      </c>
      <c r="D124" s="1122" t="s">
        <v>1580</v>
      </c>
      <c r="E124" s="1107"/>
      <c r="F124" s="1107"/>
      <c r="H124" s="1108"/>
    </row>
  </sheetData>
  <conditionalFormatting sqref="E6:F8 E22:F30 E34:F61 E15:F20">
    <cfRule type="cellIs" dxfId="9" priority="10" stopIfTrue="1" operator="notEqual">
      <formula>INDIRECT("Dummy_for_Comparison3!"&amp;ADDRESS(ROW(),COLUMN()))</formula>
    </cfRule>
  </conditionalFormatting>
  <conditionalFormatting sqref="E5:F5">
    <cfRule type="cellIs" dxfId="8" priority="9" stopIfTrue="1" operator="notEqual">
      <formula>INDIRECT("Dummy_for_Comparison3!"&amp;ADDRESS(ROW(),COLUMN()))</formula>
    </cfRule>
  </conditionalFormatting>
  <conditionalFormatting sqref="E4:F4">
    <cfRule type="cellIs" dxfId="7" priority="8" stopIfTrue="1" operator="notEqual">
      <formula>INDIRECT("Dummy_for_Comparison3!"&amp;ADDRESS(ROW(),COLUMN()))</formula>
    </cfRule>
  </conditionalFormatting>
  <conditionalFormatting sqref="E66:F94 E99:F124">
    <cfRule type="cellIs" dxfId="6" priority="7" stopIfTrue="1" operator="notEqual">
      <formula>INDIRECT("Dummy_for_Comparison3!"&amp;ADDRESS(ROW(),COLUMN()))</formula>
    </cfRule>
  </conditionalFormatting>
  <conditionalFormatting sqref="E65:F65">
    <cfRule type="cellIs" dxfId="5" priority="6" stopIfTrue="1" operator="notEqual">
      <formula>INDIRECT("Dummy_for_Comparison3!"&amp;ADDRESS(ROW(),COLUMN()))</formula>
    </cfRule>
  </conditionalFormatting>
  <conditionalFormatting sqref="E98:F98">
    <cfRule type="cellIs" dxfId="4" priority="5" stopIfTrue="1" operator="notEqual">
      <formula>INDIRECT("Dummy_for_Comparison3!"&amp;ADDRESS(ROW(),COLUMN()))</formula>
    </cfRule>
  </conditionalFormatting>
  <conditionalFormatting sqref="E21:F21">
    <cfRule type="cellIs" dxfId="3" priority="4" stopIfTrue="1" operator="notEqual">
      <formula>INDIRECT("Dummy_for_Comparison3!"&amp;ADDRESS(ROW(),COLUMN()))</formula>
    </cfRule>
  </conditionalFormatting>
  <conditionalFormatting sqref="E11:F14">
    <cfRule type="cellIs" dxfId="2" priority="3" stopIfTrue="1" operator="notEqual">
      <formula>INDIRECT("Dummy_for_Comparison3!"&amp;ADDRESS(ROW(),COLUMN()))</formula>
    </cfRule>
  </conditionalFormatting>
  <conditionalFormatting sqref="E9:F9">
    <cfRule type="cellIs" dxfId="1" priority="2" stopIfTrue="1" operator="notEqual">
      <formula>INDIRECT("Dummy_for_Comparison3!"&amp;ADDRESS(ROW(),COLUMN()))</formula>
    </cfRule>
  </conditionalFormatting>
  <conditionalFormatting sqref="E10:F10">
    <cfRule type="cellIs" dxfId="0" priority="1" stopIfTrue="1" operator="notEqual">
      <formula>INDIRECT("Dummy_for_Comparison3!"&amp;ADDRESS(ROW(),COLUMN()))</formula>
    </cfRule>
  </conditionalFormatting>
  <hyperlinks>
    <hyperlink ref="B98" r:id="rId1" display="http://www.cplusplus.com/reference/cmath/cos/"/>
    <hyperlink ref="B99" r:id="rId2" display="http://www.cplusplus.com/reference/cmath/sin/"/>
    <hyperlink ref="B100" r:id="rId3" display="http://www.cplusplus.com/reference/cmath/tan/"/>
    <hyperlink ref="B101" r:id="rId4" display="http://www.cplusplus.com/reference/cmath/acos/"/>
    <hyperlink ref="B102" r:id="rId5" display="http://www.cplusplus.com/reference/cmath/asin/"/>
    <hyperlink ref="B103" r:id="rId6" display="http://www.cplusplus.com/reference/cmath/atan/"/>
    <hyperlink ref="B104" r:id="rId7" display="http://www.cplusplus.com/reference/cmath/atan2/"/>
    <hyperlink ref="B105" r:id="rId8" display="http://www.cplusplus.com/reference/cmath/cosh/"/>
    <hyperlink ref="B106" r:id="rId9" display="http://www.cplusplus.com/reference/cmath/sinh/"/>
    <hyperlink ref="B107" r:id="rId10" display="http://www.cplusplus.com/reference/cmath/tanh/"/>
    <hyperlink ref="B108" r:id="rId11" display="http://www.cplusplus.com/reference/cmath/exp/"/>
    <hyperlink ref="B109" r:id="rId12" display="http://www.cplusplus.com/reference/cmath/ldexp/"/>
    <hyperlink ref="B110" r:id="rId13" display="http://www.cplusplus.com/reference/cmath/log/"/>
    <hyperlink ref="B111" r:id="rId14" display="http://www.cplusplus.com/reference/cmath/log10/"/>
    <hyperlink ref="B112" r:id="rId15" display="http://www.cplusplus.com/reference/cmath/sqrt/"/>
    <hyperlink ref="B113" r:id="rId16" display="http://www.cplusplus.com/reference/cmath/ceil/"/>
    <hyperlink ref="B114" r:id="rId17" display="http://www.cplusplus.com/reference/cmath/fabs/"/>
    <hyperlink ref="B115" r:id="rId18" display="http://www.cplusplus.com/reference/cmath/floor/"/>
    <hyperlink ref="B117" r:id="rId19" display="http://www.cplusplus.com/reference/cmath/fmod/"/>
    <hyperlink ref="D98" r:id="rId20" display="http://www.cplusplus.com/reference/cmath/cos/"/>
    <hyperlink ref="D99" r:id="rId21" display="http://www.cplusplus.com/reference/cmath/sin/"/>
    <hyperlink ref="D100" r:id="rId22" display="http://www.cplusplus.com/reference/cmath/tan/"/>
    <hyperlink ref="D101" r:id="rId23" display="http://www.cplusplus.com/reference/cmath/acos/"/>
    <hyperlink ref="D102" r:id="rId24" display="http://www.cplusplus.com/reference/cmath/asin/"/>
    <hyperlink ref="D103" r:id="rId25" display="http://www.cplusplus.com/reference/cmath/atan/"/>
    <hyperlink ref="D104" r:id="rId26" display="http://www.cplusplus.com/reference/cmath/atan2/"/>
    <hyperlink ref="D105" r:id="rId27" display="http://www.cplusplus.com/reference/cmath/cosh/"/>
    <hyperlink ref="D106" r:id="rId28" display="http://www.cplusplus.com/reference/cmath/sinh/"/>
    <hyperlink ref="D107" r:id="rId29" display="http://www.cplusplus.com/reference/cmath/tanh/"/>
    <hyperlink ref="D108" r:id="rId30" display="http://www.cplusplus.com/reference/cmath/exp/"/>
    <hyperlink ref="D109" r:id="rId31" display="http://www.cplusplus.com/reference/cmath/ldexp/"/>
    <hyperlink ref="D110" r:id="rId32" display="http://www.cplusplus.com/reference/cmath/log/"/>
    <hyperlink ref="D111" r:id="rId33" display="http://www.cplusplus.com/reference/cmath/log10/"/>
    <hyperlink ref="D112" r:id="rId34" display="http://www.cplusplus.com/reference/cmath/sqrt/"/>
    <hyperlink ref="D113" r:id="rId35" display="http://www.cplusplus.com/reference/cmath/ceil/"/>
    <hyperlink ref="D114" r:id="rId36" display="http://www.cplusplus.com/reference/cmath/fabs/"/>
    <hyperlink ref="D115" r:id="rId37" display="http://www.cplusplus.com/reference/cmath/floor/"/>
    <hyperlink ref="D117" r:id="rId38" display="http://www.cplusplus.com/reference/cmath/fmod/"/>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3"/>
  <sheetViews>
    <sheetView workbookViewId="0"/>
  </sheetViews>
  <sheetFormatPr defaultColWidth="9.140625" defaultRowHeight="15" x14ac:dyDescent="0.25"/>
  <cols>
    <col min="2" max="2" width="19.42578125" style="4" bestFit="1" customWidth="1"/>
    <col min="3" max="3" width="51.28515625" style="4" bestFit="1" customWidth="1"/>
    <col min="4" max="4" width="8" style="3" bestFit="1" customWidth="1"/>
    <col min="5" max="5" width="9.140625" style="3"/>
    <col min="6" max="6" width="17.85546875" style="3" customWidth="1"/>
    <col min="7" max="8" width="9.140625" style="3"/>
    <col min="9" max="9" width="12.85546875" style="3" bestFit="1" customWidth="1"/>
  </cols>
  <sheetData>
    <row r="1" spans="2:10" ht="15.75" thickBot="1" x14ac:dyDescent="0.3">
      <c r="B1"/>
      <c r="C1"/>
      <c r="D1"/>
      <c r="E1"/>
      <c r="F1"/>
      <c r="G1"/>
      <c r="H1"/>
      <c r="I1"/>
    </row>
    <row r="2" spans="2:10" s="103" customFormat="1" ht="15.75" thickBot="1" x14ac:dyDescent="0.3">
      <c r="B2" s="104"/>
      <c r="C2" s="706" t="s">
        <v>1196</v>
      </c>
      <c r="D2" s="104"/>
      <c r="E2" s="104"/>
      <c r="F2" s="104"/>
      <c r="G2" s="104"/>
      <c r="H2" s="104"/>
      <c r="I2" s="104"/>
    </row>
    <row r="3" spans="2:10" s="103" customFormat="1" ht="45.75" thickBot="1" x14ac:dyDescent="0.3">
      <c r="B3" s="868" t="s">
        <v>0</v>
      </c>
      <c r="C3" s="869" t="s">
        <v>1</v>
      </c>
      <c r="D3" s="869" t="s">
        <v>840</v>
      </c>
      <c r="E3" s="869" t="s">
        <v>470</v>
      </c>
      <c r="F3" s="869" t="s">
        <v>471</v>
      </c>
      <c r="G3" s="869" t="s">
        <v>2</v>
      </c>
      <c r="H3" s="869" t="s">
        <v>298</v>
      </c>
      <c r="I3" s="869" t="s">
        <v>116</v>
      </c>
      <c r="J3" s="870" t="s">
        <v>117</v>
      </c>
    </row>
    <row r="4" spans="2:10" s="103" customFormat="1" ht="18.75" thickBot="1" x14ac:dyDescent="0.3">
      <c r="B4" s="871" t="s">
        <v>3533</v>
      </c>
      <c r="C4" s="853" t="s">
        <v>2646</v>
      </c>
      <c r="D4" s="872">
        <v>0.1</v>
      </c>
      <c r="E4" s="872">
        <v>0</v>
      </c>
      <c r="F4" s="872">
        <v>1</v>
      </c>
      <c r="G4" s="873" t="s">
        <v>2018</v>
      </c>
      <c r="H4" s="873">
        <v>2</v>
      </c>
      <c r="I4" s="872"/>
      <c r="J4" s="874"/>
    </row>
    <row r="5" spans="2:10" ht="15.75" thickBot="1" x14ac:dyDescent="0.3">
      <c r="B5"/>
      <c r="C5"/>
      <c r="D5"/>
      <c r="E5"/>
      <c r="F5"/>
      <c r="G5"/>
      <c r="H5"/>
      <c r="I5"/>
    </row>
    <row r="6" spans="2:10" ht="15.75" thickBot="1" x14ac:dyDescent="0.3">
      <c r="B6" s="156"/>
      <c r="C6" s="718" t="s">
        <v>3335</v>
      </c>
      <c r="D6" s="156"/>
      <c r="E6" s="156"/>
      <c r="F6" s="156"/>
      <c r="G6" s="156"/>
      <c r="H6" s="156"/>
      <c r="I6" s="156"/>
    </row>
    <row r="7" spans="2:10" ht="15.75" thickBot="1" x14ac:dyDescent="0.3">
      <c r="B7" s="719" t="s">
        <v>0</v>
      </c>
      <c r="C7" s="720" t="s">
        <v>1</v>
      </c>
      <c r="D7" s="720" t="s">
        <v>152</v>
      </c>
      <c r="E7" s="721" t="s">
        <v>470</v>
      </c>
      <c r="F7" s="721" t="s">
        <v>471</v>
      </c>
      <c r="G7" s="720" t="s">
        <v>2</v>
      </c>
      <c r="H7" s="720" t="s">
        <v>298</v>
      </c>
      <c r="I7" s="722" t="s">
        <v>116</v>
      </c>
    </row>
    <row r="8" spans="2:10" ht="18" x14ac:dyDescent="0.35">
      <c r="B8" s="2306" t="s">
        <v>4783</v>
      </c>
      <c r="C8" s="2307" t="s">
        <v>4784</v>
      </c>
      <c r="D8" s="2308">
        <v>4.8</v>
      </c>
      <c r="E8" s="2307"/>
      <c r="F8" s="2307"/>
      <c r="G8" s="2307" t="s">
        <v>4785</v>
      </c>
      <c r="H8" s="2307"/>
      <c r="I8" s="2309"/>
    </row>
    <row r="9" spans="2:10" ht="18.75" x14ac:dyDescent="0.35">
      <c r="B9" s="2310" t="s">
        <v>3336</v>
      </c>
      <c r="C9" s="2311" t="s">
        <v>3337</v>
      </c>
      <c r="D9" s="2312">
        <v>76.402000000000001</v>
      </c>
      <c r="E9" s="2311"/>
      <c r="F9" s="2311"/>
      <c r="G9" s="2311" t="s">
        <v>3338</v>
      </c>
      <c r="H9" s="2311"/>
      <c r="I9" s="2313"/>
    </row>
    <row r="10" spans="2:10" ht="18.75" x14ac:dyDescent="0.35">
      <c r="B10" s="162" t="s">
        <v>3339</v>
      </c>
      <c r="C10" s="99" t="s">
        <v>3340</v>
      </c>
      <c r="D10" s="163">
        <v>100</v>
      </c>
      <c r="E10" s="99"/>
      <c r="F10" s="99"/>
      <c r="G10" s="99" t="s">
        <v>3338</v>
      </c>
      <c r="H10" s="99"/>
      <c r="I10" s="87"/>
    </row>
    <row r="11" spans="2:10" ht="18.75" x14ac:dyDescent="0.35">
      <c r="B11" s="162" t="s">
        <v>3341</v>
      </c>
      <c r="C11" s="99" t="s">
        <v>3342</v>
      </c>
      <c r="D11" s="163">
        <v>88.852000000000004</v>
      </c>
      <c r="E11" s="99"/>
      <c r="F11" s="99"/>
      <c r="G11" s="99" t="s">
        <v>3338</v>
      </c>
      <c r="H11" s="99"/>
      <c r="I11" s="87"/>
    </row>
    <row r="12" spans="2:10" ht="18.75" x14ac:dyDescent="0.35">
      <c r="B12" s="162" t="s">
        <v>3343</v>
      </c>
      <c r="C12" s="99" t="s">
        <v>3344</v>
      </c>
      <c r="D12" s="163">
        <v>84.435000000000002</v>
      </c>
      <c r="E12" s="99"/>
      <c r="F12" s="99"/>
      <c r="G12" s="99" t="s">
        <v>3338</v>
      </c>
      <c r="H12" s="99"/>
      <c r="I12" s="87"/>
    </row>
    <row r="13" spans="2:10" ht="18.75" x14ac:dyDescent="0.35">
      <c r="B13" s="162" t="s">
        <v>3345</v>
      </c>
      <c r="C13" s="99" t="s">
        <v>3346</v>
      </c>
      <c r="D13" s="163">
        <v>146.73500000000001</v>
      </c>
      <c r="E13" s="99"/>
      <c r="F13" s="99"/>
      <c r="G13" s="99" t="s">
        <v>3338</v>
      </c>
      <c r="H13" s="99"/>
      <c r="I13" s="87"/>
    </row>
    <row r="14" spans="2:10" ht="18.75" x14ac:dyDescent="0.35">
      <c r="B14" s="162" t="s">
        <v>3347</v>
      </c>
      <c r="C14" s="99" t="s">
        <v>3348</v>
      </c>
      <c r="D14" s="163">
        <v>0</v>
      </c>
      <c r="E14" s="99"/>
      <c r="F14" s="99"/>
      <c r="G14" s="99" t="s">
        <v>3338</v>
      </c>
      <c r="H14" s="99"/>
      <c r="I14" s="87"/>
    </row>
    <row r="15" spans="2:10" ht="18.75" x14ac:dyDescent="0.35">
      <c r="B15" s="162" t="s">
        <v>3349</v>
      </c>
      <c r="C15" s="99" t="s">
        <v>3350</v>
      </c>
      <c r="D15" s="163">
        <v>90.980999999999995</v>
      </c>
      <c r="E15" s="99"/>
      <c r="F15" s="99"/>
      <c r="G15" s="99" t="s">
        <v>3338</v>
      </c>
      <c r="H15" s="99"/>
      <c r="I15" s="87"/>
    </row>
    <row r="16" spans="2:10" s="132" customFormat="1" ht="18" x14ac:dyDescent="0.35">
      <c r="B16" s="726" t="s">
        <v>3351</v>
      </c>
      <c r="C16" s="727" t="s">
        <v>3352</v>
      </c>
      <c r="D16" s="728">
        <v>3748.91</v>
      </c>
      <c r="E16" s="728"/>
      <c r="F16" s="727"/>
      <c r="G16" s="729" t="s">
        <v>835</v>
      </c>
      <c r="H16" s="727"/>
      <c r="I16" s="730" t="s">
        <v>1180</v>
      </c>
    </row>
    <row r="17" spans="1:9" s="132" customFormat="1" ht="18.75" x14ac:dyDescent="0.35">
      <c r="B17" s="726" t="s">
        <v>3353</v>
      </c>
      <c r="C17" s="727" t="s">
        <v>3354</v>
      </c>
      <c r="D17" s="728">
        <v>10</v>
      </c>
      <c r="E17" s="728"/>
      <c r="F17" s="727"/>
      <c r="G17" s="727" t="s">
        <v>835</v>
      </c>
      <c r="H17" s="727"/>
      <c r="I17" s="730" t="s">
        <v>1170</v>
      </c>
    </row>
    <row r="18" spans="1:9" s="132" customFormat="1" ht="18.75" x14ac:dyDescent="0.35">
      <c r="B18" s="726" t="s">
        <v>3355</v>
      </c>
      <c r="C18" s="727" t="s">
        <v>3356</v>
      </c>
      <c r="D18" s="728">
        <v>40</v>
      </c>
      <c r="E18" s="728"/>
      <c r="F18" s="727"/>
      <c r="G18" s="727" t="s">
        <v>835</v>
      </c>
      <c r="H18" s="727"/>
      <c r="I18" s="730" t="s">
        <v>1171</v>
      </c>
    </row>
    <row r="19" spans="1:9" s="132" customFormat="1" ht="18.75" x14ac:dyDescent="0.35">
      <c r="B19" s="726" t="s">
        <v>3357</v>
      </c>
      <c r="C19" s="727" t="s">
        <v>3358</v>
      </c>
      <c r="D19" s="728">
        <v>0</v>
      </c>
      <c r="E19" s="728"/>
      <c r="F19" s="727"/>
      <c r="G19" s="727" t="s">
        <v>835</v>
      </c>
      <c r="H19" s="727"/>
      <c r="I19" s="730" t="s">
        <v>1172</v>
      </c>
    </row>
    <row r="20" spans="1:9" s="132" customFormat="1" ht="18.75" x14ac:dyDescent="0.35">
      <c r="B20" s="726" t="s">
        <v>3359</v>
      </c>
      <c r="C20" s="727" t="s">
        <v>3360</v>
      </c>
      <c r="D20" s="728">
        <v>0</v>
      </c>
      <c r="E20" s="728"/>
      <c r="F20" s="727"/>
      <c r="G20" s="727" t="s">
        <v>835</v>
      </c>
      <c r="H20" s="727"/>
      <c r="I20" s="730" t="s">
        <v>1173</v>
      </c>
    </row>
    <row r="21" spans="1:9" s="132" customFormat="1" ht="18" x14ac:dyDescent="0.25">
      <c r="B21" s="731" t="s">
        <v>3361</v>
      </c>
      <c r="C21" s="729" t="s">
        <v>3362</v>
      </c>
      <c r="D21" s="732">
        <v>0</v>
      </c>
      <c r="E21" s="732"/>
      <c r="F21" s="732"/>
      <c r="G21" s="729" t="s">
        <v>835</v>
      </c>
      <c r="H21" s="732"/>
      <c r="I21" s="733" t="s">
        <v>1181</v>
      </c>
    </row>
    <row r="22" spans="1:9" s="132" customFormat="1" ht="19.5" thickBot="1" x14ac:dyDescent="0.4">
      <c r="A22"/>
      <c r="B22" s="734" t="s">
        <v>3363</v>
      </c>
      <c r="C22" s="735" t="s">
        <v>3364</v>
      </c>
      <c r="D22" s="736">
        <v>15</v>
      </c>
      <c r="E22" s="736"/>
      <c r="F22" s="735"/>
      <c r="G22" s="735" t="s">
        <v>835</v>
      </c>
      <c r="H22" s="735"/>
      <c r="I22" s="737" t="s">
        <v>1174</v>
      </c>
    </row>
    <row r="23" spans="1:9" ht="15.75" thickBot="1" x14ac:dyDescent="0.3">
      <c r="B23"/>
      <c r="C23"/>
      <c r="D23"/>
      <c r="E23"/>
      <c r="F23"/>
      <c r="G23"/>
      <c r="H23"/>
      <c r="I23"/>
    </row>
    <row r="24" spans="1:9" ht="15.75" thickBot="1" x14ac:dyDescent="0.3">
      <c r="B24" s="156"/>
      <c r="C24" s="718" t="s">
        <v>3365</v>
      </c>
      <c r="D24" s="156"/>
      <c r="E24" s="156"/>
      <c r="F24" s="156"/>
      <c r="G24" s="156"/>
      <c r="H24" s="156"/>
      <c r="I24" s="156"/>
    </row>
    <row r="25" spans="1:9" ht="15.75" thickBot="1" x14ac:dyDescent="0.3">
      <c r="B25" s="719" t="s">
        <v>0</v>
      </c>
      <c r="C25" s="720" t="s">
        <v>1</v>
      </c>
      <c r="D25" s="720" t="s">
        <v>152</v>
      </c>
      <c r="E25" s="721" t="s">
        <v>470</v>
      </c>
      <c r="F25" s="721" t="s">
        <v>471</v>
      </c>
      <c r="G25" s="720" t="s">
        <v>2</v>
      </c>
      <c r="H25" s="720" t="s">
        <v>298</v>
      </c>
      <c r="I25" s="722" t="s">
        <v>116</v>
      </c>
    </row>
    <row r="26" spans="1:9" ht="18.75" x14ac:dyDescent="0.35">
      <c r="B26" s="723" t="s">
        <v>3366</v>
      </c>
      <c r="C26" s="724" t="s">
        <v>3367</v>
      </c>
      <c r="D26" s="703">
        <v>2.2919999999999998</v>
      </c>
      <c r="E26" s="724"/>
      <c r="F26" s="724"/>
      <c r="G26" s="724" t="s">
        <v>3338</v>
      </c>
      <c r="H26" s="724"/>
      <c r="I26" s="725"/>
    </row>
    <row r="27" spans="1:9" ht="18.75" x14ac:dyDescent="0.35">
      <c r="B27" s="162" t="s">
        <v>3368</v>
      </c>
      <c r="C27" s="99" t="s">
        <v>3369</v>
      </c>
      <c r="D27" s="163">
        <v>3</v>
      </c>
      <c r="E27" s="99"/>
      <c r="F27" s="99"/>
      <c r="G27" s="99" t="s">
        <v>3338</v>
      </c>
      <c r="H27" s="99"/>
      <c r="I27" s="87"/>
    </row>
    <row r="28" spans="1:9" ht="18.75" x14ac:dyDescent="0.35">
      <c r="B28" s="162" t="s">
        <v>3370</v>
      </c>
      <c r="C28" s="99" t="s">
        <v>3371</v>
      </c>
      <c r="D28" s="163">
        <v>2.6659999999999999</v>
      </c>
      <c r="E28" s="99"/>
      <c r="F28" s="99"/>
      <c r="G28" s="99" t="s">
        <v>3338</v>
      </c>
      <c r="H28" s="99"/>
      <c r="I28" s="87"/>
    </row>
    <row r="29" spans="1:9" ht="18.75" x14ac:dyDescent="0.35">
      <c r="B29" s="162" t="s">
        <v>3372</v>
      </c>
      <c r="C29" s="99" t="s">
        <v>3373</v>
      </c>
      <c r="D29" s="163">
        <v>2.5329999999999999</v>
      </c>
      <c r="E29" s="99"/>
      <c r="F29" s="99"/>
      <c r="G29" s="99" t="s">
        <v>3338</v>
      </c>
      <c r="H29" s="99"/>
      <c r="I29" s="87"/>
    </row>
    <row r="30" spans="1:9" ht="18.75" x14ac:dyDescent="0.35">
      <c r="B30" s="162" t="s">
        <v>3374</v>
      </c>
      <c r="C30" s="99" t="s">
        <v>3375</v>
      </c>
      <c r="D30" s="163">
        <v>4.4020000000000001</v>
      </c>
      <c r="E30" s="99"/>
      <c r="F30" s="99"/>
      <c r="G30" s="99" t="s">
        <v>3338</v>
      </c>
      <c r="H30" s="99"/>
      <c r="I30" s="87"/>
    </row>
    <row r="31" spans="1:9" ht="18.75" x14ac:dyDescent="0.35">
      <c r="B31" s="162" t="s">
        <v>3376</v>
      </c>
      <c r="C31" s="99" t="s">
        <v>3377</v>
      </c>
      <c r="D31" s="163">
        <v>0</v>
      </c>
      <c r="E31" s="99"/>
      <c r="F31" s="99"/>
      <c r="G31" s="99" t="s">
        <v>3338</v>
      </c>
      <c r="H31" s="99"/>
      <c r="I31" s="87"/>
    </row>
    <row r="32" spans="1:9" ht="18.75" x14ac:dyDescent="0.35">
      <c r="B32" s="162" t="s">
        <v>3378</v>
      </c>
      <c r="C32" s="99" t="s">
        <v>3379</v>
      </c>
      <c r="D32" s="163">
        <v>2.73</v>
      </c>
      <c r="E32" s="99"/>
      <c r="F32" s="99"/>
      <c r="G32" s="99" t="s">
        <v>3338</v>
      </c>
      <c r="H32" s="99"/>
      <c r="I32" s="87"/>
    </row>
    <row r="33" spans="1:12" s="132" customFormat="1" ht="18" x14ac:dyDescent="0.35">
      <c r="B33" s="726" t="s">
        <v>3380</v>
      </c>
      <c r="C33" s="727" t="s">
        <v>3381</v>
      </c>
      <c r="D33" s="728">
        <v>3748.91</v>
      </c>
      <c r="E33" s="728"/>
      <c r="F33" s="727"/>
      <c r="G33" s="729" t="s">
        <v>835</v>
      </c>
      <c r="H33" s="727"/>
      <c r="I33" s="730" t="s">
        <v>3382</v>
      </c>
    </row>
    <row r="34" spans="1:12" s="132" customFormat="1" ht="18.75" x14ac:dyDescent="0.35">
      <c r="B34" s="726" t="s">
        <v>3383</v>
      </c>
      <c r="C34" s="727" t="s">
        <v>3384</v>
      </c>
      <c r="D34" s="728">
        <v>10</v>
      </c>
      <c r="E34" s="728"/>
      <c r="F34" s="727"/>
      <c r="G34" s="727" t="s">
        <v>835</v>
      </c>
      <c r="H34" s="727"/>
      <c r="I34" s="730" t="s">
        <v>3385</v>
      </c>
    </row>
    <row r="35" spans="1:12" s="132" customFormat="1" ht="18.75" x14ac:dyDescent="0.35">
      <c r="B35" s="726" t="s">
        <v>3386</v>
      </c>
      <c r="C35" s="727" t="s">
        <v>3387</v>
      </c>
      <c r="D35" s="728">
        <v>40</v>
      </c>
      <c r="E35" s="728"/>
      <c r="F35" s="727"/>
      <c r="G35" s="727" t="s">
        <v>835</v>
      </c>
      <c r="H35" s="727"/>
      <c r="I35" s="730" t="s">
        <v>3388</v>
      </c>
    </row>
    <row r="36" spans="1:12" s="132" customFormat="1" ht="18.75" x14ac:dyDescent="0.35">
      <c r="B36" s="726" t="s">
        <v>3389</v>
      </c>
      <c r="C36" s="727" t="s">
        <v>3390</v>
      </c>
      <c r="D36" s="728">
        <v>0</v>
      </c>
      <c r="E36" s="728"/>
      <c r="F36" s="727"/>
      <c r="G36" s="727" t="s">
        <v>835</v>
      </c>
      <c r="H36" s="727"/>
      <c r="I36" s="730" t="s">
        <v>3391</v>
      </c>
    </row>
    <row r="37" spans="1:12" s="132" customFormat="1" ht="18.75" x14ac:dyDescent="0.35">
      <c r="B37" s="726" t="s">
        <v>3392</v>
      </c>
      <c r="C37" s="727" t="s">
        <v>3393</v>
      </c>
      <c r="D37" s="728">
        <v>0</v>
      </c>
      <c r="E37" s="728"/>
      <c r="F37" s="727"/>
      <c r="G37" s="727" t="s">
        <v>835</v>
      </c>
      <c r="H37" s="727"/>
      <c r="I37" s="730" t="s">
        <v>3394</v>
      </c>
    </row>
    <row r="38" spans="1:12" s="132" customFormat="1" ht="18" x14ac:dyDescent="0.25">
      <c r="B38" s="731" t="s">
        <v>3395</v>
      </c>
      <c r="C38" s="729" t="s">
        <v>3396</v>
      </c>
      <c r="D38" s="732">
        <v>0</v>
      </c>
      <c r="E38" s="732"/>
      <c r="F38" s="732"/>
      <c r="G38" s="729" t="s">
        <v>835</v>
      </c>
      <c r="H38" s="732"/>
      <c r="I38" s="733" t="s">
        <v>3397</v>
      </c>
    </row>
    <row r="39" spans="1:12" s="132" customFormat="1" ht="19.5" thickBot="1" x14ac:dyDescent="0.4">
      <c r="A39" s="117"/>
      <c r="B39" s="734" t="s">
        <v>3398</v>
      </c>
      <c r="C39" s="735" t="s">
        <v>3399</v>
      </c>
      <c r="D39" s="736">
        <v>15</v>
      </c>
      <c r="E39" s="736"/>
      <c r="F39" s="735"/>
      <c r="G39" s="735" t="s">
        <v>835</v>
      </c>
      <c r="H39" s="735"/>
      <c r="I39" s="737" t="s">
        <v>3400</v>
      </c>
    </row>
    <row r="40" spans="1:12" ht="15.75" thickBot="1" x14ac:dyDescent="0.3">
      <c r="B40"/>
      <c r="C40"/>
      <c r="D40"/>
      <c r="E40"/>
      <c r="F40"/>
      <c r="G40"/>
      <c r="H40"/>
      <c r="I40"/>
    </row>
    <row r="41" spans="1:12" ht="15.75" thickBot="1" x14ac:dyDescent="0.3">
      <c r="B41" s="156"/>
      <c r="C41" s="718" t="s">
        <v>785</v>
      </c>
      <c r="D41" s="156"/>
      <c r="E41" s="156"/>
      <c r="F41" s="156"/>
      <c r="G41" s="156"/>
      <c r="H41" s="156"/>
      <c r="I41" s="156"/>
    </row>
    <row r="42" spans="1:12" ht="15.75" thickBot="1" x14ac:dyDescent="0.3">
      <c r="B42" s="719" t="s">
        <v>0</v>
      </c>
      <c r="C42" s="720" t="s">
        <v>1</v>
      </c>
      <c r="D42" s="720" t="s">
        <v>152</v>
      </c>
      <c r="E42" s="721" t="s">
        <v>470</v>
      </c>
      <c r="F42" s="721" t="s">
        <v>471</v>
      </c>
      <c r="G42" s="720" t="s">
        <v>2</v>
      </c>
      <c r="H42" s="720" t="s">
        <v>298</v>
      </c>
      <c r="I42" s="722" t="s">
        <v>116</v>
      </c>
    </row>
    <row r="43" spans="1:12" s="103" customFormat="1" ht="30" x14ac:dyDescent="0.25">
      <c r="B43" s="777" t="s">
        <v>3437</v>
      </c>
      <c r="C43" s="778" t="s">
        <v>3439</v>
      </c>
      <c r="D43" s="779">
        <v>0</v>
      </c>
      <c r="E43" s="780">
        <v>0</v>
      </c>
      <c r="F43" s="780" t="s">
        <v>1257</v>
      </c>
      <c r="G43" s="770" t="s">
        <v>2036</v>
      </c>
      <c r="H43" s="780">
        <v>1</v>
      </c>
      <c r="I43" s="781" t="s">
        <v>3440</v>
      </c>
      <c r="J43" s="772" t="s">
        <v>3441</v>
      </c>
    </row>
    <row r="44" spans="1:12" s="103" customFormat="1" ht="30" x14ac:dyDescent="0.25">
      <c r="B44" s="777" t="s">
        <v>3438</v>
      </c>
      <c r="C44" s="778" t="s">
        <v>3442</v>
      </c>
      <c r="D44" s="779">
        <v>0</v>
      </c>
      <c r="E44" s="780">
        <v>0</v>
      </c>
      <c r="F44" s="780" t="s">
        <v>1257</v>
      </c>
      <c r="G44" s="770" t="s">
        <v>2036</v>
      </c>
      <c r="H44" s="780">
        <v>1</v>
      </c>
      <c r="I44" s="781" t="s">
        <v>3443</v>
      </c>
      <c r="J44" s="772" t="s">
        <v>3441</v>
      </c>
    </row>
    <row r="45" spans="1:12" ht="18.75" x14ac:dyDescent="0.35">
      <c r="B45" s="738" t="s">
        <v>802</v>
      </c>
      <c r="C45" s="739" t="s">
        <v>801</v>
      </c>
      <c r="D45" s="702">
        <v>7.0000000000000001E-3</v>
      </c>
      <c r="E45" s="739"/>
      <c r="F45" s="739"/>
      <c r="G45" s="727" t="s">
        <v>1904</v>
      </c>
      <c r="H45" s="739"/>
      <c r="I45" s="596"/>
    </row>
    <row r="46" spans="1:12" s="117" customFormat="1" ht="18" x14ac:dyDescent="0.25">
      <c r="B46" s="497" t="s">
        <v>2500</v>
      </c>
      <c r="C46" s="740" t="s">
        <v>2501</v>
      </c>
      <c r="D46" s="741">
        <v>35</v>
      </c>
      <c r="E46" s="741"/>
      <c r="F46" s="741"/>
      <c r="G46" s="701" t="s">
        <v>1047</v>
      </c>
      <c r="H46" s="742"/>
      <c r="I46" s="498"/>
      <c r="J46" s="140"/>
      <c r="K46" s="140"/>
      <c r="L46" s="140"/>
    </row>
    <row r="47" spans="1:12" s="117" customFormat="1" ht="18.75" thickBot="1" x14ac:dyDescent="0.3">
      <c r="B47" s="499" t="s">
        <v>2502</v>
      </c>
      <c r="C47" s="743" t="s">
        <v>2503</v>
      </c>
      <c r="D47" s="598">
        <v>150</v>
      </c>
      <c r="E47" s="598"/>
      <c r="F47" s="598"/>
      <c r="G47" s="744" t="s">
        <v>1049</v>
      </c>
      <c r="H47" s="599"/>
      <c r="I47" s="114"/>
      <c r="J47" s="140"/>
      <c r="K47" s="140"/>
      <c r="L47" s="140"/>
    </row>
    <row r="48" spans="1:12" s="169" customFormat="1" ht="15.75" thickBot="1" x14ac:dyDescent="0.3">
      <c r="B48" s="138"/>
      <c r="C48" s="164"/>
      <c r="D48" s="165"/>
      <c r="E48" s="166"/>
      <c r="F48" s="167"/>
      <c r="G48" s="165"/>
      <c r="H48" s="165"/>
      <c r="I48" s="168"/>
    </row>
    <row r="49" spans="2:9" s="169" customFormat="1" ht="15.75" thickBot="1" x14ac:dyDescent="0.3">
      <c r="B49" s="138"/>
      <c r="C49" s="157" t="s">
        <v>1175</v>
      </c>
      <c r="D49" s="165"/>
      <c r="E49" s="166"/>
      <c r="F49" s="167"/>
      <c r="G49" s="165"/>
      <c r="H49" s="165"/>
      <c r="I49" s="168"/>
    </row>
    <row r="50" spans="2:9" s="169" customFormat="1" ht="15.75" thickBot="1" x14ac:dyDescent="0.3">
      <c r="B50" s="158" t="s">
        <v>0</v>
      </c>
      <c r="C50" s="159" t="s">
        <v>1</v>
      </c>
      <c r="D50" s="159" t="s">
        <v>152</v>
      </c>
      <c r="E50" s="160" t="s">
        <v>470</v>
      </c>
      <c r="F50" s="160" t="s">
        <v>471</v>
      </c>
      <c r="G50" s="159" t="s">
        <v>2</v>
      </c>
      <c r="H50" s="159" t="s">
        <v>298</v>
      </c>
      <c r="I50" s="161" t="s">
        <v>116</v>
      </c>
    </row>
    <row r="51" spans="2:9" s="169" customFormat="1" ht="15.75" thickBot="1" x14ac:dyDescent="0.3">
      <c r="B51" s="170" t="s">
        <v>791</v>
      </c>
      <c r="C51" s="171" t="s">
        <v>786</v>
      </c>
      <c r="D51" s="172" t="b">
        <v>0</v>
      </c>
      <c r="E51" s="171"/>
      <c r="F51" s="171"/>
      <c r="G51" s="171"/>
      <c r="H51" s="171"/>
      <c r="I51" s="173" t="s">
        <v>787</v>
      </c>
    </row>
    <row r="52" spans="2:9" s="169" customFormat="1" ht="15.75" thickBot="1" x14ac:dyDescent="0.3"/>
    <row r="53" spans="2:9" s="169" customFormat="1" ht="15.75" thickBot="1" x14ac:dyDescent="0.3">
      <c r="B53" s="174" t="s">
        <v>1176</v>
      </c>
      <c r="C53" s="157" t="s">
        <v>1177</v>
      </c>
      <c r="D53" s="156"/>
      <c r="E53" s="156"/>
      <c r="F53" s="156"/>
      <c r="G53" s="156"/>
      <c r="H53" s="156"/>
      <c r="I53" s="156"/>
    </row>
    <row r="54" spans="2:9" s="169" customFormat="1" ht="15.75" thickBot="1" x14ac:dyDescent="0.3">
      <c r="B54" s="276" t="s">
        <v>0</v>
      </c>
      <c r="C54" s="277" t="s">
        <v>1</v>
      </c>
      <c r="D54" s="277" t="s">
        <v>152</v>
      </c>
      <c r="E54" s="278" t="s">
        <v>470</v>
      </c>
      <c r="F54" s="278" t="s">
        <v>471</v>
      </c>
      <c r="G54" s="277" t="s">
        <v>2</v>
      </c>
      <c r="H54" s="277" t="s">
        <v>298</v>
      </c>
      <c r="I54" s="279" t="s">
        <v>116</v>
      </c>
    </row>
    <row r="55" spans="2:9" s="169" customFormat="1" x14ac:dyDescent="0.25">
      <c r="B55" s="2269" t="s">
        <v>1178</v>
      </c>
      <c r="C55" s="2270"/>
      <c r="D55" s="2270" t="b">
        <v>0</v>
      </c>
      <c r="E55" s="2270"/>
      <c r="F55" s="2270"/>
      <c r="G55" s="2270"/>
      <c r="H55" s="2270"/>
      <c r="I55" s="2271" t="s">
        <v>1179</v>
      </c>
    </row>
    <row r="56" spans="2:9" s="169" customFormat="1" x14ac:dyDescent="0.25">
      <c r="B56" s="2272" t="s">
        <v>1258</v>
      </c>
      <c r="C56" s="2273"/>
      <c r="D56" s="2273" t="b">
        <v>0</v>
      </c>
      <c r="E56" s="2273"/>
      <c r="F56" s="2273"/>
      <c r="G56" s="2273"/>
      <c r="H56" s="2273"/>
      <c r="I56" s="2274" t="s">
        <v>1179</v>
      </c>
    </row>
    <row r="57" spans="2:9" s="169" customFormat="1" x14ac:dyDescent="0.25">
      <c r="B57" s="2272" t="s">
        <v>11</v>
      </c>
      <c r="C57" s="2273"/>
      <c r="D57" s="2273" t="b">
        <v>1</v>
      </c>
      <c r="E57" s="2273"/>
      <c r="F57" s="2273"/>
      <c r="G57" s="2273"/>
      <c r="H57" s="2273"/>
      <c r="I57" s="2274" t="s">
        <v>1179</v>
      </c>
    </row>
    <row r="58" spans="2:9" s="169" customFormat="1" x14ac:dyDescent="0.25">
      <c r="B58" s="2272" t="s">
        <v>15</v>
      </c>
      <c r="C58" s="2273"/>
      <c r="D58" s="2273" t="b">
        <v>0</v>
      </c>
      <c r="E58" s="2273"/>
      <c r="F58" s="2273"/>
      <c r="G58" s="2273"/>
      <c r="H58" s="2273"/>
      <c r="I58" s="2274" t="s">
        <v>1179</v>
      </c>
    </row>
    <row r="59" spans="2:9" s="169" customFormat="1" x14ac:dyDescent="0.25">
      <c r="B59" s="2272" t="s">
        <v>4745</v>
      </c>
      <c r="C59" s="2273"/>
      <c r="D59" s="2273" t="b">
        <v>0</v>
      </c>
      <c r="E59" s="2273"/>
      <c r="F59" s="2273"/>
      <c r="G59" s="2273"/>
      <c r="H59" s="2273"/>
      <c r="I59" s="2274" t="s">
        <v>1179</v>
      </c>
    </row>
    <row r="60" spans="2:9" x14ac:dyDescent="0.25">
      <c r="B60" s="2272" t="s">
        <v>2134</v>
      </c>
      <c r="C60" s="2273"/>
      <c r="D60" s="2273" t="b">
        <v>1</v>
      </c>
      <c r="E60" s="2273"/>
      <c r="F60" s="2273"/>
      <c r="G60" s="2273"/>
      <c r="H60" s="2273"/>
      <c r="I60" s="2274" t="s">
        <v>1179</v>
      </c>
    </row>
    <row r="61" spans="2:9" x14ac:dyDescent="0.25">
      <c r="B61" s="2272" t="s">
        <v>329</v>
      </c>
      <c r="C61" s="2273"/>
      <c r="D61" s="2273" t="b">
        <v>1</v>
      </c>
      <c r="E61" s="2273"/>
      <c r="F61" s="2273"/>
      <c r="G61" s="2273"/>
      <c r="H61" s="2273"/>
      <c r="I61" s="2274" t="s">
        <v>1179</v>
      </c>
    </row>
    <row r="62" spans="2:9" x14ac:dyDescent="0.25">
      <c r="B62" s="2272" t="s">
        <v>1213</v>
      </c>
      <c r="C62" s="2275"/>
      <c r="D62" s="2273" t="b">
        <v>0</v>
      </c>
      <c r="E62" s="2275"/>
      <c r="F62" s="2275"/>
      <c r="G62" s="2275"/>
      <c r="H62" s="2275"/>
      <c r="I62" s="2274" t="s">
        <v>1179</v>
      </c>
    </row>
    <row r="63" spans="2:9" x14ac:dyDescent="0.25">
      <c r="B63" s="2272" t="s">
        <v>1608</v>
      </c>
      <c r="C63" s="2275"/>
      <c r="D63" s="2273" t="b">
        <v>0</v>
      </c>
      <c r="E63" s="2275"/>
      <c r="F63" s="2275"/>
      <c r="G63" s="2275"/>
      <c r="H63" s="2275"/>
      <c r="I63" s="2274" t="s">
        <v>1179</v>
      </c>
    </row>
    <row r="64" spans="2:9" x14ac:dyDescent="0.25">
      <c r="B64" s="2272" t="s">
        <v>1619</v>
      </c>
      <c r="C64" s="2273"/>
      <c r="D64" s="2273" t="b">
        <v>1</v>
      </c>
      <c r="E64" s="2273"/>
      <c r="F64" s="2273"/>
      <c r="G64" s="2273"/>
      <c r="H64" s="2273"/>
      <c r="I64" s="2274" t="s">
        <v>1179</v>
      </c>
    </row>
    <row r="65" spans="2:9" x14ac:dyDescent="0.25">
      <c r="B65" s="2272" t="s">
        <v>4746</v>
      </c>
      <c r="C65" s="2273"/>
      <c r="D65" s="2273" t="b">
        <v>1</v>
      </c>
      <c r="E65" s="2273"/>
      <c r="F65" s="2273"/>
      <c r="G65" s="2273"/>
      <c r="H65" s="2273"/>
      <c r="I65" s="2274" t="s">
        <v>1179</v>
      </c>
    </row>
    <row r="66" spans="2:9" x14ac:dyDescent="0.25">
      <c r="B66" s="2272" t="s">
        <v>4747</v>
      </c>
      <c r="C66" s="2273"/>
      <c r="D66" s="2273" t="b">
        <v>0</v>
      </c>
      <c r="E66" s="2273"/>
      <c r="F66" s="2273"/>
      <c r="G66" s="2273"/>
      <c r="H66" s="2273"/>
      <c r="I66" s="2274" t="s">
        <v>1179</v>
      </c>
    </row>
    <row r="67" spans="2:9" x14ac:dyDescent="0.25">
      <c r="B67" s="2272" t="s">
        <v>4748</v>
      </c>
      <c r="C67" s="2273"/>
      <c r="D67" s="2273" t="b">
        <v>0</v>
      </c>
      <c r="E67" s="2273"/>
      <c r="F67" s="2273"/>
      <c r="G67" s="2273"/>
      <c r="H67" s="2273"/>
      <c r="I67" s="2274" t="s">
        <v>1179</v>
      </c>
    </row>
    <row r="68" spans="2:9" x14ac:dyDescent="0.25">
      <c r="B68" s="2272" t="s">
        <v>4749</v>
      </c>
      <c r="C68" s="2273"/>
      <c r="D68" s="2273" t="b">
        <v>0</v>
      </c>
      <c r="E68" s="2273"/>
      <c r="F68" s="2273"/>
      <c r="G68" s="2273"/>
      <c r="H68" s="2273"/>
      <c r="I68" s="2274" t="s">
        <v>1179</v>
      </c>
    </row>
    <row r="69" spans="2:9" x14ac:dyDescent="0.25">
      <c r="B69" s="2272" t="s">
        <v>4750</v>
      </c>
      <c r="C69" s="2273"/>
      <c r="D69" s="2273" t="b">
        <v>0</v>
      </c>
      <c r="E69" s="2273"/>
      <c r="F69" s="2273"/>
      <c r="G69" s="2273"/>
      <c r="H69" s="2273"/>
      <c r="I69" s="2274" t="s">
        <v>1179</v>
      </c>
    </row>
    <row r="70" spans="2:9" x14ac:dyDescent="0.25">
      <c r="B70" s="2272" t="s">
        <v>4232</v>
      </c>
      <c r="C70" s="2273"/>
      <c r="D70" s="2273" t="b">
        <v>0</v>
      </c>
      <c r="E70" s="2273"/>
      <c r="F70" s="2273"/>
      <c r="G70" s="2273"/>
      <c r="H70" s="2273"/>
      <c r="I70" s="2274" t="s">
        <v>1179</v>
      </c>
    </row>
    <row r="71" spans="2:9" x14ac:dyDescent="0.25">
      <c r="B71" s="2272" t="s">
        <v>4751</v>
      </c>
      <c r="C71" s="2273"/>
      <c r="D71" s="2273" t="b">
        <v>0</v>
      </c>
      <c r="E71" s="2273"/>
      <c r="F71" s="2273"/>
      <c r="G71" s="2273"/>
      <c r="H71" s="2273"/>
      <c r="I71" s="2274" t="s">
        <v>1179</v>
      </c>
    </row>
    <row r="72" spans="2:9" x14ac:dyDescent="0.25">
      <c r="B72" s="2272" t="s">
        <v>4233</v>
      </c>
      <c r="C72" s="2273"/>
      <c r="D72" s="2273" t="b">
        <v>0</v>
      </c>
      <c r="E72" s="2273"/>
      <c r="F72" s="2273"/>
      <c r="G72" s="2273"/>
      <c r="H72" s="2273"/>
      <c r="I72" s="2274" t="s">
        <v>1179</v>
      </c>
    </row>
    <row r="73" spans="2:9" ht="15.75" thickBot="1" x14ac:dyDescent="0.3">
      <c r="B73" s="2276" t="s">
        <v>4235</v>
      </c>
      <c r="C73" s="2277"/>
      <c r="D73" s="2277" t="b">
        <v>0</v>
      </c>
      <c r="E73" s="2277"/>
      <c r="F73" s="2277"/>
      <c r="G73" s="2277"/>
      <c r="H73" s="2277"/>
      <c r="I73" s="2278" t="s">
        <v>1179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16</vt:i4>
      </vt:variant>
      <vt:variant>
        <vt:lpstr>Névvel ellátott tartományok</vt:lpstr>
      </vt:variant>
      <vt:variant>
        <vt:i4>8894</vt:i4>
      </vt:variant>
    </vt:vector>
  </HeadingPairs>
  <TitlesOfParts>
    <vt:vector size="8910" baseType="lpstr">
      <vt:lpstr>Help</vt:lpstr>
      <vt:lpstr>Parameters</vt:lpstr>
      <vt:lpstr>PU parameters</vt:lpstr>
      <vt:lpstr>Model</vt:lpstr>
      <vt:lpstr>pH</vt:lpstr>
      <vt:lpstr>Species</vt:lpstr>
      <vt:lpstr>Tableau</vt:lpstr>
      <vt:lpstr>Components</vt:lpstr>
      <vt:lpstr>Algebraic model</vt:lpstr>
      <vt:lpstr>Expert knowledge</vt:lpstr>
      <vt:lpstr>Calculated variables</vt:lpstr>
      <vt:lpstr>systemcode_constants</vt:lpstr>
      <vt:lpstr>Functions</vt:lpstr>
      <vt:lpstr>Code</vt:lpstr>
      <vt:lpstr>systemcode_functions</vt:lpstr>
      <vt:lpstr>other parameters</vt:lpstr>
      <vt:lpstr>µ_AMETO</vt:lpstr>
      <vt:lpstr>µ_AMETO_T</vt:lpstr>
      <vt:lpstr>µ_AMX</vt:lpstr>
      <vt:lpstr>µ_AMX_T</vt:lpstr>
      <vt:lpstr>µ_AOB</vt:lpstr>
      <vt:lpstr>µ_AOB_T</vt:lpstr>
      <vt:lpstr>µ_CASTO</vt:lpstr>
      <vt:lpstr>µ_CASTO_T</vt:lpstr>
      <vt:lpstr>µ_FERM_OHO</vt:lpstr>
      <vt:lpstr>µ_FERM_OHO_T</vt:lpstr>
      <vt:lpstr>µ_FERM_PAO</vt:lpstr>
      <vt:lpstr>µ_FERM_PAO_T</vt:lpstr>
      <vt:lpstr>µ_HMETO</vt:lpstr>
      <vt:lpstr>µ_HMETO_T</vt:lpstr>
      <vt:lpstr>µ_MEOLO</vt:lpstr>
      <vt:lpstr>µ_MEOLO_T</vt:lpstr>
      <vt:lpstr>µ_NOB</vt:lpstr>
      <vt:lpstr>µ_NOB_T</vt:lpstr>
      <vt:lpstr>µ_OHO</vt:lpstr>
      <vt:lpstr>µ_OHO_T</vt:lpstr>
      <vt:lpstr>µ_PAO_lim</vt:lpstr>
      <vt:lpstr>µ_PAO_lim_T</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b_AMETO</vt:lpstr>
      <vt:lpstr>b_AMETO_T</vt:lpstr>
      <vt:lpstr>b_AMX</vt:lpstr>
      <vt:lpstr>b_AMX_T</vt:lpstr>
      <vt:lpstr>b_AOB</vt:lpstr>
      <vt:lpstr>b_AOB_T</vt:lpstr>
      <vt:lpstr>b_CASTO</vt:lpstr>
      <vt:lpstr>b_CASTO_T</vt:lpstr>
      <vt:lpstr>B_ellinhpH</vt:lpstr>
      <vt:lpstr>B_ellinhpH_AMETO</vt:lpstr>
      <vt:lpstr>B_ellinhpH_HMETO</vt:lpstr>
      <vt:lpstr>B_H2O</vt:lpstr>
      <vt:lpstr>b_HMETO</vt:lpstr>
      <vt:lpstr>b_HMETO_T</vt:lpstr>
      <vt:lpstr>b_MEOLO</vt:lpstr>
      <vt:lpstr>b_MEOLO_T</vt:lpstr>
      <vt:lpstr>b_NOB</vt:lpstr>
      <vt:lpstr>b_NOB_T</vt:lpstr>
      <vt:lpstr>b_OHO</vt:lpstr>
      <vt:lpstr>b_OHO_T</vt:lpstr>
      <vt:lpstr>b_PP_ana</vt:lpstr>
      <vt:lpstr>b_PP_ana_T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conc_H3PO4_I</vt:lpstr>
      <vt:lpstr>conc_HAc_I</vt:lpstr>
      <vt:lpstr>conc_HCO3m_I</vt:lpstr>
      <vt:lpstr>conc_HNO2_I</vt:lpstr>
      <vt:lpstr>conc_Hp_I</vt:lpstr>
      <vt:lpstr>conc_Hp_Ieq</vt:lpstr>
      <vt:lpstr>conc_HPO42m_I</vt:lpstr>
      <vt:lpstr>conc_HPO42m_Ieq</vt:lpstr>
      <vt:lpstr>conc_Kp_I</vt:lpstr>
      <vt:lpstr>conc_Mg2p_I</vt:lpstr>
      <vt:lpstr>conc_NH3_I</vt:lpstr>
      <vt:lpstr>conc_NH4p_I</vt:lpstr>
      <vt:lpstr>conc_NO2m_I</vt:lpstr>
      <vt:lpstr>conc_NO2m_Ieq</vt:lpstr>
      <vt:lpstr>conc_NO3m_I</vt:lpstr>
      <vt:lpstr>conc_OHm_I</vt:lpstr>
      <vt:lpstr>conc_PO43m_I</vt:lpstr>
      <vt:lpstr>d_ampALPHA</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f_kL_GN2</vt:lpstr>
      <vt:lpstr>f_kL_GNH3</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f_SO2_max_ALPHA</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G_N2</vt:lpstr>
      <vt:lpstr>G_N2_atm</vt:lpstr>
      <vt:lpstr>G_NH3</vt:lpstr>
      <vt:lpstr>G_NH3_atm</vt:lpstr>
      <vt:lpstr>G_O2</vt:lpstr>
      <vt:lpstr>G_O2_atm</vt:lpstr>
      <vt:lpstr>H__</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H_satSVFA_AMETO</vt:lpstr>
      <vt:lpstr>H_SO42m</vt:lpstr>
      <vt:lpstr>H_STP</vt:lpstr>
      <vt:lpstr>i_Ca_INORG</vt:lpstr>
      <vt:lpstr>i_Ca_PP</vt:lpstr>
      <vt:lpstr>i_CIT_BIO</vt:lpstr>
      <vt:lpstr>i_CIT_CH4</vt:lpstr>
      <vt:lpstr>i_CIT_GLY</vt:lpstr>
      <vt:lpstr>i_CIT_MEOL</vt:lpstr>
      <vt:lpstr>i_CIT_PHA</vt:lpstr>
      <vt:lpstr>i_CIT_SB</vt:lpstr>
      <vt:lpstr>i_CIT_STC</vt:lpstr>
      <vt:lpstr>i_CIT_VFA</vt:lpstr>
      <vt:lpstr>i_CV_BIO</vt:lpstr>
      <vt:lpstr>i_CV_CB</vt:lpstr>
      <vt:lpstr>i_CV_CU</vt:lpstr>
      <vt:lpstr>i_CV_GLY</vt:lpstr>
      <vt:lpstr>i_CV_MEOL</vt:lpstr>
      <vt:lpstr>i_CV_PHA</vt:lpstr>
      <vt:lpstr>i_CV_SB</vt:lpstr>
      <vt:lpstr>i_CV_SU</vt:lpstr>
      <vt:lpstr>i_CV_VFA</vt:lpstr>
      <vt:lpstr>i_CV_XB</vt:lpstr>
      <vt:lpstr>i_CV_XE</vt:lpstr>
      <vt:lpstr>i_CV_XU</vt:lpstr>
      <vt:lpstr>i_INORG</vt:lpstr>
      <vt:lpstr>i_iw_BIO</vt:lpstr>
      <vt:lpstr>i_K_PP</vt:lpstr>
      <vt:lpstr>i_Mg_INORG</vt:lpstr>
      <vt:lpstr>i_Mg_PP</vt:lpstr>
      <vt:lpstr>i_N_BIO</vt:lpstr>
      <vt:lpstr>i_N_CB</vt:lpstr>
      <vt:lpstr>i_N_CU</vt:lpstr>
      <vt:lpstr>i_N_SU</vt:lpstr>
      <vt:lpstr>i_N_XE</vt:lpstr>
      <vt:lpstr>i_N_XSTR</vt:lpstr>
      <vt:lpstr>i_P_BIO</vt:lpstr>
      <vt:lpstr>i_P_CB</vt:lpstr>
      <vt:lpstr>i_P_CU</vt:lpstr>
      <vt:lpstr>i_P_SU</vt:lpstr>
      <vt:lpstr>i_P_XACP</vt:lpstr>
      <vt:lpstr>i_P_XBSH</vt:lpstr>
      <vt:lpstr>i_P_XSTR</vt:lpstr>
      <vt:lpstr>i_P_XVivi</vt:lpstr>
      <vt:lpstr>I_S</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i_vw_GLY</vt:lpstr>
      <vt:lpstr>i_vw_PHA</vt:lpstr>
      <vt:lpstr>i_vw_XB</vt:lpstr>
      <vt:lpstr>i_vw_XE</vt:lpstr>
      <vt:lpstr>i_vw_XU</vt:lpstr>
      <vt:lpstr>i_wh_BIO</vt:lpstr>
      <vt:lpstr>i_wh_EPS</vt:lpstr>
      <vt:lpstr>i_wh_GLY</vt:lpstr>
      <vt:lpstr>i_wh_PHA</vt:lpstr>
      <vt:lpstr>i_wh_XB</vt:lpstr>
      <vt:lpstr>i_wh_XE</vt:lpstr>
      <vt:lpstr>i_wh_XU</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K_CO2_AMX</vt:lpstr>
      <vt:lpstr>K_CO2_AMX_AS</vt:lpstr>
      <vt:lpstr>K_CO2_AMX_pH</vt:lpstr>
      <vt:lpstr>K_CO2_AMX_pH_AS</vt:lpstr>
      <vt:lpstr>K_CO2_AOB</vt:lpstr>
      <vt:lpstr>K_CO2_AOB_AS</vt:lpstr>
      <vt:lpstr>K_CO2_AOB_pH</vt:lpstr>
      <vt:lpstr>K_CO2_AOB_pH_AS</vt:lpstr>
      <vt:lpstr>K_CO2_AOB_pH_sidestream</vt:lpstr>
      <vt:lpstr>K_CO2_AOB_sidestream</vt:lpstr>
      <vt:lpstr>K_CO2_BIO</vt:lpstr>
      <vt:lpstr>K_CO2_BIO_AS</vt:lpstr>
      <vt:lpstr>K_CO2_NOB</vt:lpstr>
      <vt:lpstr>K_CO2_NOB_AS</vt:lpstr>
      <vt:lpstr>K_CO2_NOB_pH</vt:lpstr>
      <vt:lpstr>K_CO2_NOB_pH_AS</vt:lpstr>
      <vt:lpstr>K_FLOC</vt:lpstr>
      <vt:lpstr>K_FLOC_AS</vt:lpstr>
      <vt:lpstr>K_GLY</vt:lpstr>
      <vt:lpstr>K_H2_HMETO</vt:lpstr>
      <vt:lpstr>K_H2_HMETO_AS</vt:lpstr>
      <vt:lpstr>K_H2S_param</vt:lpstr>
      <vt:lpstr>K_HYD</vt:lpstr>
      <vt:lpstr>K_HYD_AS</vt:lpstr>
      <vt:lpstr>K_iGLY_GAO_max</vt:lpstr>
      <vt:lpstr>K_iHNO2_AMX_pH</vt:lpstr>
      <vt:lpstr>K_iHNO2_AMX_pH_AS</vt:lpstr>
      <vt:lpstr>K_iHNO2_AOB_pH</vt:lpstr>
      <vt:lpstr>K_iHNO2_AOB_pH_AS</vt:lpstr>
      <vt:lpstr>K_iNH3_AMETO_pH</vt:lpstr>
      <vt:lpstr>K_iNH3_AMETO_pH_AS</vt:lpstr>
      <vt:lpstr>K_iNH3_NOB_pH</vt:lpstr>
      <vt:lpstr>K_iNH3_NOB_pH_AS</vt:lpstr>
      <vt:lpstr>K_iNHx_AMETO</vt:lpstr>
      <vt:lpstr>K_iNHx_AMETO_AS</vt:lpstr>
      <vt:lpstr>K_iNHx_ASSIM</vt:lpstr>
      <vt:lpstr>K_iNHx_ASSIM_AS</vt:lpstr>
      <vt:lpstr>K_iO2_AMETO</vt:lpstr>
      <vt:lpstr>K_iO2_AMETO_AS</vt:lpstr>
      <vt:lpstr>K_iO2_AMX</vt:lpstr>
      <vt:lpstr>K_iO2_AMX_AS</vt:lpstr>
      <vt:lpstr>K_iO2_HMETO</vt:lpstr>
      <vt:lpstr>K_iO2_HMETO_AS</vt:lpstr>
      <vt:lpstr>K_iO2_MEOLO</vt:lpstr>
      <vt:lpstr>K_iO2_MEOLO_AS</vt:lpstr>
      <vt:lpstr>K_iP_HAO_DESORP</vt:lpstr>
      <vt:lpstr>K_iP_HAO_DISS</vt:lpstr>
      <vt:lpstr>K_iP_HFO_DESORP</vt:lpstr>
      <vt:lpstr>K_iP_HFO_DISS</vt:lpstr>
      <vt:lpstr>K_iPHA_PAO_max</vt:lpstr>
      <vt:lpstr>K_iPO4_lim</vt:lpstr>
      <vt:lpstr>K_iPO4_lim_AS</vt:lpstr>
      <vt:lpstr>K_iPP_PAO_max</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k_L_GN2_bub</vt:lpstr>
      <vt:lpstr>k_L_GN2_sur</vt:lpstr>
      <vt:lpstr>k_L_GNH3_bub</vt:lpstr>
      <vt:lpstr>k_L_GNH3_sur</vt:lpstr>
      <vt:lpstr>k_L_GO2_bub</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K_MEOL</vt:lpstr>
      <vt:lpstr>K_MEOL_AS</vt:lpstr>
      <vt:lpstr>K_MEOL_OHO</vt:lpstr>
      <vt:lpstr>K_MEOL_OHO_AS</vt:lpstr>
      <vt:lpstr>K_Mg_BIO</vt:lpstr>
      <vt:lpstr>K_Mg_BIO_AS</vt:lpstr>
      <vt:lpstr>K_Mg_PAO</vt:lpstr>
      <vt:lpstr>K_Mg_PAO_AS</vt:lpstr>
      <vt:lpstr>K_NH3</vt:lpstr>
      <vt:lpstr>K_NH3_param</vt:lpstr>
      <vt:lpstr>K_NH3_T</vt:lpstr>
      <vt:lpstr>K_NHx_AMX</vt:lpstr>
      <vt:lpstr>K_NHx_AMX_AS</vt:lpstr>
      <vt:lpstr>K_NHx_AOB</vt:lpstr>
      <vt:lpstr>K_NHx_AOB_AS</vt:lpstr>
      <vt:lpstr>K_NHx_BIO</vt:lpstr>
      <vt:lpstr>K_NHx_BIO_AS</vt:lpstr>
      <vt:lpstr>K_NO2</vt:lpstr>
      <vt:lpstr>K_NO2_AMX</vt:lpstr>
      <vt:lpstr>K_NO2_AMX_AS</vt:lpstr>
      <vt:lpstr>K_NO2_ASSIM</vt:lpstr>
      <vt:lpstr>K_NO2_ASSIM_AS</vt:lpstr>
      <vt:lpstr>K_NO2_CASTO</vt:lpstr>
      <vt:lpstr>K_NO2_CASTO_AS</vt:lpstr>
      <vt:lpstr>K_NO2_MEOLO</vt:lpstr>
      <vt:lpstr>K_NO2_MEOLO_AS</vt:lpstr>
      <vt:lpstr>K_NO2_NOB</vt:lpstr>
      <vt:lpstr>K_NO2_NOB_AS</vt:lpstr>
      <vt:lpstr>K_NO2_OHO</vt:lpstr>
      <vt:lpstr>K_NO2_OHO_AS</vt:lpstr>
      <vt:lpstr>K_NO2_param</vt:lpstr>
      <vt:lpstr>K_NO2_T</vt:lpstr>
      <vt:lpstr>K_NO3_ASSIM</vt:lpstr>
      <vt:lpstr>K_NO3_ASSIM_AS</vt:lpstr>
      <vt:lpstr>K_NO3_CASTO</vt:lpstr>
      <vt:lpstr>K_NO3_CASTO_AS</vt:lpstr>
      <vt:lpstr>K_NO3_MEOLO</vt:lpstr>
      <vt:lpstr>K_NO3_MEOLO_AS</vt:lpstr>
      <vt:lpstr>K_NO3_OHO</vt:lpstr>
      <vt:lpstr>K_NO3_OHO_AS</vt:lpstr>
      <vt:lpstr>K_NOx_AMETO</vt:lpstr>
      <vt:lpstr>K_NOx_AMETO_AS</vt:lpstr>
      <vt:lpstr>K_NOx_AMX</vt:lpstr>
      <vt:lpstr>K_NOx_AMX_AS</vt:lpstr>
      <vt:lpstr>K_NOx_AOB</vt:lpstr>
      <vt:lpstr>K_NOx_AOB_AS</vt:lpstr>
      <vt:lpstr>K_NOx_HMETO</vt:lpstr>
      <vt:lpstr>K_NOx_HMETO_AS</vt:lpstr>
      <vt:lpstr>K_NOx_NOB</vt:lpstr>
      <vt:lpstr>K_NOx_NOB_AS</vt:lpstr>
      <vt:lpstr>K_O2_ALPHA</vt:lpstr>
      <vt:lpstr>K_O2_AOB</vt:lpstr>
      <vt:lpstr>K_O2_AOB_AS</vt:lpstr>
      <vt:lpstr>K_O2_AOB_sidestream</vt:lpstr>
      <vt:lpstr>K_O2_CASTO</vt:lpstr>
      <vt:lpstr>K_O2_CASTO_AS</vt:lpstr>
      <vt:lpstr>K_O2_NOB</vt:lpstr>
      <vt:lpstr>K_O2_NOB_AS</vt:lpstr>
      <vt:lpstr>K_O2_NOB_sidestream</vt:lpstr>
      <vt:lpstr>K_O2_OHO</vt:lpstr>
      <vt:lpstr>K_O2_OHO_AS</vt:lpstr>
      <vt:lpstr>K_ORP_H2_CH4</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K_PO4_BIO</vt:lpstr>
      <vt:lpstr>K_PO4_BIO_AS</vt:lpstr>
      <vt:lpstr>K_PO4_PAO</vt:lpstr>
      <vt:lpstr>K_PO4_PAO_AS</vt:lpstr>
      <vt:lpstr>K_PP</vt:lpstr>
      <vt:lpstr>K_PP_lim</vt:lpstr>
      <vt:lpstr>K_Prop_param</vt:lpstr>
      <vt:lpstr>K_S1_param</vt:lpstr>
      <vt:lpstr>K_S2_param</vt:lpstr>
      <vt:lpstr>K_SB</vt:lpstr>
      <vt:lpstr>K_SB_ana</vt:lpstr>
      <vt:lpstr>K_SB_ana_AS</vt:lpstr>
      <vt:lpstr>K_SB_ana_DIG</vt:lpstr>
      <vt:lpstr>K_SB_AS</vt:lpstr>
      <vt:lpstr>K_SO2_ALPHA</vt:lpstr>
      <vt:lpstr>K_SO41_param</vt:lpstr>
      <vt:lpstr>K_SO42_param</vt:lpstr>
      <vt:lpstr>K_sp_ACP</vt:lpstr>
      <vt:lpstr>K_sp_ACP_param</vt:lpstr>
      <vt:lpstr>K_sp_BSH</vt:lpstr>
      <vt:lpstr>K_sp_BSH_param</vt:lpstr>
      <vt:lpstr>K_sp_CaCO3</vt:lpstr>
      <vt:lpstr>K_sp_CaCO3_param</vt:lpstr>
      <vt:lpstr>K_sp_FeS_param</vt:lpstr>
      <vt:lpstr>K_sp_HDP_param</vt:lpstr>
      <vt:lpstr>K_sp_MKP_param</vt:lpstr>
      <vt:lpstr>K_sp_STR</vt:lpstr>
      <vt:lpstr>K_sp_STR_param</vt:lpstr>
      <vt:lpstr>K_sp_Vivi</vt:lpstr>
      <vt:lpstr>K_sp_Vivi_param</vt:lpstr>
      <vt:lpstr>K_STC</vt:lpstr>
      <vt:lpstr>K_STR_DISS</vt:lpstr>
      <vt:lpstr>k_transfer_GCO2_bub</vt:lpstr>
      <vt:lpstr>k_transfer_GCO2_sur</vt:lpstr>
      <vt:lpstr>k_transfer_GNH3_bub</vt:lpstr>
      <vt:lpstr>k_transfer_GNH3_sur</vt:lpstr>
      <vt:lpstr>K_Val_param</vt:lpstr>
      <vt:lpstr>K_VFA</vt:lpstr>
      <vt:lpstr>K_VFA_AMETO</vt:lpstr>
      <vt:lpstr>K_VFA_AMETO_AS</vt:lpstr>
      <vt:lpstr>K_VFA_AS</vt:lpstr>
      <vt:lpstr>K_VFA_CASTO</vt:lpstr>
      <vt:lpstr>K_VFA_CASTO_AS</vt:lpstr>
      <vt:lpstr>K_VFA_FERM</vt:lpstr>
      <vt:lpstr>K_VFA_FERM_AS</vt:lpstr>
      <vt:lpstr>K_Vivi_DISS</vt:lpstr>
      <vt:lpstr>K_W</vt:lpstr>
      <vt:lpstr>K_W_param</vt:lpstr>
      <vt:lpstr>K_W_T</vt:lpstr>
      <vt:lpstr>L_oginhORP_HFO</vt:lpstr>
      <vt:lpstr>L_oginhORP_PAO</vt:lpstr>
      <vt:lpstr>L_oginhpHNH3_AMETO</vt:lpstr>
      <vt:lpstr>L_oginhSPO4_KiP_HAO_DISS</vt:lpstr>
      <vt:lpstr>L_oginhSPO4_KiP_HFO_DISS</vt:lpstr>
      <vt:lpstr>L_oginhSVFA_KVFA_FERM</vt:lpstr>
      <vt:lpstr>L_oginhXGLY_XGAO_max</vt:lpstr>
      <vt:lpstr>L_oginhXPHA_XPAO_max</vt:lpstr>
      <vt:lpstr>L_oginhXPP_XPAO_max</vt:lpstr>
      <vt:lpstr>L_ograngeCO2_AMX_AS</vt:lpstr>
      <vt:lpstr>L_ograngeCO2_AMX_pH_AS</vt:lpstr>
      <vt:lpstr>L_ograngeCO2_AOB_AS</vt:lpstr>
      <vt:lpstr>L_ograngeCO2_AOB_pH_AS</vt:lpstr>
      <vt:lpstr>L_ograngeCO2_AOB_pH_sidestream</vt:lpstr>
      <vt:lpstr>L_ograngeCO2_AOB_sidestream</vt:lpstr>
      <vt:lpstr>L_ograngeCO2_NOB_AS</vt:lpstr>
      <vt:lpstr>L_ograngeCO2_NOB_pH_AS</vt:lpstr>
      <vt:lpstr>L_ograngeGLY_GAO_inh</vt:lpstr>
      <vt:lpstr>L_ograngeNH3_AMETO</vt:lpstr>
      <vt:lpstr>L_ograngeP_HAO_DISS</vt:lpstr>
      <vt:lpstr>L_ograngeP_HFO_DISS</vt:lpstr>
      <vt:lpstr>L_ograngePHA_PAO_inh</vt:lpstr>
      <vt:lpstr>L_ograngePO4_PAO_AS_sat</vt:lpstr>
      <vt:lpstr>L_ograngePP_PAO_AS_sat</vt:lpstr>
      <vt:lpstr>L_ograngePP_PAO_inh</vt:lpstr>
      <vt:lpstr>L_ograngeVFA_FERM_AS</vt:lpstr>
      <vt:lpstr>L_ogsatORP_GAO_Half_15</vt:lpstr>
      <vt:lpstr>L_ogsatORP_GAO_Half_25</vt:lpstr>
      <vt:lpstr>L_ogsatORP_GAO_Half_T</vt:lpstr>
      <vt:lpstr>L_ogsatORP_GAO_Slope</vt:lpstr>
      <vt:lpstr>L_ogsatORP_GAO_T</vt:lpstr>
      <vt:lpstr>L_ogsatORP_HFO_Half</vt:lpstr>
      <vt:lpstr>L_ogsatORP_HFO_Slope</vt:lpstr>
      <vt:lpstr>L_ogsatORP_PAO_Half</vt:lpstr>
      <vt:lpstr>L_ogsatORP_PAO_Slope</vt:lpstr>
      <vt:lpstr>L_ogsatpHCO2_AMX</vt:lpstr>
      <vt:lpstr>L_ogsatpHCO2_AOB</vt:lpstr>
      <vt:lpstr>L_ogsatpHCO2_NOB</vt:lpstr>
      <vt:lpstr>L_ogsatSPO4_KPO4_PAO</vt:lpstr>
      <vt:lpstr>L_ogsatSVFA_KVFA_FERM</vt:lpstr>
      <vt:lpstr>L_ogsatXPP_KPO4_PAO</vt:lpstr>
      <vt:lpstr>L_ogslopeCO2_AMX</vt:lpstr>
      <vt:lpstr>L_ogslopeCO2_AMX_pH</vt:lpstr>
      <vt:lpstr>L_ogslopeCO2_AOB</vt:lpstr>
      <vt:lpstr>L_ogslopeCO2_AOB_pH</vt:lpstr>
      <vt:lpstr>L_ogslopeCO2_NOB</vt:lpstr>
      <vt:lpstr>L_ogslopeCO2_NOB_pH</vt:lpstr>
      <vt:lpstr>L_ogslopeGLY_GAO_inh</vt:lpstr>
      <vt:lpstr>L_ogslopeNH3_AMETO_pH</vt:lpstr>
      <vt:lpstr>L_ogslopeNHx_AMETO</vt:lpstr>
      <vt:lpstr>L_ogslopeP_HAO_DISS</vt:lpstr>
      <vt:lpstr>L_ogslopeP_HFO_DISS</vt:lpstr>
      <vt:lpstr>L_ogslopePHA_PAO_inh</vt:lpstr>
      <vt:lpstr>L_ogslopePO4_PAO_sat</vt:lpstr>
      <vt:lpstr>L_ogslopePP_PAO_inh</vt:lpstr>
      <vt:lpstr>L_ogslopePP_PAO_sat</vt:lpstr>
      <vt:lpstr>L_ogslopeVFA_FERM</vt:lpstr>
      <vt:lpstr>M_inhpHHNO2_AMX</vt:lpstr>
      <vt:lpstr>M_inhpHHNO2_AOB</vt:lpstr>
      <vt:lpstr>M_inhpHNH3_NOB</vt:lpstr>
      <vt:lpstr>M_inhSNHx_KiNHx_ASSIM</vt:lpstr>
      <vt:lpstr>M_inhSNO2_KNO2_ASSIM</vt:lpstr>
      <vt:lpstr>M_inhSNO2_KNO2_CASTO</vt:lpstr>
      <vt:lpstr>M_inhSNO2_KNO2_MEOLO</vt:lpstr>
      <vt:lpstr>M_inhSNO2_KNO2_OHO</vt:lpstr>
      <vt:lpstr>M_inhSNO3_KNO3_CASTO</vt:lpstr>
      <vt:lpstr>M_inhSNO3_KNO3_MEOLO</vt:lpstr>
      <vt:lpstr>M_inhSNO3_KNO3_OHO</vt:lpstr>
      <vt:lpstr>M_inhSNOx_KNO3_AMETO</vt:lpstr>
      <vt:lpstr>M_inhSNOx_KNO3_HMETO</vt:lpstr>
      <vt:lpstr>M_inhSNOx_KNOx_AMX</vt:lpstr>
      <vt:lpstr>M_inhSNOx_KNOx_AOB</vt:lpstr>
      <vt:lpstr>M_inhSNOx_KNOx_NOB</vt:lpstr>
      <vt:lpstr>M_inhSO2_KiO2_AMETO</vt:lpstr>
      <vt:lpstr>M_inhSO2_KiO2_AMX</vt:lpstr>
      <vt:lpstr>M_inhSO2_KiO2_HMETO</vt:lpstr>
      <vt:lpstr>M_inhSO2_KiO2_MEOLO</vt:lpstr>
      <vt:lpstr>M_inhSO2_KO2_AOB</vt:lpstr>
      <vt:lpstr>M_inhSO2_KO2_CASTO</vt:lpstr>
      <vt:lpstr>M_inhSO2_KO2_NOB</vt:lpstr>
      <vt:lpstr>M_inhSO2_KO2_OHO</vt:lpstr>
      <vt:lpstr>M_inhSPO4_KiP_HAO_DESORP</vt:lpstr>
      <vt:lpstr>M_inhSPO4_KiP_HFO_DESORP</vt:lpstr>
      <vt:lpstr>M_inhSPO4_KiPO4_lim</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M_RinhXGLY_XGAO_KGLY</vt:lpstr>
      <vt:lpstr>M_RinhXPHA_XPAO_KPHA_cle</vt:lpstr>
      <vt:lpstr>M_RinhXPP_XPAO_KPP</vt:lpstr>
      <vt:lpstr>M_RinhXSTC_XCASTO_KSTC</vt:lpstr>
      <vt:lpstr>M_RsatCB_XBIO_KFLOC</vt:lpstr>
      <vt:lpstr>M_RsatCU_XBIO_KFLOC</vt:lpstr>
      <vt:lpstr>M_RsatXB_XBIO_KHYD</vt:lpstr>
      <vt:lpstr>M_RsatXEana_XBIO_KHYD</vt:lpstr>
      <vt:lpstr>M_RsatXGLY_XGAO_KGLY</vt:lpstr>
      <vt:lpstr>M_RsatXPHA_XPAO_KPHA</vt:lpstr>
      <vt:lpstr>M_RsatXPP_XPAO_KPP</vt:lpstr>
      <vt:lpstr>M_RsatXSTC_XCASTO_KSTC</vt:lpstr>
      <vt:lpstr>M_satSAN_KAN</vt:lpstr>
      <vt:lpstr>M_satSB_KSB</vt:lpstr>
      <vt:lpstr>M_satSB_KSB_ana</vt:lpstr>
      <vt:lpstr>M_satSCa_KCa</vt:lpstr>
      <vt:lpstr>M_satSCa_KCa_PAO</vt:lpstr>
      <vt:lpstr>M_satSCAT_KCAT</vt:lpstr>
      <vt:lpstr>M_satSCO2_KCO2_BIO</vt:lpstr>
      <vt:lpstr>M_satSH2_KH2_HMETO</vt:lpstr>
      <vt:lpstr>M_satSK_KK_PAO</vt:lpstr>
      <vt:lpstr>M_satSMEOL_KMEOL</vt:lpstr>
      <vt:lpstr>M_satSMEOL_KMEOL_OHO</vt:lpstr>
      <vt:lpstr>M_satSMg_KMg</vt:lpstr>
      <vt:lpstr>M_satSMg_KMg_PAO</vt:lpstr>
      <vt:lpstr>M_satSNHx_KNHx_AMX</vt:lpstr>
      <vt:lpstr>M_satSNHx_KNHx_AOB</vt:lpstr>
      <vt:lpstr>M_satSNHx_KNHx_BIO</vt:lpstr>
      <vt:lpstr>M_satSNO2_KNO2_AMX</vt:lpstr>
      <vt:lpstr>M_satSNO2_KNO2_ASSIM</vt:lpstr>
      <vt:lpstr>M_satSNO2_KNO2_CASTO</vt:lpstr>
      <vt:lpstr>M_satSNO2_KNO2_MEOLO</vt:lpstr>
      <vt:lpstr>M_satSNO2_KNO2_NOB</vt:lpstr>
      <vt:lpstr>M_satSNO2_KNO2_OHO</vt:lpstr>
      <vt:lpstr>M_satSNO3_KNO3_ASSIM</vt:lpstr>
      <vt:lpstr>M_satSNO3_KNO3_CASTO</vt:lpstr>
      <vt:lpstr>M_satSNO3_KNO3_MEOLO</vt:lpstr>
      <vt:lpstr>M_satSNO3_KNO3_OHO</vt:lpstr>
      <vt:lpstr>M_satSNOx_KNO3_AMETO</vt:lpstr>
      <vt:lpstr>M_satSNOx_KNO3_HMETO</vt:lpstr>
      <vt:lpstr>M_satSNOx_KNOx_AMX</vt:lpstr>
      <vt:lpstr>M_satSNOx_KNOx_AOB</vt:lpstr>
      <vt:lpstr>M_satSNOx_KNOx_NOB</vt:lpstr>
      <vt:lpstr>M_satSO2_KiO2_AMETO</vt:lpstr>
      <vt:lpstr>M_satSO2_KiO2_AMX</vt:lpstr>
      <vt:lpstr>M_satSO2_KiO2_HMETO</vt:lpstr>
      <vt:lpstr>M_satSO2_KiO2_MEOLO</vt:lpstr>
      <vt:lpstr>M_satSO2_KO2_AOB</vt:lpstr>
      <vt:lpstr>M_satSO2_KO2_CASTO</vt:lpstr>
      <vt:lpstr>M_satSO2_KO2_NOB</vt:lpstr>
      <vt:lpstr>M_satSO2_KO2_OHO</vt:lpstr>
      <vt:lpstr>M_satSPO4_KP_HAO_BIND</vt:lpstr>
      <vt:lpstr>M_satSPO4_KP_HFO_BIND</vt:lpstr>
      <vt:lpstr>M_satSPO4_KPO4_BIO</vt:lpstr>
      <vt:lpstr>M_satSPO4_KPO4_PAO</vt:lpstr>
      <vt:lpstr>M_satSVFA_KVFA</vt:lpstr>
      <vt:lpstr>M_satSVFA_KVFA_CASTO</vt:lpstr>
      <vt:lpstr>M_satXACP_KACP_DISS</vt:lpstr>
      <vt:lpstr>M_satXBSH_KBSH_DISS</vt:lpstr>
      <vt:lpstr>M_satXCaCO3_KCaCO3_DISS</vt:lpstr>
      <vt:lpstr>M_satXPP_KPP_lim</vt:lpstr>
      <vt:lpstr>M_satXSTR_KSTR_DISS</vt:lpstr>
      <vt:lpstr>M_satXVivi_KVivi_DISS</vt:lpstr>
      <vt:lpstr>m_tox_aer</vt:lpstr>
      <vt:lpstr>m_tox_ana</vt:lpstr>
      <vt:lpstr>m_tox_ana_max</vt:lpstr>
      <vt:lpstr>m_tox_anox</vt:lpstr>
      <vt:lpstr>N_2UR</vt:lpstr>
      <vt:lpstr>N_3UR</vt:lpstr>
      <vt:lpstr>N_OUR</vt:lpstr>
      <vt:lpstr>N_URAMX</vt:lpstr>
      <vt:lpstr>o_ffsetORPswitch</vt:lpstr>
      <vt:lpstr>O_RP</vt:lpstr>
      <vt:lpstr>O_RPbase</vt:lpstr>
      <vt:lpstr>O_RPH2_CH4</vt:lpstr>
      <vt:lpstr>O_RPmax_SNOx</vt:lpstr>
      <vt:lpstr>O_RPmax_SO2</vt:lpstr>
      <vt:lpstr>O_RPNOx</vt:lpstr>
      <vt:lpstr>O_RPO2</vt:lpstr>
      <vt:lpstr>O_UR</vt:lpstr>
      <vt:lpstr>p_H</vt:lpstr>
      <vt:lpstr>p_Hhigh</vt:lpstr>
      <vt:lpstr>p_Hhigh_AMETO</vt:lpstr>
      <vt:lpstr>p_Hhigh_HMETO</vt:lpstr>
      <vt:lpstr>p_Hlow</vt:lpstr>
      <vt:lpstr>p_Hlow_AMETO</vt:lpstr>
      <vt:lpstr>p_Hlow_HMETO</vt:lpstr>
      <vt:lpstr>p_i</vt:lpstr>
      <vt:lpstr>p_NTP</vt:lpstr>
      <vt:lpstr>p_owdamp_ALPHA</vt:lpstr>
      <vt:lpstr>P_recipDrivingForceACP</vt:lpstr>
      <vt:lpstr>P_recipDrivingForceBSH</vt:lpstr>
      <vt:lpstr>P_recipDrivingForceCaCO3</vt:lpstr>
      <vt:lpstr>P_recipDrivingForceSTR</vt:lpstr>
      <vt:lpstr>P_recipDrivingForceVivi</vt:lpstr>
      <vt:lpstr>P_RR</vt:lpstr>
      <vt:lpstr>p_STP</vt:lpstr>
      <vt:lpstr>P_UR</vt:lpstr>
      <vt:lpstr>P_URBIO</vt:lpstr>
      <vt:lpstr>P_URBIOP</vt:lpstr>
      <vt:lpstr>P_URCHEM</vt:lpstr>
      <vt:lpstr>q_ACP</vt:lpstr>
      <vt:lpstr>q_ACP_DISS</vt:lpstr>
      <vt:lpstr>q_ACP_PREC</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q_FLOC</vt:lpstr>
      <vt:lpstr>q_FLOC_T</vt:lpstr>
      <vt:lpstr>q_GAO_GLY</vt:lpstr>
      <vt:lpstr>q_GAO_GLY_T</vt:lpstr>
      <vt:lpstr>q_HAO_DISS</vt:lpstr>
      <vt:lpstr>q_HAOH_AGING</vt:lpstr>
      <vt:lpstr>q_HAOH_DESORP</vt:lpstr>
      <vt:lpstr>q_HAOL_AGING</vt:lpstr>
      <vt:lpstr>q_HAOL_DESORP</vt:lpstr>
      <vt:lpstr>q_HFO_DISS</vt:lpstr>
      <vt:lpstr>q_HFO_RED</vt:lpstr>
      <vt:lpstr>q_HFO_RED_T</vt:lpstr>
      <vt:lpstr>q_HFOH_AGING</vt:lpstr>
      <vt:lpstr>q_HFOH_DESORP</vt:lpstr>
      <vt:lpstr>q_HFOL_AGING</vt:lpstr>
      <vt:lpstr>q_HFOL_DESORP</vt:lpstr>
      <vt:lpstr>q_HYD</vt:lpstr>
      <vt:lpstr>q_HYD_T</vt:lpstr>
      <vt:lpstr>q_MEOL</vt:lpstr>
      <vt:lpstr>q_P_HAO_BIND</vt:lpstr>
      <vt:lpstr>q_P_HAO_COPREC</vt:lpstr>
      <vt:lpstr>q_P_HFO_BIND</vt:lpstr>
      <vt:lpstr>q_P_HFO_COPREC</vt:lpstr>
      <vt:lpstr>q_PAO_PHA</vt:lpstr>
      <vt:lpstr>q_PAO_PHA_T</vt:lpstr>
      <vt:lpstr>q_PAO_PP</vt:lpstr>
      <vt:lpstr>q_PAO_PP_T</vt:lpstr>
      <vt:lpstr>q_SPB</vt:lpstr>
      <vt:lpstr>q_SPB_T</vt:lpstr>
      <vt:lpstr>q_STR</vt:lpstr>
      <vt:lpstr>q_STR_DISS</vt:lpstr>
      <vt:lpstr>q_STR_PREC</vt:lpstr>
      <vt:lpstr>q_Vivi</vt:lpstr>
      <vt:lpstr>q_Vivi_DISS</vt:lpstr>
      <vt:lpstr>q_Vivi_PREC</vt:lpstr>
      <vt:lpstr>q_XE</vt:lpstr>
      <vt:lpstr>q_XE_T</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R_air</vt:lpstr>
      <vt:lpstr>r_ateFLOC_CB_polymer</vt:lpstr>
      <vt:lpstr>r_ateFLOC_CU_polymer</vt:lpstr>
      <vt:lpstr>r_atioVSS_TSS</vt:lpstr>
      <vt:lpstr>S_ALK</vt:lpstr>
      <vt:lpstr>S_ALK_calc</vt:lpstr>
      <vt:lpstr>S_ALK_input</vt:lpstr>
      <vt:lpstr>S_ALPHA</vt:lpstr>
      <vt:lpstr>S_ALPHA_sat</vt:lpstr>
      <vt:lpstr>S_AN</vt:lpstr>
      <vt:lpstr>S_AN_ini</vt:lpstr>
      <vt:lpstr>S_AN_ini_corr</vt:lpstr>
      <vt:lpstr>S_B</vt:lpstr>
      <vt:lpstr>S_BOD_5</vt:lpstr>
      <vt:lpstr>S_BOD_ult</vt:lpstr>
      <vt:lpstr>S_Ca</vt:lpstr>
      <vt:lpstr>S_CAT</vt:lpstr>
      <vt:lpstr>S_CAT_ini</vt:lpstr>
      <vt:lpstr>S_CAT_ini_corr</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S_H2</vt:lpstr>
      <vt:lpstr>S_H2_CH4</vt:lpstr>
      <vt:lpstr>S_IC</vt:lpstr>
      <vt:lpstr>S_K</vt:lpstr>
      <vt:lpstr>S_KN</vt:lpstr>
      <vt:lpstr>s_lh_diff_α</vt:lpstr>
      <vt:lpstr>S_lopeIS_corr</vt:lpstr>
      <vt:lpstr>s_lORP_GAO_Half_T</vt:lpstr>
      <vt:lpstr>s_lTSS_α_coarse</vt:lpstr>
      <vt:lpstr>s_lTSS_α_def</vt:lpstr>
      <vt:lpstr>S_MEOL</vt:lpstr>
      <vt:lpstr>S_Mg</vt:lpstr>
      <vt:lpstr>S_N_B</vt:lpstr>
      <vt:lpstr>S_N2</vt:lpstr>
      <vt:lpstr>S_NHx</vt:lpstr>
      <vt:lpstr>S_NO2</vt:lpstr>
      <vt:lpstr>S_NO3</vt:lpstr>
      <vt:lpstr>S_NOx</vt:lpstr>
      <vt:lpstr>S_O2</vt:lpstr>
      <vt:lpstr>S_ORPswitch</vt:lpstr>
      <vt:lpstr>S_P</vt:lpstr>
      <vt:lpstr>S_P_B</vt:lpstr>
      <vt:lpstr>S_PO4</vt:lpstr>
      <vt:lpstr>S_rbCOD</vt:lpstr>
      <vt:lpstr>S_U</vt:lpstr>
      <vt:lpstr>S_U_N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T_st_K</vt:lpstr>
      <vt:lpstr>T_STP_K</vt:lpstr>
      <vt:lpstr>v_1_CB</vt:lpstr>
      <vt:lpstr>v_1_CU</vt:lpstr>
      <vt:lpstr>v_1_GCH4</vt:lpstr>
      <vt:lpstr>v_1_GCH4_atm</vt:lpstr>
      <vt:lpstr>v_1_GCO2</vt:lpstr>
      <vt:lpstr>v_1_GCO2_atm</vt:lpstr>
      <vt:lpstr>v_1_GH2</vt:lpstr>
      <vt:lpstr>v_1_GH2_atm</vt:lpstr>
      <vt:lpstr>v_1_GN2</vt:lpstr>
      <vt:lpstr>v_1_GN2_atm</vt:lpstr>
      <vt:lpstr>v_1_GNH3</vt:lpstr>
      <vt:lpstr>v_1_GNH3_atm</vt:lpstr>
      <vt:lpstr>v_1_GO2</vt:lpstr>
      <vt:lpstr>v_1_GO2_atm</vt:lpstr>
      <vt:lpstr>v_1_H</vt:lpstr>
      <vt:lpstr>v_1_SALPHA</vt:lpstr>
      <vt:lpstr>v_1_SAN</vt:lpstr>
      <vt:lpstr>v_1_SB</vt:lpstr>
      <vt:lpstr>v_1_SCa</vt:lpstr>
      <vt:lpstr>v_1_SCAT</vt:lpstr>
      <vt:lpstr>v_1_SCH4</vt:lpstr>
      <vt:lpstr>v_1_SCO2</vt:lpstr>
      <vt:lpstr>v_1_SFe2</vt:lpstr>
      <vt:lpstr>v_1_SH2</vt:lpstr>
      <vt:lpstr>v_1_SK</vt:lpstr>
      <vt:lpstr>v_1_SMEOL</vt:lpstr>
      <vt:lpstr>v_1_SMg</vt:lpstr>
      <vt:lpstr>v_1_SN_B</vt:lpstr>
      <vt:lpstr>v_1_SN2</vt:lpstr>
      <vt:lpstr>v_1_SNHx</vt:lpstr>
      <vt:lpstr>v_1_SNO2</vt:lpstr>
      <vt:lpstr>v_1_SNO3</vt:lpstr>
      <vt:lpstr>v_1_SO2</vt:lpstr>
      <vt:lpstr>v_1_SORPswitch</vt:lpstr>
      <vt:lpstr>v_1_SP_B</vt:lpstr>
      <vt:lpstr>v_1_SPO4</vt:lpstr>
      <vt:lpstr>v_1_SU</vt:lpstr>
      <vt:lpstr>v_1_SVFA</vt:lpstr>
      <vt:lpstr>v_1_XACP</vt:lpstr>
      <vt:lpstr>v_1_XAMETO</vt:lpstr>
      <vt:lpstr>v_1_XAMX</vt:lpstr>
      <vt:lpstr>v_1_XAOB</vt:lpstr>
      <vt:lpstr>v_1_XB</vt:lpstr>
      <vt:lpstr>v_1_XBSH</vt:lpstr>
      <vt:lpstr>v_1_XCaCO3</vt:lpstr>
      <vt:lpstr>v_1_XCASTO</vt:lpstr>
      <vt:lpstr>v_1_XE</vt:lpstr>
      <vt:lpstr>v_1_XE_ana</vt:lpstr>
      <vt:lpstr>v_1_XGLY</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v_1_XINORG</vt:lpstr>
      <vt:lpstr>v_1_XMEOLO</vt:lpstr>
      <vt:lpstr>v_1_XN_B</vt:lpstr>
      <vt:lpstr>v_1_XN_U</vt:lpstr>
      <vt:lpstr>v_1_XNOB</vt:lpstr>
      <vt:lpstr>v_1_XOHO</vt:lpstr>
      <vt:lpstr>v_1_XP_B</vt:lpstr>
      <vt:lpstr>v_1_XP_U</vt:lpstr>
      <vt:lpstr>v_1_XPHA</vt:lpstr>
      <vt:lpstr>v_1_XPP</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v_10_GN2</vt:lpstr>
      <vt:lpstr>v_10_GN2_atm</vt:lpstr>
      <vt:lpstr>v_10_GNH3</vt:lpstr>
      <vt:lpstr>v_10_GNH3_atm</vt:lpstr>
      <vt:lpstr>v_10_GO2</vt:lpstr>
      <vt:lpstr>v_10_GO2_atm</vt:lpstr>
      <vt:lpstr>v_10_H</vt:lpstr>
      <vt:lpstr>v_10_SALPHA</vt:lpstr>
      <vt:lpstr>v_10_SAN</vt:lpstr>
      <vt:lpstr>v_10_SB</vt:lpstr>
      <vt:lpstr>v_10_SCa</vt:lpstr>
      <vt:lpstr>v_10_SCAT</vt:lpstr>
      <vt:lpstr>v_10_SCH4</vt:lpstr>
      <vt:lpstr>v_10_SCO2</vt:lpstr>
      <vt:lpstr>v_10_SFe2</vt:lpstr>
      <vt:lpstr>v_10_SH2</vt:lpstr>
      <vt:lpstr>v_10_SK</vt:lpstr>
      <vt:lpstr>v_10_SMEOL</vt:lpstr>
      <vt:lpstr>v_10_SMg</vt:lpstr>
      <vt:lpstr>v_10_SN_B</vt:lpstr>
      <vt:lpstr>v_10_SN2</vt:lpstr>
      <vt:lpstr>v_10_SNHx</vt:lpstr>
      <vt:lpstr>v_10_SNO2</vt:lpstr>
      <vt:lpstr>v_10_SNO3</vt:lpstr>
      <vt:lpstr>v_10_SO2</vt:lpstr>
      <vt:lpstr>v_10_SORPswitch</vt:lpstr>
      <vt:lpstr>v_10_SP_B</vt:lpstr>
      <vt:lpstr>v_10_SPO4</vt:lpstr>
      <vt:lpstr>v_10_SU</vt:lpstr>
      <vt:lpstr>v_10_SVFA</vt:lpstr>
      <vt:lpstr>v_10_XACP</vt:lpstr>
      <vt:lpstr>v_10_XAMETO</vt:lpstr>
      <vt:lpstr>v_10_XAMX</vt:lpstr>
      <vt:lpstr>v_10_XAOB</vt:lpstr>
      <vt:lpstr>v_10_XB</vt:lpstr>
      <vt:lpstr>v_10_XBSH</vt:lpstr>
      <vt:lpstr>v_10_XCaCO3</vt:lpstr>
      <vt:lpstr>v_10_XCASTO</vt:lpstr>
      <vt:lpstr>v_10_XE</vt:lpstr>
      <vt:lpstr>v_10_XE_ana</vt:lpstr>
      <vt:lpstr>v_10_XGLY</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v_10_XINORG</vt:lpstr>
      <vt:lpstr>v_10_XMEOLO</vt:lpstr>
      <vt:lpstr>v_10_XN_B</vt:lpstr>
      <vt:lpstr>v_10_XN_U</vt:lpstr>
      <vt:lpstr>v_10_XNOB</vt:lpstr>
      <vt:lpstr>v_10_XOHO</vt:lpstr>
      <vt:lpstr>v_10_XP_B</vt:lpstr>
      <vt:lpstr>v_10_XP_U</vt:lpstr>
      <vt:lpstr>v_10_XPHA</vt:lpstr>
      <vt:lpstr>v_10_XPP</vt:lpstr>
      <vt:lpstr>v_10_XSTR</vt:lpstr>
      <vt:lpstr>v_10_XU</vt:lpstr>
      <vt:lpstr>v_10_XVivi</vt:lpstr>
      <vt:lpstr>v_11_CB</vt:lpstr>
      <vt:lpstr>v_11_CU</vt:lpstr>
      <vt:lpstr>v_11_GCH4</vt:lpstr>
      <vt:lpstr>v_11_GCH4_atm</vt:lpstr>
      <vt:lpstr>v_11_GCO2</vt:lpstr>
      <vt:lpstr>v_11_GCO2_atm</vt:lpstr>
      <vt:lpstr>v_11_GH2</vt:lpstr>
      <vt:lpstr>v_11_GH2_atm</vt:lpstr>
      <vt:lpstr>v_11_GN2</vt:lpstr>
      <vt:lpstr>v_11_GN2_atm</vt:lpstr>
      <vt:lpstr>v_11_GNH3</vt:lpstr>
      <vt:lpstr>v_11_GNH3_atm</vt:lpstr>
      <vt:lpstr>v_11_GO2</vt:lpstr>
      <vt:lpstr>v_11_GO2_atm</vt:lpstr>
      <vt:lpstr>v_11_H</vt:lpstr>
      <vt:lpstr>v_11_SALPHA</vt:lpstr>
      <vt:lpstr>v_11_SAN</vt:lpstr>
      <vt:lpstr>v_11_SB</vt:lpstr>
      <vt:lpstr>v_11_SCa</vt:lpstr>
      <vt:lpstr>v_11_SCAT</vt:lpstr>
      <vt:lpstr>v_11_SCH4</vt:lpstr>
      <vt:lpstr>v_11_SCO2</vt:lpstr>
      <vt:lpstr>v_11_SFe2</vt:lpstr>
      <vt:lpstr>v_11_SH2</vt:lpstr>
      <vt:lpstr>v_11_SK</vt:lpstr>
      <vt:lpstr>v_11_SMEOL</vt:lpstr>
      <vt:lpstr>v_11_SMg</vt:lpstr>
      <vt:lpstr>v_11_SN_B</vt:lpstr>
      <vt:lpstr>v_11_SN2</vt:lpstr>
      <vt:lpstr>v_11_SNHx</vt:lpstr>
      <vt:lpstr>v_11_SNO2</vt:lpstr>
      <vt:lpstr>v_11_SNO3</vt:lpstr>
      <vt:lpstr>v_11_SO2</vt:lpstr>
      <vt:lpstr>v_11_SORPswitch</vt:lpstr>
      <vt:lpstr>v_11_SP_B</vt:lpstr>
      <vt:lpstr>v_11_SPO4</vt:lpstr>
      <vt:lpstr>v_11_SU</vt:lpstr>
      <vt:lpstr>v_11_SVFA</vt:lpstr>
      <vt:lpstr>v_11_XACP</vt:lpstr>
      <vt:lpstr>v_11_XAMETO</vt:lpstr>
      <vt:lpstr>v_11_XAMX</vt:lpstr>
      <vt:lpstr>v_11_XAOB</vt:lpstr>
      <vt:lpstr>v_11_XB</vt:lpstr>
      <vt:lpstr>v_11_XBSH</vt:lpstr>
      <vt:lpstr>v_11_XCaCO3</vt:lpstr>
      <vt:lpstr>v_11_XCASTO</vt:lpstr>
      <vt:lpstr>v_11_XE</vt:lpstr>
      <vt:lpstr>v_11_XE_ana</vt:lpstr>
      <vt:lpstr>v_11_XGLY</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v_11_XINORG</vt:lpstr>
      <vt:lpstr>v_11_XMEOLO</vt:lpstr>
      <vt:lpstr>v_11_XN_B</vt:lpstr>
      <vt:lpstr>v_11_XN_U</vt:lpstr>
      <vt:lpstr>v_11_XNOB</vt:lpstr>
      <vt:lpstr>v_11_XOHO</vt:lpstr>
      <vt:lpstr>v_11_XP_B</vt:lpstr>
      <vt:lpstr>v_11_XP_U</vt:lpstr>
      <vt:lpstr>v_11_XPHA</vt:lpstr>
      <vt:lpstr>v_11_XPP</vt:lpstr>
      <vt:lpstr>v_11_XSTR</vt:lpstr>
      <vt:lpstr>v_11_XU</vt:lpstr>
      <vt:lpstr>v_11_XVivi</vt:lpstr>
      <vt:lpstr>v_12_CB</vt:lpstr>
      <vt:lpstr>v_12_CU</vt:lpstr>
      <vt:lpstr>v_12_GCH4</vt:lpstr>
      <vt:lpstr>v_12_GCH4_atm</vt:lpstr>
      <vt:lpstr>v_12_GCO2</vt:lpstr>
      <vt:lpstr>v_12_GCO2_atm</vt:lpstr>
      <vt:lpstr>v_12_GH2</vt:lpstr>
      <vt:lpstr>v_12_GH2_atm</vt:lpstr>
      <vt:lpstr>v_12_GN2</vt:lpstr>
      <vt:lpstr>v_12_GN2_atm</vt:lpstr>
      <vt:lpstr>v_12_GNH3</vt:lpstr>
      <vt:lpstr>v_12_GNH3_atm</vt:lpstr>
      <vt:lpstr>v_12_GO2</vt:lpstr>
      <vt:lpstr>v_12_GO2_atm</vt:lpstr>
      <vt:lpstr>v_12_H</vt:lpstr>
      <vt:lpstr>v_12_SALPHA</vt:lpstr>
      <vt:lpstr>v_12_SAN</vt:lpstr>
      <vt:lpstr>v_12_SB</vt:lpstr>
      <vt:lpstr>v_12_SCa</vt:lpstr>
      <vt:lpstr>v_12_SCAT</vt:lpstr>
      <vt:lpstr>v_12_SCH4</vt:lpstr>
      <vt:lpstr>v_12_SCO2</vt:lpstr>
      <vt:lpstr>v_12_SFe2</vt:lpstr>
      <vt:lpstr>v_12_SH2</vt:lpstr>
      <vt:lpstr>v_12_SK</vt:lpstr>
      <vt:lpstr>v_12_SMEOL</vt:lpstr>
      <vt:lpstr>v_12_SMg</vt:lpstr>
      <vt:lpstr>v_12_SN_B</vt:lpstr>
      <vt:lpstr>v_12_SN2</vt:lpstr>
      <vt:lpstr>v_12_SNHx</vt:lpstr>
      <vt:lpstr>v_12_SNO2</vt:lpstr>
      <vt:lpstr>v_12_SNO3</vt:lpstr>
      <vt:lpstr>v_12_SO2</vt:lpstr>
      <vt:lpstr>v_12_SORPswitch</vt:lpstr>
      <vt:lpstr>v_12_SP_B</vt:lpstr>
      <vt:lpstr>v_12_SPO4</vt:lpstr>
      <vt:lpstr>v_12_SU</vt:lpstr>
      <vt:lpstr>v_12_SVFA</vt:lpstr>
      <vt:lpstr>v_12_XACP</vt:lpstr>
      <vt:lpstr>v_12_XAMETO</vt:lpstr>
      <vt:lpstr>v_12_XAMX</vt:lpstr>
      <vt:lpstr>v_12_XAOB</vt:lpstr>
      <vt:lpstr>v_12_XB</vt:lpstr>
      <vt:lpstr>v_12_XBSH</vt:lpstr>
      <vt:lpstr>v_12_XCaCO3</vt:lpstr>
      <vt:lpstr>v_12_XCASTO</vt:lpstr>
      <vt:lpstr>v_12_XE</vt:lpstr>
      <vt:lpstr>v_12_XE_ana</vt:lpstr>
      <vt:lpstr>v_12_XGLY</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v_12_XINORG</vt:lpstr>
      <vt:lpstr>v_12_XMEOLO</vt:lpstr>
      <vt:lpstr>v_12_XN_B</vt:lpstr>
      <vt:lpstr>v_12_XN_U</vt:lpstr>
      <vt:lpstr>v_12_XNOB</vt:lpstr>
      <vt:lpstr>v_12_XOHO</vt:lpstr>
      <vt:lpstr>v_12_XP_B</vt:lpstr>
      <vt:lpstr>v_12_XP_U</vt:lpstr>
      <vt:lpstr>v_12_XPHA</vt:lpstr>
      <vt:lpstr>v_12_XPP</vt:lpstr>
      <vt:lpstr>v_12_XSTR</vt:lpstr>
      <vt:lpstr>v_12_XU</vt:lpstr>
      <vt:lpstr>v_12_XVivi</vt:lpstr>
      <vt:lpstr>v_13_CB</vt:lpstr>
      <vt:lpstr>v_13_CU</vt:lpstr>
      <vt:lpstr>v_13_GCH4</vt:lpstr>
      <vt:lpstr>v_13_GCH4_atm</vt:lpstr>
      <vt:lpstr>v_13_GCO2</vt:lpstr>
      <vt:lpstr>v_13_GCO2_atm</vt:lpstr>
      <vt:lpstr>v_13_GH2</vt:lpstr>
      <vt:lpstr>v_13_GH2_atm</vt:lpstr>
      <vt:lpstr>v_13_GN2</vt:lpstr>
      <vt:lpstr>v_13_GN2_atm</vt:lpstr>
      <vt:lpstr>v_13_GNH3</vt:lpstr>
      <vt:lpstr>v_13_GNH3_atm</vt:lpstr>
      <vt:lpstr>v_13_GO2</vt:lpstr>
      <vt:lpstr>v_13_GO2_atm</vt:lpstr>
      <vt:lpstr>v_13_H</vt:lpstr>
      <vt:lpstr>v_13_SALPHA</vt:lpstr>
      <vt:lpstr>v_13_SAN</vt:lpstr>
      <vt:lpstr>v_13_SB</vt:lpstr>
      <vt:lpstr>v_13_SCa</vt:lpstr>
      <vt:lpstr>v_13_SCAT</vt:lpstr>
      <vt:lpstr>v_13_SCH4</vt:lpstr>
      <vt:lpstr>v_13_SCO2</vt:lpstr>
      <vt:lpstr>v_13_SFe2</vt:lpstr>
      <vt:lpstr>v_13_SH2</vt:lpstr>
      <vt:lpstr>v_13_SK</vt:lpstr>
      <vt:lpstr>v_13_SMEOL</vt:lpstr>
      <vt:lpstr>v_13_SMg</vt:lpstr>
      <vt:lpstr>v_13_SN_B</vt:lpstr>
      <vt:lpstr>v_13_SN2</vt:lpstr>
      <vt:lpstr>v_13_SNHx</vt:lpstr>
      <vt:lpstr>v_13_SNO2</vt:lpstr>
      <vt:lpstr>v_13_SNO3</vt:lpstr>
      <vt:lpstr>v_13_SO2</vt:lpstr>
      <vt:lpstr>v_13_SORPswitch</vt:lpstr>
      <vt:lpstr>v_13_SP_B</vt:lpstr>
      <vt:lpstr>v_13_SPO4</vt:lpstr>
      <vt:lpstr>v_13_SU</vt:lpstr>
      <vt:lpstr>v_13_SVFA</vt:lpstr>
      <vt:lpstr>v_13_XACP</vt:lpstr>
      <vt:lpstr>v_13_XAMETO</vt:lpstr>
      <vt:lpstr>v_13_XAMX</vt:lpstr>
      <vt:lpstr>v_13_XAOB</vt:lpstr>
      <vt:lpstr>v_13_XB</vt:lpstr>
      <vt:lpstr>v_13_XBSH</vt:lpstr>
      <vt:lpstr>v_13_XCaCO3</vt:lpstr>
      <vt:lpstr>v_13_XCASTO</vt:lpstr>
      <vt:lpstr>v_13_XE</vt:lpstr>
      <vt:lpstr>v_13_XE_ana</vt:lpstr>
      <vt:lpstr>v_13_XGLY</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v_13_XINORG</vt:lpstr>
      <vt:lpstr>v_13_XMEOLO</vt:lpstr>
      <vt:lpstr>v_13_XN_B</vt:lpstr>
      <vt:lpstr>v_13_XN_U</vt:lpstr>
      <vt:lpstr>v_13_XNOB</vt:lpstr>
      <vt:lpstr>v_13_XOHO</vt:lpstr>
      <vt:lpstr>v_13_XP_B</vt:lpstr>
      <vt:lpstr>v_13_XP_U</vt:lpstr>
      <vt:lpstr>v_13_XPHA</vt:lpstr>
      <vt:lpstr>v_13_XPP</vt:lpstr>
      <vt:lpstr>v_13_XSTR</vt:lpstr>
      <vt:lpstr>v_13_XU</vt:lpstr>
      <vt:lpstr>v_13_XVivi</vt:lpstr>
      <vt:lpstr>v_14_CB</vt:lpstr>
      <vt:lpstr>v_14_CU</vt:lpstr>
      <vt:lpstr>v_14_GCH4</vt:lpstr>
      <vt:lpstr>v_14_GCH4_atm</vt:lpstr>
      <vt:lpstr>v_14_GCO2</vt:lpstr>
      <vt:lpstr>v_14_GCO2_atm</vt:lpstr>
      <vt:lpstr>v_14_GH2</vt:lpstr>
      <vt:lpstr>v_14_GH2_atm</vt:lpstr>
      <vt:lpstr>v_14_GN2</vt:lpstr>
      <vt:lpstr>v_14_GN2_atm</vt:lpstr>
      <vt:lpstr>v_14_GNH3</vt:lpstr>
      <vt:lpstr>v_14_GNH3_atm</vt:lpstr>
      <vt:lpstr>v_14_GO2</vt:lpstr>
      <vt:lpstr>v_14_GO2_atm</vt:lpstr>
      <vt:lpstr>v_14_H</vt:lpstr>
      <vt:lpstr>v_14_SALPHA</vt:lpstr>
      <vt:lpstr>v_14_SAN</vt:lpstr>
      <vt:lpstr>v_14_SB</vt:lpstr>
      <vt:lpstr>v_14_SCa</vt:lpstr>
      <vt:lpstr>v_14_SCAT</vt:lpstr>
      <vt:lpstr>v_14_SCH4</vt:lpstr>
      <vt:lpstr>v_14_SCO2</vt:lpstr>
      <vt:lpstr>v_14_SFe2</vt:lpstr>
      <vt:lpstr>v_14_SH2</vt:lpstr>
      <vt:lpstr>v_14_SK</vt:lpstr>
      <vt:lpstr>v_14_SMEOL</vt:lpstr>
      <vt:lpstr>v_14_SMg</vt:lpstr>
      <vt:lpstr>v_14_SN_B</vt:lpstr>
      <vt:lpstr>v_14_SN2</vt:lpstr>
      <vt:lpstr>v_14_SNHx</vt:lpstr>
      <vt:lpstr>v_14_SNO2</vt:lpstr>
      <vt:lpstr>v_14_SNO3</vt:lpstr>
      <vt:lpstr>v_14_SO2</vt:lpstr>
      <vt:lpstr>v_14_SORPswitch</vt:lpstr>
      <vt:lpstr>v_14_SP_B</vt:lpstr>
      <vt:lpstr>v_14_SPO4</vt:lpstr>
      <vt:lpstr>v_14_SU</vt:lpstr>
      <vt:lpstr>v_14_SVFA</vt:lpstr>
      <vt:lpstr>v_14_XACP</vt:lpstr>
      <vt:lpstr>v_14_XAMETO</vt:lpstr>
      <vt:lpstr>v_14_XAMX</vt:lpstr>
      <vt:lpstr>v_14_XAOB</vt:lpstr>
      <vt:lpstr>v_14_XB</vt:lpstr>
      <vt:lpstr>v_14_XBSH</vt:lpstr>
      <vt:lpstr>v_14_XCaCO3</vt:lpstr>
      <vt:lpstr>v_14_XCASTO</vt:lpstr>
      <vt:lpstr>v_14_XE</vt:lpstr>
      <vt:lpstr>v_14_XE_ana</vt:lpstr>
      <vt:lpstr>v_14_XGLY</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v_14_XINORG</vt:lpstr>
      <vt:lpstr>v_14_XMEOLO</vt:lpstr>
      <vt:lpstr>v_14_XN_B</vt:lpstr>
      <vt:lpstr>v_14_XN_U</vt:lpstr>
      <vt:lpstr>v_14_XNOB</vt:lpstr>
      <vt:lpstr>v_14_XOHO</vt:lpstr>
      <vt:lpstr>v_14_XP_B</vt:lpstr>
      <vt:lpstr>v_14_XP_U</vt:lpstr>
      <vt:lpstr>v_14_XPHA</vt:lpstr>
      <vt:lpstr>v_14_XPP</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v_15_GN2</vt:lpstr>
      <vt:lpstr>v_15_GN2_atm</vt:lpstr>
      <vt:lpstr>v_15_GNH3</vt:lpstr>
      <vt:lpstr>v_15_GNH3_atm</vt:lpstr>
      <vt:lpstr>v_15_GO2</vt:lpstr>
      <vt:lpstr>v_15_GO2_atm</vt:lpstr>
      <vt:lpstr>v_15_H</vt:lpstr>
      <vt:lpstr>v_15_SALPHA</vt:lpstr>
      <vt:lpstr>v_15_SAN</vt:lpstr>
      <vt:lpstr>v_15_SB</vt:lpstr>
      <vt:lpstr>v_15_SCa</vt:lpstr>
      <vt:lpstr>v_15_SCAT</vt:lpstr>
      <vt:lpstr>v_15_SCH4</vt:lpstr>
      <vt:lpstr>v_15_SCO2</vt:lpstr>
      <vt:lpstr>v_15_SFe2</vt:lpstr>
      <vt:lpstr>v_15_SH2</vt:lpstr>
      <vt:lpstr>v_15_SK</vt:lpstr>
      <vt:lpstr>v_15_SMEOL</vt:lpstr>
      <vt:lpstr>v_15_SMg</vt:lpstr>
      <vt:lpstr>v_15_SN_B</vt:lpstr>
      <vt:lpstr>v_15_SN2</vt:lpstr>
      <vt:lpstr>v_15_SNHx</vt:lpstr>
      <vt:lpstr>v_15_SNO2</vt:lpstr>
      <vt:lpstr>v_15_SNO3</vt:lpstr>
      <vt:lpstr>v_15_SO2</vt:lpstr>
      <vt:lpstr>v_15_SORPswitch</vt:lpstr>
      <vt:lpstr>v_15_SP_B</vt:lpstr>
      <vt:lpstr>v_15_SPO4</vt:lpstr>
      <vt:lpstr>v_15_SU</vt:lpstr>
      <vt:lpstr>v_15_SVFA</vt:lpstr>
      <vt:lpstr>v_15_XACP</vt:lpstr>
      <vt:lpstr>v_15_XAMETO</vt:lpstr>
      <vt:lpstr>v_15_XAMX</vt:lpstr>
      <vt:lpstr>v_15_XAOB</vt:lpstr>
      <vt:lpstr>v_15_XB</vt:lpstr>
      <vt:lpstr>v_15_XBSH</vt:lpstr>
      <vt:lpstr>v_15_XCaCO3</vt:lpstr>
      <vt:lpstr>v_15_XCASTO</vt:lpstr>
      <vt:lpstr>v_15_XE</vt:lpstr>
      <vt:lpstr>v_15_XE_ana</vt:lpstr>
      <vt:lpstr>v_15_XGLY</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v_15_XINORG</vt:lpstr>
      <vt:lpstr>v_15_XMEOLO</vt:lpstr>
      <vt:lpstr>v_15_XN_B</vt:lpstr>
      <vt:lpstr>v_15_XN_U</vt:lpstr>
      <vt:lpstr>v_15_XNOB</vt:lpstr>
      <vt:lpstr>v_15_XOHO</vt:lpstr>
      <vt:lpstr>v_15_XP_B</vt:lpstr>
      <vt:lpstr>v_15_XP_U</vt:lpstr>
      <vt:lpstr>v_15_XPHA</vt:lpstr>
      <vt:lpstr>v_15_XPP</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v_16_GN2</vt:lpstr>
      <vt:lpstr>v_16_GN2_atm</vt:lpstr>
      <vt:lpstr>v_16_GNH3</vt:lpstr>
      <vt:lpstr>v_16_GNH3_atm</vt:lpstr>
      <vt:lpstr>v_16_GO2</vt:lpstr>
      <vt:lpstr>v_16_GO2_atm</vt:lpstr>
      <vt:lpstr>v_16_H</vt:lpstr>
      <vt:lpstr>v_16_SALPHA</vt:lpstr>
      <vt:lpstr>v_16_SAN</vt:lpstr>
      <vt:lpstr>v_16_SB</vt:lpstr>
      <vt:lpstr>v_16_SCa</vt:lpstr>
      <vt:lpstr>v_16_SCAT</vt:lpstr>
      <vt:lpstr>v_16_SCH4</vt:lpstr>
      <vt:lpstr>v_16_SCO2</vt:lpstr>
      <vt:lpstr>v_16_SFe2</vt:lpstr>
      <vt:lpstr>v_16_SH2</vt:lpstr>
      <vt:lpstr>v_16_SK</vt:lpstr>
      <vt:lpstr>v_16_SMEOL</vt:lpstr>
      <vt:lpstr>v_16_SMg</vt:lpstr>
      <vt:lpstr>v_16_SN_B</vt:lpstr>
      <vt:lpstr>v_16_SN2</vt:lpstr>
      <vt:lpstr>v_16_SNHx</vt:lpstr>
      <vt:lpstr>v_16_SNO2</vt:lpstr>
      <vt:lpstr>v_16_SNO3</vt:lpstr>
      <vt:lpstr>v_16_SO2</vt:lpstr>
      <vt:lpstr>v_16_SORPswitch</vt:lpstr>
      <vt:lpstr>v_16_SP_B</vt:lpstr>
      <vt:lpstr>v_16_SPO4</vt:lpstr>
      <vt:lpstr>v_16_SU</vt:lpstr>
      <vt:lpstr>v_16_SVFA</vt:lpstr>
      <vt:lpstr>v_16_XACP</vt:lpstr>
      <vt:lpstr>v_16_XAMETO</vt:lpstr>
      <vt:lpstr>v_16_XAMX</vt:lpstr>
      <vt:lpstr>v_16_XAOB</vt:lpstr>
      <vt:lpstr>v_16_XB</vt:lpstr>
      <vt:lpstr>v_16_XBSH</vt:lpstr>
      <vt:lpstr>v_16_XCaCO3</vt:lpstr>
      <vt:lpstr>v_16_XCASTO</vt:lpstr>
      <vt:lpstr>v_16_XE</vt:lpstr>
      <vt:lpstr>v_16_XE_ana</vt:lpstr>
      <vt:lpstr>v_16_XGLY</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v_16_XINORG</vt:lpstr>
      <vt:lpstr>v_16_XMEOLO</vt:lpstr>
      <vt:lpstr>v_16_XN_B</vt:lpstr>
      <vt:lpstr>v_16_XN_U</vt:lpstr>
      <vt:lpstr>v_16_XNOB</vt:lpstr>
      <vt:lpstr>v_16_XOHO</vt:lpstr>
      <vt:lpstr>v_16_XP_B</vt:lpstr>
      <vt:lpstr>v_16_XP_U</vt:lpstr>
      <vt:lpstr>v_16_XPHA</vt:lpstr>
      <vt:lpstr>v_16_XPP</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v_17_GN2</vt:lpstr>
      <vt:lpstr>v_17_GN2_atm</vt:lpstr>
      <vt:lpstr>v_17_GNH3</vt:lpstr>
      <vt:lpstr>v_17_GNH3_atm</vt:lpstr>
      <vt:lpstr>v_17_GO2</vt:lpstr>
      <vt:lpstr>v_17_GO2_atm</vt:lpstr>
      <vt:lpstr>v_17_H</vt:lpstr>
      <vt:lpstr>v_17_SALPHA</vt:lpstr>
      <vt:lpstr>v_17_SAN</vt:lpstr>
      <vt:lpstr>v_17_SB</vt:lpstr>
      <vt:lpstr>v_17_SCa</vt:lpstr>
      <vt:lpstr>v_17_SCAT</vt:lpstr>
      <vt:lpstr>v_17_SCH4</vt:lpstr>
      <vt:lpstr>v_17_SCO2</vt:lpstr>
      <vt:lpstr>v_17_SFe2</vt:lpstr>
      <vt:lpstr>v_17_SH2</vt:lpstr>
      <vt:lpstr>v_17_SK</vt:lpstr>
      <vt:lpstr>v_17_SMEOL</vt:lpstr>
      <vt:lpstr>v_17_SMg</vt:lpstr>
      <vt:lpstr>v_17_SN_B</vt:lpstr>
      <vt:lpstr>v_17_SN2</vt:lpstr>
      <vt:lpstr>v_17_SNHx</vt:lpstr>
      <vt:lpstr>v_17_SNO2</vt:lpstr>
      <vt:lpstr>v_17_SNO3</vt:lpstr>
      <vt:lpstr>v_17_SO2</vt:lpstr>
      <vt:lpstr>v_17_SORPswitch</vt:lpstr>
      <vt:lpstr>v_17_SP_B</vt:lpstr>
      <vt:lpstr>v_17_SPO4</vt:lpstr>
      <vt:lpstr>v_17_SU</vt:lpstr>
      <vt:lpstr>v_17_SVFA</vt:lpstr>
      <vt:lpstr>v_17_XACP</vt:lpstr>
      <vt:lpstr>v_17_XAMETO</vt:lpstr>
      <vt:lpstr>v_17_XAMX</vt:lpstr>
      <vt:lpstr>v_17_XAOB</vt:lpstr>
      <vt:lpstr>v_17_XB</vt:lpstr>
      <vt:lpstr>v_17_XBSH</vt:lpstr>
      <vt:lpstr>v_17_XCaCO3</vt:lpstr>
      <vt:lpstr>v_17_XCASTO</vt:lpstr>
      <vt:lpstr>v_17_XE</vt:lpstr>
      <vt:lpstr>v_17_XE_ana</vt:lpstr>
      <vt:lpstr>v_17_XGLY</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v_17_XINORG</vt:lpstr>
      <vt:lpstr>v_17_XMEOLO</vt:lpstr>
      <vt:lpstr>v_17_XN_B</vt:lpstr>
      <vt:lpstr>v_17_XN_U</vt:lpstr>
      <vt:lpstr>v_17_XNOB</vt:lpstr>
      <vt:lpstr>v_17_XOHO</vt:lpstr>
      <vt:lpstr>v_17_XP_B</vt:lpstr>
      <vt:lpstr>v_17_XP_U</vt:lpstr>
      <vt:lpstr>v_17_XPHA</vt:lpstr>
      <vt:lpstr>v_17_XPP</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v_18_GN2</vt:lpstr>
      <vt:lpstr>v_18_GN2_atm</vt:lpstr>
      <vt:lpstr>v_18_GNH3</vt:lpstr>
      <vt:lpstr>v_18_GNH3_atm</vt:lpstr>
      <vt:lpstr>v_18_GO2</vt:lpstr>
      <vt:lpstr>v_18_GO2_atm</vt:lpstr>
      <vt:lpstr>v_18_H</vt:lpstr>
      <vt:lpstr>v_18_SALPHA</vt:lpstr>
      <vt:lpstr>v_18_SAN</vt:lpstr>
      <vt:lpstr>v_18_SB</vt:lpstr>
      <vt:lpstr>v_18_SCa</vt:lpstr>
      <vt:lpstr>v_18_SCAT</vt:lpstr>
      <vt:lpstr>v_18_SCH4</vt:lpstr>
      <vt:lpstr>v_18_SCO2</vt:lpstr>
      <vt:lpstr>v_18_SFe2</vt:lpstr>
      <vt:lpstr>v_18_SH2</vt:lpstr>
      <vt:lpstr>v_18_SK</vt:lpstr>
      <vt:lpstr>v_18_SMEOL</vt:lpstr>
      <vt:lpstr>v_18_SMg</vt:lpstr>
      <vt:lpstr>v_18_SN_B</vt:lpstr>
      <vt:lpstr>v_18_SN2</vt:lpstr>
      <vt:lpstr>v_18_SNHx</vt:lpstr>
      <vt:lpstr>v_18_SNO2</vt:lpstr>
      <vt:lpstr>v_18_SNO3</vt:lpstr>
      <vt:lpstr>v_18_SO2</vt:lpstr>
      <vt:lpstr>v_18_SORPswitch</vt:lpstr>
      <vt:lpstr>v_18_SP_B</vt:lpstr>
      <vt:lpstr>v_18_SPO4</vt:lpstr>
      <vt:lpstr>v_18_SU</vt:lpstr>
      <vt:lpstr>v_18_SVFA</vt:lpstr>
      <vt:lpstr>v_18_XACP</vt:lpstr>
      <vt:lpstr>v_18_XAMETO</vt:lpstr>
      <vt:lpstr>v_18_XAMX</vt:lpstr>
      <vt:lpstr>v_18_XAOB</vt:lpstr>
      <vt:lpstr>v_18_XB</vt:lpstr>
      <vt:lpstr>v_18_XBSH</vt:lpstr>
      <vt:lpstr>v_18_XCaCO3</vt:lpstr>
      <vt:lpstr>v_18_XCASTO</vt:lpstr>
      <vt:lpstr>v_18_XE</vt:lpstr>
      <vt:lpstr>v_18_XE_ana</vt:lpstr>
      <vt:lpstr>v_18_XGLY</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v_18_XINORG</vt:lpstr>
      <vt:lpstr>v_18_XMEOLO</vt:lpstr>
      <vt:lpstr>v_18_XN_B</vt:lpstr>
      <vt:lpstr>v_18_XN_U</vt:lpstr>
      <vt:lpstr>v_18_XNOB</vt:lpstr>
      <vt:lpstr>v_18_XOHO</vt:lpstr>
      <vt:lpstr>v_18_XP_B</vt:lpstr>
      <vt:lpstr>v_18_XP_U</vt:lpstr>
      <vt:lpstr>v_18_XPHA</vt:lpstr>
      <vt:lpstr>v_18_XPP</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v_19_GN2</vt:lpstr>
      <vt:lpstr>v_19_GN2_atm</vt:lpstr>
      <vt:lpstr>v_19_GNH3</vt:lpstr>
      <vt:lpstr>v_19_GNH3_atm</vt:lpstr>
      <vt:lpstr>v_19_GO2</vt:lpstr>
      <vt:lpstr>v_19_GO2_atm</vt:lpstr>
      <vt:lpstr>v_19_H</vt:lpstr>
      <vt:lpstr>v_19_SALPHA</vt:lpstr>
      <vt:lpstr>v_19_SAN</vt:lpstr>
      <vt:lpstr>v_19_SB</vt:lpstr>
      <vt:lpstr>v_19_SCa</vt:lpstr>
      <vt:lpstr>v_19_SCAT</vt:lpstr>
      <vt:lpstr>v_19_SCH4</vt:lpstr>
      <vt:lpstr>v_19_SCO2</vt:lpstr>
      <vt:lpstr>v_19_SFe2</vt:lpstr>
      <vt:lpstr>v_19_SH2</vt:lpstr>
      <vt:lpstr>v_19_SK</vt:lpstr>
      <vt:lpstr>v_19_SMEOL</vt:lpstr>
      <vt:lpstr>v_19_SMg</vt:lpstr>
      <vt:lpstr>v_19_SN_B</vt:lpstr>
      <vt:lpstr>v_19_SN2</vt:lpstr>
      <vt:lpstr>v_19_SNHx</vt:lpstr>
      <vt:lpstr>v_19_SNO2</vt:lpstr>
      <vt:lpstr>v_19_SNO3</vt:lpstr>
      <vt:lpstr>v_19_SO2</vt:lpstr>
      <vt:lpstr>v_19_SORPswitch</vt:lpstr>
      <vt:lpstr>v_19_SP_B</vt:lpstr>
      <vt:lpstr>v_19_SPO4</vt:lpstr>
      <vt:lpstr>v_19_SU</vt:lpstr>
      <vt:lpstr>v_19_SVFA</vt:lpstr>
      <vt:lpstr>v_19_XACP</vt:lpstr>
      <vt:lpstr>v_19_XAMETO</vt:lpstr>
      <vt:lpstr>v_19_XAMX</vt:lpstr>
      <vt:lpstr>v_19_XAOB</vt:lpstr>
      <vt:lpstr>v_19_XB</vt:lpstr>
      <vt:lpstr>v_19_XBSH</vt:lpstr>
      <vt:lpstr>v_19_XCaCO3</vt:lpstr>
      <vt:lpstr>v_19_XCASTO</vt:lpstr>
      <vt:lpstr>v_19_XE</vt:lpstr>
      <vt:lpstr>v_19_XE_ana</vt:lpstr>
      <vt:lpstr>v_19_XGLY</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v_19_XINORG</vt:lpstr>
      <vt:lpstr>v_19_XMEOLO</vt:lpstr>
      <vt:lpstr>v_19_XN_B</vt:lpstr>
      <vt:lpstr>v_19_XN_U</vt:lpstr>
      <vt:lpstr>v_19_XNOB</vt:lpstr>
      <vt:lpstr>v_19_XOHO</vt:lpstr>
      <vt:lpstr>v_19_XP_B</vt:lpstr>
      <vt:lpstr>v_19_XP_U</vt:lpstr>
      <vt:lpstr>v_19_XPHA</vt:lpstr>
      <vt:lpstr>v_19_XPP</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v_2_GN2</vt:lpstr>
      <vt:lpstr>v_2_GN2_atm</vt:lpstr>
      <vt:lpstr>v_2_GNH3</vt:lpstr>
      <vt:lpstr>v_2_GNH3_atm</vt:lpstr>
      <vt:lpstr>v_2_GO2</vt:lpstr>
      <vt:lpstr>v_2_GO2_atm</vt:lpstr>
      <vt:lpstr>v_2_H</vt:lpstr>
      <vt:lpstr>v_2_SALPHA</vt:lpstr>
      <vt:lpstr>v_2_SAN</vt:lpstr>
      <vt:lpstr>v_2_SB</vt:lpstr>
      <vt:lpstr>v_2_SCa</vt:lpstr>
      <vt:lpstr>v_2_SCAT</vt:lpstr>
      <vt:lpstr>v_2_SCH4</vt:lpstr>
      <vt:lpstr>v_2_SCO2</vt:lpstr>
      <vt:lpstr>v_2_SFe2</vt:lpstr>
      <vt:lpstr>v_2_SH2</vt:lpstr>
      <vt:lpstr>v_2_SK</vt:lpstr>
      <vt:lpstr>v_2_SMEOL</vt:lpstr>
      <vt:lpstr>v_2_SMg</vt:lpstr>
      <vt:lpstr>v_2_SN_B</vt:lpstr>
      <vt:lpstr>v_2_SN2</vt:lpstr>
      <vt:lpstr>v_2_SNHx</vt:lpstr>
      <vt:lpstr>v_2_SNO2</vt:lpstr>
      <vt:lpstr>v_2_SNO3</vt:lpstr>
      <vt:lpstr>v_2_SO2</vt:lpstr>
      <vt:lpstr>v_2_SORPswitch</vt:lpstr>
      <vt:lpstr>v_2_SP_B</vt:lpstr>
      <vt:lpstr>v_2_SPO4</vt:lpstr>
      <vt:lpstr>v_2_SU</vt:lpstr>
      <vt:lpstr>v_2_SVFA</vt:lpstr>
      <vt:lpstr>v_2_XACP</vt:lpstr>
      <vt:lpstr>v_2_XAMETO</vt:lpstr>
      <vt:lpstr>v_2_XAMX</vt:lpstr>
      <vt:lpstr>v_2_XAOB</vt:lpstr>
      <vt:lpstr>v_2_XB</vt:lpstr>
      <vt:lpstr>v_2_XBSH</vt:lpstr>
      <vt:lpstr>v_2_XCaCO3</vt:lpstr>
      <vt:lpstr>v_2_XCASTO</vt:lpstr>
      <vt:lpstr>v_2_XE</vt:lpstr>
      <vt:lpstr>v_2_XE_ana</vt:lpstr>
      <vt:lpstr>v_2_XGLY</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v_2_XINORG</vt:lpstr>
      <vt:lpstr>v_2_XMEOLO</vt:lpstr>
      <vt:lpstr>v_2_XN_B</vt:lpstr>
      <vt:lpstr>v_2_XN_U</vt:lpstr>
      <vt:lpstr>v_2_XNOB</vt:lpstr>
      <vt:lpstr>v_2_XOHO</vt:lpstr>
      <vt:lpstr>v_2_XP_B</vt:lpstr>
      <vt:lpstr>v_2_XP_U</vt:lpstr>
      <vt:lpstr>v_2_XPHA</vt:lpstr>
      <vt:lpstr>v_2_XPP</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v_20_GN2</vt:lpstr>
      <vt:lpstr>v_20_GN2_atm</vt:lpstr>
      <vt:lpstr>v_20_GNH3</vt:lpstr>
      <vt:lpstr>v_20_GNH3_atm</vt:lpstr>
      <vt:lpstr>v_20_GO2</vt:lpstr>
      <vt:lpstr>v_20_GO2_atm</vt:lpstr>
      <vt:lpstr>v_20_H</vt:lpstr>
      <vt:lpstr>v_20_SALPHA</vt:lpstr>
      <vt:lpstr>v_20_SAN</vt:lpstr>
      <vt:lpstr>v_20_SB</vt:lpstr>
      <vt:lpstr>v_20_SCa</vt:lpstr>
      <vt:lpstr>v_20_SCAT</vt:lpstr>
      <vt:lpstr>v_20_SCH4</vt:lpstr>
      <vt:lpstr>v_20_SCO2</vt:lpstr>
      <vt:lpstr>v_20_SFe2</vt:lpstr>
      <vt:lpstr>v_20_SH2</vt:lpstr>
      <vt:lpstr>v_20_SK</vt:lpstr>
      <vt:lpstr>v_20_SMEOL</vt:lpstr>
      <vt:lpstr>v_20_SMg</vt:lpstr>
      <vt:lpstr>v_20_SN_B</vt:lpstr>
      <vt:lpstr>v_20_SN2</vt:lpstr>
      <vt:lpstr>v_20_SNHx</vt:lpstr>
      <vt:lpstr>v_20_SNO2</vt:lpstr>
      <vt:lpstr>v_20_SNO3</vt:lpstr>
      <vt:lpstr>v_20_SO2</vt:lpstr>
      <vt:lpstr>v_20_SORPswitch</vt:lpstr>
      <vt:lpstr>v_20_SP_B</vt:lpstr>
      <vt:lpstr>v_20_SPO4</vt:lpstr>
      <vt:lpstr>v_20_SU</vt:lpstr>
      <vt:lpstr>v_20_SVFA</vt:lpstr>
      <vt:lpstr>v_20_XACP</vt:lpstr>
      <vt:lpstr>v_20_XAMETO</vt:lpstr>
      <vt:lpstr>v_20_XAMX</vt:lpstr>
      <vt:lpstr>v_20_XAOB</vt:lpstr>
      <vt:lpstr>v_20_XB</vt:lpstr>
      <vt:lpstr>v_20_XBSH</vt:lpstr>
      <vt:lpstr>v_20_XCaCO3</vt:lpstr>
      <vt:lpstr>v_20_XCASTO</vt:lpstr>
      <vt:lpstr>v_20_XE</vt:lpstr>
      <vt:lpstr>v_20_XE_ana</vt:lpstr>
      <vt:lpstr>v_20_XGLY</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v_20_XINORG</vt:lpstr>
      <vt:lpstr>v_20_XMEOLO</vt:lpstr>
      <vt:lpstr>v_20_XN_B</vt:lpstr>
      <vt:lpstr>v_20_XN_U</vt:lpstr>
      <vt:lpstr>v_20_XNOB</vt:lpstr>
      <vt:lpstr>v_20_XOHO</vt:lpstr>
      <vt:lpstr>v_20_XP_B</vt:lpstr>
      <vt:lpstr>v_20_XP_U</vt:lpstr>
      <vt:lpstr>v_20_XPHA</vt:lpstr>
      <vt:lpstr>v_20_XPP</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v_21_GN2</vt:lpstr>
      <vt:lpstr>v_21_GN2_atm</vt:lpstr>
      <vt:lpstr>v_21_GNH3</vt:lpstr>
      <vt:lpstr>v_21_GNH3_atm</vt:lpstr>
      <vt:lpstr>v_21_GO2</vt:lpstr>
      <vt:lpstr>v_21_GO2_atm</vt:lpstr>
      <vt:lpstr>v_21_H</vt:lpstr>
      <vt:lpstr>v_21_SALPHA</vt:lpstr>
      <vt:lpstr>v_21_SAN</vt:lpstr>
      <vt:lpstr>v_21_SB</vt:lpstr>
      <vt:lpstr>v_21_SCa</vt:lpstr>
      <vt:lpstr>v_21_SCAT</vt:lpstr>
      <vt:lpstr>v_21_SCH4</vt:lpstr>
      <vt:lpstr>v_21_SCO2</vt:lpstr>
      <vt:lpstr>v_21_SFe2</vt:lpstr>
      <vt:lpstr>v_21_SH2</vt:lpstr>
      <vt:lpstr>v_21_SK</vt:lpstr>
      <vt:lpstr>v_21_SMEOL</vt:lpstr>
      <vt:lpstr>v_21_SMg</vt:lpstr>
      <vt:lpstr>v_21_SN_B</vt:lpstr>
      <vt:lpstr>v_21_SN2</vt:lpstr>
      <vt:lpstr>v_21_SNHx</vt:lpstr>
      <vt:lpstr>v_21_SNO2</vt:lpstr>
      <vt:lpstr>v_21_SNO3</vt:lpstr>
      <vt:lpstr>v_21_SO2</vt:lpstr>
      <vt:lpstr>v_21_SORPswitch</vt:lpstr>
      <vt:lpstr>v_21_SP_B</vt:lpstr>
      <vt:lpstr>v_21_SPO4</vt:lpstr>
      <vt:lpstr>v_21_SU</vt:lpstr>
      <vt:lpstr>v_21_SVFA</vt:lpstr>
      <vt:lpstr>v_21_XACP</vt:lpstr>
      <vt:lpstr>v_21_XAMETO</vt:lpstr>
      <vt:lpstr>v_21_XAMX</vt:lpstr>
      <vt:lpstr>v_21_XAOB</vt:lpstr>
      <vt:lpstr>v_21_XB</vt:lpstr>
      <vt:lpstr>v_21_XBSH</vt:lpstr>
      <vt:lpstr>v_21_XCaCO3</vt:lpstr>
      <vt:lpstr>v_21_XCASTO</vt:lpstr>
      <vt:lpstr>v_21_XE</vt:lpstr>
      <vt:lpstr>v_21_XE_ana</vt:lpstr>
      <vt:lpstr>v_21_XGLY</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v_21_XINORG</vt:lpstr>
      <vt:lpstr>v_21_XMEOLO</vt:lpstr>
      <vt:lpstr>v_21_XN_B</vt:lpstr>
      <vt:lpstr>v_21_XN_U</vt:lpstr>
      <vt:lpstr>v_21_XNOB</vt:lpstr>
      <vt:lpstr>v_21_XOHO</vt:lpstr>
      <vt:lpstr>v_21_XP_B</vt:lpstr>
      <vt:lpstr>v_21_XP_U</vt:lpstr>
      <vt:lpstr>v_21_XPHA</vt:lpstr>
      <vt:lpstr>v_21_XPP</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v_22_GN2</vt:lpstr>
      <vt:lpstr>v_22_GN2_atm</vt:lpstr>
      <vt:lpstr>v_22_GNH3</vt:lpstr>
      <vt:lpstr>v_22_GNH3_atm</vt:lpstr>
      <vt:lpstr>v_22_GO2</vt:lpstr>
      <vt:lpstr>v_22_GO2_atm</vt:lpstr>
      <vt:lpstr>v_22_H</vt:lpstr>
      <vt:lpstr>v_22_SALPHA</vt:lpstr>
      <vt:lpstr>v_22_SAN</vt:lpstr>
      <vt:lpstr>v_22_SB</vt:lpstr>
      <vt:lpstr>v_22_SCa</vt:lpstr>
      <vt:lpstr>v_22_SCAT</vt:lpstr>
      <vt:lpstr>v_22_SCH4</vt:lpstr>
      <vt:lpstr>v_22_SCO2</vt:lpstr>
      <vt:lpstr>v_22_SFe2</vt:lpstr>
      <vt:lpstr>v_22_SH2</vt:lpstr>
      <vt:lpstr>v_22_SK</vt:lpstr>
      <vt:lpstr>v_22_SMEOL</vt:lpstr>
      <vt:lpstr>v_22_SMg</vt:lpstr>
      <vt:lpstr>v_22_SN_B</vt:lpstr>
      <vt:lpstr>v_22_SN2</vt:lpstr>
      <vt:lpstr>v_22_SNHx</vt:lpstr>
      <vt:lpstr>v_22_SNO2</vt:lpstr>
      <vt:lpstr>v_22_SNO3</vt:lpstr>
      <vt:lpstr>v_22_SO2</vt:lpstr>
      <vt:lpstr>v_22_SORPswitch</vt:lpstr>
      <vt:lpstr>v_22_SP_B</vt:lpstr>
      <vt:lpstr>v_22_SPO4</vt:lpstr>
      <vt:lpstr>v_22_SU</vt:lpstr>
      <vt:lpstr>v_22_SVFA</vt:lpstr>
      <vt:lpstr>v_22_XACP</vt:lpstr>
      <vt:lpstr>v_22_XAMETO</vt:lpstr>
      <vt:lpstr>v_22_XAMX</vt:lpstr>
      <vt:lpstr>v_22_XAOB</vt:lpstr>
      <vt:lpstr>v_22_XB</vt:lpstr>
      <vt:lpstr>v_22_XBSH</vt:lpstr>
      <vt:lpstr>v_22_XCaCO3</vt:lpstr>
      <vt:lpstr>v_22_XCASTO</vt:lpstr>
      <vt:lpstr>v_22_XE</vt:lpstr>
      <vt:lpstr>v_22_XE_ana</vt:lpstr>
      <vt:lpstr>v_22_XGLY</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v_22_XINORG</vt:lpstr>
      <vt:lpstr>v_22_XMEOLO</vt:lpstr>
      <vt:lpstr>v_22_XN_B</vt:lpstr>
      <vt:lpstr>v_22_XN_U</vt:lpstr>
      <vt:lpstr>v_22_XNOB</vt:lpstr>
      <vt:lpstr>v_22_XOHO</vt:lpstr>
      <vt:lpstr>v_22_XP_B</vt:lpstr>
      <vt:lpstr>v_22_XP_U</vt:lpstr>
      <vt:lpstr>v_22_XPHA</vt:lpstr>
      <vt:lpstr>v_22_XPP</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v_23_GN2</vt:lpstr>
      <vt:lpstr>v_23_GN2_atm</vt:lpstr>
      <vt:lpstr>v_23_GNH3</vt:lpstr>
      <vt:lpstr>v_23_GNH3_atm</vt:lpstr>
      <vt:lpstr>v_23_GO2</vt:lpstr>
      <vt:lpstr>v_23_GO2_atm</vt:lpstr>
      <vt:lpstr>v_23_H</vt:lpstr>
      <vt:lpstr>v_23_SALPHA</vt:lpstr>
      <vt:lpstr>v_23_SAN</vt:lpstr>
      <vt:lpstr>v_23_SB</vt:lpstr>
      <vt:lpstr>v_23_SCa</vt:lpstr>
      <vt:lpstr>v_23_SCAT</vt:lpstr>
      <vt:lpstr>v_23_SCH4</vt:lpstr>
      <vt:lpstr>v_23_SCO2</vt:lpstr>
      <vt:lpstr>v_23_SFe2</vt:lpstr>
      <vt:lpstr>v_23_SH2</vt:lpstr>
      <vt:lpstr>v_23_SK</vt:lpstr>
      <vt:lpstr>v_23_SMEOL</vt:lpstr>
      <vt:lpstr>v_23_SMg</vt:lpstr>
      <vt:lpstr>v_23_SN_B</vt:lpstr>
      <vt:lpstr>v_23_SN2</vt:lpstr>
      <vt:lpstr>v_23_SNHx</vt:lpstr>
      <vt:lpstr>v_23_SNO2</vt:lpstr>
      <vt:lpstr>v_23_SNO3</vt:lpstr>
      <vt:lpstr>v_23_SO2</vt:lpstr>
      <vt:lpstr>v_23_SORPswitch</vt:lpstr>
      <vt:lpstr>v_23_SP_B</vt:lpstr>
      <vt:lpstr>v_23_SPO4</vt:lpstr>
      <vt:lpstr>v_23_SU</vt:lpstr>
      <vt:lpstr>v_23_SVFA</vt:lpstr>
      <vt:lpstr>v_23_XACP</vt:lpstr>
      <vt:lpstr>v_23_XAMETO</vt:lpstr>
      <vt:lpstr>v_23_XAMX</vt:lpstr>
      <vt:lpstr>v_23_XAOB</vt:lpstr>
      <vt:lpstr>v_23_XB</vt:lpstr>
      <vt:lpstr>v_23_XBSH</vt:lpstr>
      <vt:lpstr>v_23_XCaCO3</vt:lpstr>
      <vt:lpstr>v_23_XCASTO</vt:lpstr>
      <vt:lpstr>v_23_XE</vt:lpstr>
      <vt:lpstr>v_23_XE_ana</vt:lpstr>
      <vt:lpstr>v_23_XGLY</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v_23_XINORG</vt:lpstr>
      <vt:lpstr>v_23_XMEOLO</vt:lpstr>
      <vt:lpstr>v_23_XN_B</vt:lpstr>
      <vt:lpstr>v_23_XN_U</vt:lpstr>
      <vt:lpstr>v_23_XNOB</vt:lpstr>
      <vt:lpstr>v_23_XOHO</vt:lpstr>
      <vt:lpstr>v_23_XP_B</vt:lpstr>
      <vt:lpstr>v_23_XP_U</vt:lpstr>
      <vt:lpstr>v_23_XPHA</vt:lpstr>
      <vt:lpstr>v_23_XPP</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v_24_GN2</vt:lpstr>
      <vt:lpstr>v_24_GN2_atm</vt:lpstr>
      <vt:lpstr>v_24_GNH3</vt:lpstr>
      <vt:lpstr>v_24_GNH3_atm</vt:lpstr>
      <vt:lpstr>v_24_GO2</vt:lpstr>
      <vt:lpstr>v_24_GO2_atm</vt:lpstr>
      <vt:lpstr>v_24_H</vt:lpstr>
      <vt:lpstr>v_24_SALPHA</vt:lpstr>
      <vt:lpstr>v_24_SAN</vt:lpstr>
      <vt:lpstr>v_24_SB</vt:lpstr>
      <vt:lpstr>v_24_SCa</vt:lpstr>
      <vt:lpstr>v_24_SCAT</vt:lpstr>
      <vt:lpstr>v_24_SCH4</vt:lpstr>
      <vt:lpstr>v_24_SCO2</vt:lpstr>
      <vt:lpstr>v_24_SFe2</vt:lpstr>
      <vt:lpstr>v_24_SH2</vt:lpstr>
      <vt:lpstr>v_24_SK</vt:lpstr>
      <vt:lpstr>v_24_SMEOL</vt:lpstr>
      <vt:lpstr>v_24_SMg</vt:lpstr>
      <vt:lpstr>v_24_SN_B</vt:lpstr>
      <vt:lpstr>v_24_SN2</vt:lpstr>
      <vt:lpstr>v_24_SNHx</vt:lpstr>
      <vt:lpstr>v_24_SNO2</vt:lpstr>
      <vt:lpstr>v_24_SNO3</vt:lpstr>
      <vt:lpstr>v_24_SO2</vt:lpstr>
      <vt:lpstr>v_24_SORPswitch</vt:lpstr>
      <vt:lpstr>v_24_SP_B</vt:lpstr>
      <vt:lpstr>v_24_SPO4</vt:lpstr>
      <vt:lpstr>v_24_SU</vt:lpstr>
      <vt:lpstr>v_24_SVFA</vt:lpstr>
      <vt:lpstr>v_24_XACP</vt:lpstr>
      <vt:lpstr>v_24_XAMETO</vt:lpstr>
      <vt:lpstr>v_24_XAMX</vt:lpstr>
      <vt:lpstr>v_24_XAOB</vt:lpstr>
      <vt:lpstr>v_24_XB</vt:lpstr>
      <vt:lpstr>v_24_XBSH</vt:lpstr>
      <vt:lpstr>v_24_XCaCO3</vt:lpstr>
      <vt:lpstr>v_24_XCASTO</vt:lpstr>
      <vt:lpstr>v_24_XE</vt:lpstr>
      <vt:lpstr>v_24_XE_ana</vt:lpstr>
      <vt:lpstr>v_24_XGLY</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v_24_XINORG</vt:lpstr>
      <vt:lpstr>v_24_XMEOLO</vt:lpstr>
      <vt:lpstr>v_24_XN_B</vt:lpstr>
      <vt:lpstr>v_24_XN_U</vt:lpstr>
      <vt:lpstr>v_24_XNOB</vt:lpstr>
      <vt:lpstr>v_24_XOHO</vt:lpstr>
      <vt:lpstr>v_24_XP_B</vt:lpstr>
      <vt:lpstr>v_24_XP_U</vt:lpstr>
      <vt:lpstr>v_24_XPHA</vt:lpstr>
      <vt:lpstr>v_24_XPP</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v_25_GN2</vt:lpstr>
      <vt:lpstr>v_25_GN2_atm</vt:lpstr>
      <vt:lpstr>v_25_GNH3</vt:lpstr>
      <vt:lpstr>v_25_GNH3_atm</vt:lpstr>
      <vt:lpstr>v_25_GO2</vt:lpstr>
      <vt:lpstr>v_25_GO2_atm</vt:lpstr>
      <vt:lpstr>v_25_H</vt:lpstr>
      <vt:lpstr>v_25_SALPHA</vt:lpstr>
      <vt:lpstr>v_25_SAN</vt:lpstr>
      <vt:lpstr>v_25_SB</vt:lpstr>
      <vt:lpstr>v_25_SCa</vt:lpstr>
      <vt:lpstr>v_25_SCAT</vt:lpstr>
      <vt:lpstr>v_25_SCH4</vt:lpstr>
      <vt:lpstr>v_25_SCO2</vt:lpstr>
      <vt:lpstr>v_25_SFe2</vt:lpstr>
      <vt:lpstr>v_25_SH2</vt:lpstr>
      <vt:lpstr>v_25_SK</vt:lpstr>
      <vt:lpstr>v_25_SMEOL</vt:lpstr>
      <vt:lpstr>v_25_SMg</vt:lpstr>
      <vt:lpstr>v_25_SN_B</vt:lpstr>
      <vt:lpstr>v_25_SN2</vt:lpstr>
      <vt:lpstr>v_25_SNHx</vt:lpstr>
      <vt:lpstr>v_25_SNO2</vt:lpstr>
      <vt:lpstr>v_25_SNO3</vt:lpstr>
      <vt:lpstr>v_25_SO2</vt:lpstr>
      <vt:lpstr>v_25_SORPswitch</vt:lpstr>
      <vt:lpstr>v_25_SP_B</vt:lpstr>
      <vt:lpstr>v_25_SPO4</vt:lpstr>
      <vt:lpstr>v_25_SU</vt:lpstr>
      <vt:lpstr>v_25_SVFA</vt:lpstr>
      <vt:lpstr>v_25_XACP</vt:lpstr>
      <vt:lpstr>v_25_XAMETO</vt:lpstr>
      <vt:lpstr>v_25_XAMX</vt:lpstr>
      <vt:lpstr>v_25_XAOB</vt:lpstr>
      <vt:lpstr>v_25_XB</vt:lpstr>
      <vt:lpstr>v_25_XBSH</vt:lpstr>
      <vt:lpstr>v_25_XCaCO3</vt:lpstr>
      <vt:lpstr>v_25_XCASTO</vt:lpstr>
      <vt:lpstr>v_25_XE</vt:lpstr>
      <vt:lpstr>v_25_XE_ana</vt:lpstr>
      <vt:lpstr>v_25_XGLY</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v_25_XINORG</vt:lpstr>
      <vt:lpstr>v_25_XMEOLO</vt:lpstr>
      <vt:lpstr>v_25_XN_B</vt:lpstr>
      <vt:lpstr>v_25_XN_U</vt:lpstr>
      <vt:lpstr>v_25_XNOB</vt:lpstr>
      <vt:lpstr>v_25_XOHO</vt:lpstr>
      <vt:lpstr>v_25_XP_B</vt:lpstr>
      <vt:lpstr>v_25_XP_U</vt:lpstr>
      <vt:lpstr>v_25_XPHA</vt:lpstr>
      <vt:lpstr>v_25_XPP</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v_26_GN2</vt:lpstr>
      <vt:lpstr>v_26_GN2_atm</vt:lpstr>
      <vt:lpstr>v_26_GNH3</vt:lpstr>
      <vt:lpstr>v_26_GNH3_atm</vt:lpstr>
      <vt:lpstr>v_26_GO2</vt:lpstr>
      <vt:lpstr>v_26_GO2_atm</vt:lpstr>
      <vt:lpstr>v_26_H</vt:lpstr>
      <vt:lpstr>v_26_SALPHA</vt:lpstr>
      <vt:lpstr>v_26_SAN</vt:lpstr>
      <vt:lpstr>v_26_SB</vt:lpstr>
      <vt:lpstr>v_26_SCa</vt:lpstr>
      <vt:lpstr>v_26_SCAT</vt:lpstr>
      <vt:lpstr>v_26_SCH4</vt:lpstr>
      <vt:lpstr>v_26_SCO2</vt:lpstr>
      <vt:lpstr>v_26_SFe2</vt:lpstr>
      <vt:lpstr>v_26_SH2</vt:lpstr>
      <vt:lpstr>v_26_SK</vt:lpstr>
      <vt:lpstr>v_26_SMEOL</vt:lpstr>
      <vt:lpstr>v_26_SMg</vt:lpstr>
      <vt:lpstr>v_26_SN_B</vt:lpstr>
      <vt:lpstr>v_26_SN2</vt:lpstr>
      <vt:lpstr>v_26_SNHx</vt:lpstr>
      <vt:lpstr>v_26_SNO2</vt:lpstr>
      <vt:lpstr>v_26_SNO3</vt:lpstr>
      <vt:lpstr>v_26_SO2</vt:lpstr>
      <vt:lpstr>v_26_SORPswitch</vt:lpstr>
      <vt:lpstr>v_26_SP_B</vt:lpstr>
      <vt:lpstr>v_26_SPO4</vt:lpstr>
      <vt:lpstr>v_26_SU</vt:lpstr>
      <vt:lpstr>v_26_SVFA</vt:lpstr>
      <vt:lpstr>v_26_XACP</vt:lpstr>
      <vt:lpstr>v_26_XAMETO</vt:lpstr>
      <vt:lpstr>v_26_XAMX</vt:lpstr>
      <vt:lpstr>v_26_XAOB</vt:lpstr>
      <vt:lpstr>v_26_XB</vt:lpstr>
      <vt:lpstr>v_26_XBSH</vt:lpstr>
      <vt:lpstr>v_26_XCaCO3</vt:lpstr>
      <vt:lpstr>v_26_XCASTO</vt:lpstr>
      <vt:lpstr>v_26_XE</vt:lpstr>
      <vt:lpstr>v_26_XE_ana</vt:lpstr>
      <vt:lpstr>v_26_XGLY</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v_26_XINORG</vt:lpstr>
      <vt:lpstr>v_26_XMEOLO</vt:lpstr>
      <vt:lpstr>v_26_XN_B</vt:lpstr>
      <vt:lpstr>v_26_XN_U</vt:lpstr>
      <vt:lpstr>v_26_XNOB</vt:lpstr>
      <vt:lpstr>v_26_XOHO</vt:lpstr>
      <vt:lpstr>v_26_XP_B</vt:lpstr>
      <vt:lpstr>v_26_XP_U</vt:lpstr>
      <vt:lpstr>v_26_XPHA</vt:lpstr>
      <vt:lpstr>v_26_XPP</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v_27_GN2</vt:lpstr>
      <vt:lpstr>v_27_GN2_atm</vt:lpstr>
      <vt:lpstr>v_27_GNH3</vt:lpstr>
      <vt:lpstr>v_27_GNH3_atm</vt:lpstr>
      <vt:lpstr>v_27_GO2</vt:lpstr>
      <vt:lpstr>v_27_GO2_atm</vt:lpstr>
      <vt:lpstr>v_27_H</vt:lpstr>
      <vt:lpstr>v_27_SALPHA</vt:lpstr>
      <vt:lpstr>v_27_SAN</vt:lpstr>
      <vt:lpstr>v_27_SB</vt:lpstr>
      <vt:lpstr>v_27_SCa</vt:lpstr>
      <vt:lpstr>v_27_SCAT</vt:lpstr>
      <vt:lpstr>v_27_SCH4</vt:lpstr>
      <vt:lpstr>v_27_SCO2</vt:lpstr>
      <vt:lpstr>v_27_SFe2</vt:lpstr>
      <vt:lpstr>v_27_SH2</vt:lpstr>
      <vt:lpstr>v_27_SK</vt:lpstr>
      <vt:lpstr>v_27_SMEOL</vt:lpstr>
      <vt:lpstr>v_27_SMg</vt:lpstr>
      <vt:lpstr>v_27_SN_B</vt:lpstr>
      <vt:lpstr>v_27_SN2</vt:lpstr>
      <vt:lpstr>v_27_SNHx</vt:lpstr>
      <vt:lpstr>v_27_SNO2</vt:lpstr>
      <vt:lpstr>v_27_SNO3</vt:lpstr>
      <vt:lpstr>v_27_SO2</vt:lpstr>
      <vt:lpstr>v_27_SORPswitch</vt:lpstr>
      <vt:lpstr>v_27_SP_B</vt:lpstr>
      <vt:lpstr>v_27_SPO4</vt:lpstr>
      <vt:lpstr>v_27_SU</vt:lpstr>
      <vt:lpstr>v_27_SVFA</vt:lpstr>
      <vt:lpstr>v_27_XACP</vt:lpstr>
      <vt:lpstr>v_27_XAMETO</vt:lpstr>
      <vt:lpstr>v_27_XAMX</vt:lpstr>
      <vt:lpstr>v_27_XAOB</vt:lpstr>
      <vt:lpstr>v_27_XB</vt:lpstr>
      <vt:lpstr>v_27_XBSH</vt:lpstr>
      <vt:lpstr>v_27_XCaCO3</vt:lpstr>
      <vt:lpstr>v_27_XCASTO</vt:lpstr>
      <vt:lpstr>v_27_XE</vt:lpstr>
      <vt:lpstr>v_27_XE_ana</vt:lpstr>
      <vt:lpstr>v_27_XGLY</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v_27_XINORG</vt:lpstr>
      <vt:lpstr>v_27_XMEOLO</vt:lpstr>
      <vt:lpstr>v_27_XN_B</vt:lpstr>
      <vt:lpstr>v_27_XN_U</vt:lpstr>
      <vt:lpstr>v_27_XNOB</vt:lpstr>
      <vt:lpstr>v_27_XOHO</vt:lpstr>
      <vt:lpstr>v_27_XP_B</vt:lpstr>
      <vt:lpstr>v_27_XP_U</vt:lpstr>
      <vt:lpstr>v_27_XPHA</vt:lpstr>
      <vt:lpstr>v_27_XPP</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v_28_GN2</vt:lpstr>
      <vt:lpstr>v_28_GN2_atm</vt:lpstr>
      <vt:lpstr>v_28_GNH3</vt:lpstr>
      <vt:lpstr>v_28_GNH3_atm</vt:lpstr>
      <vt:lpstr>v_28_GO2</vt:lpstr>
      <vt:lpstr>v_28_GO2_atm</vt:lpstr>
      <vt:lpstr>v_28_H</vt:lpstr>
      <vt:lpstr>v_28_SALPHA</vt:lpstr>
      <vt:lpstr>v_28_SAN</vt:lpstr>
      <vt:lpstr>v_28_SB</vt:lpstr>
      <vt:lpstr>v_28_SCa</vt:lpstr>
      <vt:lpstr>v_28_SCAT</vt:lpstr>
      <vt:lpstr>v_28_SCH4</vt:lpstr>
      <vt:lpstr>v_28_SCO2</vt:lpstr>
      <vt:lpstr>v_28_SFe2</vt:lpstr>
      <vt:lpstr>v_28_SH2</vt:lpstr>
      <vt:lpstr>v_28_SK</vt:lpstr>
      <vt:lpstr>v_28_SMEOL</vt:lpstr>
      <vt:lpstr>v_28_SMg</vt:lpstr>
      <vt:lpstr>v_28_SN_B</vt:lpstr>
      <vt:lpstr>v_28_SN2</vt:lpstr>
      <vt:lpstr>v_28_SNHx</vt:lpstr>
      <vt:lpstr>v_28_SNO2</vt:lpstr>
      <vt:lpstr>v_28_SNO3</vt:lpstr>
      <vt:lpstr>v_28_SO2</vt:lpstr>
      <vt:lpstr>v_28_SORPswitch</vt:lpstr>
      <vt:lpstr>v_28_SP_B</vt:lpstr>
      <vt:lpstr>v_28_SPO4</vt:lpstr>
      <vt:lpstr>v_28_SU</vt:lpstr>
      <vt:lpstr>v_28_SVFA</vt:lpstr>
      <vt:lpstr>v_28_XACP</vt:lpstr>
      <vt:lpstr>v_28_XAMETO</vt:lpstr>
      <vt:lpstr>v_28_XAMX</vt:lpstr>
      <vt:lpstr>v_28_XAOB</vt:lpstr>
      <vt:lpstr>v_28_XB</vt:lpstr>
      <vt:lpstr>v_28_XBSH</vt:lpstr>
      <vt:lpstr>v_28_XCaCO3</vt:lpstr>
      <vt:lpstr>v_28_XCASTO</vt:lpstr>
      <vt:lpstr>v_28_XE</vt:lpstr>
      <vt:lpstr>v_28_XE_ana</vt:lpstr>
      <vt:lpstr>v_28_XGLY</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v_28_XINORG</vt:lpstr>
      <vt:lpstr>v_28_XMEOLO</vt:lpstr>
      <vt:lpstr>v_28_XN_B</vt:lpstr>
      <vt:lpstr>v_28_XN_U</vt:lpstr>
      <vt:lpstr>v_28_XNOB</vt:lpstr>
      <vt:lpstr>v_28_XOHO</vt:lpstr>
      <vt:lpstr>v_28_XP_B</vt:lpstr>
      <vt:lpstr>v_28_XP_U</vt:lpstr>
      <vt:lpstr>v_28_XPHA</vt:lpstr>
      <vt:lpstr>v_28_XPP</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v_29_GN2</vt:lpstr>
      <vt:lpstr>v_29_GN2_atm</vt:lpstr>
      <vt:lpstr>v_29_GNH3</vt:lpstr>
      <vt:lpstr>v_29_GNH3_atm</vt:lpstr>
      <vt:lpstr>v_29_GO2</vt:lpstr>
      <vt:lpstr>v_29_GO2_atm</vt:lpstr>
      <vt:lpstr>v_29_H</vt:lpstr>
      <vt:lpstr>v_29_SALPHA</vt:lpstr>
      <vt:lpstr>v_29_SAN</vt:lpstr>
      <vt:lpstr>v_29_SB</vt:lpstr>
      <vt:lpstr>v_29_SCa</vt:lpstr>
      <vt:lpstr>v_29_SCAT</vt:lpstr>
      <vt:lpstr>v_29_SCH4</vt:lpstr>
      <vt:lpstr>v_29_SCO2</vt:lpstr>
      <vt:lpstr>v_29_SFe2</vt:lpstr>
      <vt:lpstr>v_29_SH2</vt:lpstr>
      <vt:lpstr>v_29_SK</vt:lpstr>
      <vt:lpstr>v_29_SMEOL</vt:lpstr>
      <vt:lpstr>v_29_SMg</vt:lpstr>
      <vt:lpstr>v_29_SN_B</vt:lpstr>
      <vt:lpstr>v_29_SN2</vt:lpstr>
      <vt:lpstr>v_29_SNHx</vt:lpstr>
      <vt:lpstr>v_29_SNO2</vt:lpstr>
      <vt:lpstr>v_29_SNO3</vt:lpstr>
      <vt:lpstr>v_29_SO2</vt:lpstr>
      <vt:lpstr>v_29_SORPswitch</vt:lpstr>
      <vt:lpstr>v_29_SP_B</vt:lpstr>
      <vt:lpstr>v_29_SPO4</vt:lpstr>
      <vt:lpstr>v_29_SU</vt:lpstr>
      <vt:lpstr>v_29_SVFA</vt:lpstr>
      <vt:lpstr>v_29_XACP</vt:lpstr>
      <vt:lpstr>v_29_XAMETO</vt:lpstr>
      <vt:lpstr>v_29_XAMX</vt:lpstr>
      <vt:lpstr>v_29_XAOB</vt:lpstr>
      <vt:lpstr>v_29_XB</vt:lpstr>
      <vt:lpstr>v_29_XBSH</vt:lpstr>
      <vt:lpstr>v_29_XCaCO3</vt:lpstr>
      <vt:lpstr>v_29_XCASTO</vt:lpstr>
      <vt:lpstr>v_29_XE</vt:lpstr>
      <vt:lpstr>v_29_XE_ana</vt:lpstr>
      <vt:lpstr>v_29_XGLY</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v_29_XINORG</vt:lpstr>
      <vt:lpstr>v_29_XMEOLO</vt:lpstr>
      <vt:lpstr>v_29_XN_B</vt:lpstr>
      <vt:lpstr>v_29_XN_U</vt:lpstr>
      <vt:lpstr>v_29_XNOB</vt:lpstr>
      <vt:lpstr>v_29_XOHO</vt:lpstr>
      <vt:lpstr>v_29_XP_B</vt:lpstr>
      <vt:lpstr>v_29_XP_U</vt:lpstr>
      <vt:lpstr>v_29_XPHA</vt:lpstr>
      <vt:lpstr>v_29_XPP</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v_3_GN2</vt:lpstr>
      <vt:lpstr>v_3_GN2_atm</vt:lpstr>
      <vt:lpstr>v_3_GNH3</vt:lpstr>
      <vt:lpstr>v_3_GNH3_atm</vt:lpstr>
      <vt:lpstr>v_3_GO2</vt:lpstr>
      <vt:lpstr>v_3_GO2_atm</vt:lpstr>
      <vt:lpstr>v_3_H</vt:lpstr>
      <vt:lpstr>v_3_SALPHA</vt:lpstr>
      <vt:lpstr>v_3_SAN</vt:lpstr>
      <vt:lpstr>v_3_SB</vt:lpstr>
      <vt:lpstr>v_3_SCa</vt:lpstr>
      <vt:lpstr>v_3_SCAT</vt:lpstr>
      <vt:lpstr>v_3_SCH4</vt:lpstr>
      <vt:lpstr>v_3_SCO2</vt:lpstr>
      <vt:lpstr>v_3_SFe2</vt:lpstr>
      <vt:lpstr>v_3_SH2</vt:lpstr>
      <vt:lpstr>v_3_SK</vt:lpstr>
      <vt:lpstr>v_3_SMEOL</vt:lpstr>
      <vt:lpstr>v_3_SMg</vt:lpstr>
      <vt:lpstr>v_3_SN_B</vt:lpstr>
      <vt:lpstr>v_3_SN2</vt:lpstr>
      <vt:lpstr>v_3_SNHx</vt:lpstr>
      <vt:lpstr>v_3_SNO2</vt:lpstr>
      <vt:lpstr>v_3_SNO3</vt:lpstr>
      <vt:lpstr>v_3_SO2</vt:lpstr>
      <vt:lpstr>v_3_SORPswitch</vt:lpstr>
      <vt:lpstr>v_3_SP_B</vt:lpstr>
      <vt:lpstr>v_3_SPO4</vt:lpstr>
      <vt:lpstr>v_3_SU</vt:lpstr>
      <vt:lpstr>v_3_SVFA</vt:lpstr>
      <vt:lpstr>v_3_XACP</vt:lpstr>
      <vt:lpstr>v_3_XAMETO</vt:lpstr>
      <vt:lpstr>v_3_XAMX</vt:lpstr>
      <vt:lpstr>v_3_XAOB</vt:lpstr>
      <vt:lpstr>v_3_XB</vt:lpstr>
      <vt:lpstr>v_3_XBSH</vt:lpstr>
      <vt:lpstr>v_3_XCaCO3</vt:lpstr>
      <vt:lpstr>v_3_XCASTO</vt:lpstr>
      <vt:lpstr>v_3_XE</vt:lpstr>
      <vt:lpstr>v_3_XE_ana</vt:lpstr>
      <vt:lpstr>v_3_XGLY</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v_3_XINORG</vt:lpstr>
      <vt:lpstr>v_3_XMEOLO</vt:lpstr>
      <vt:lpstr>v_3_XN_B</vt:lpstr>
      <vt:lpstr>v_3_XN_U</vt:lpstr>
      <vt:lpstr>v_3_XNOB</vt:lpstr>
      <vt:lpstr>v_3_XOHO</vt:lpstr>
      <vt:lpstr>v_3_XP_B</vt:lpstr>
      <vt:lpstr>v_3_XP_U</vt:lpstr>
      <vt:lpstr>v_3_XPHA</vt:lpstr>
      <vt:lpstr>v_3_XPP</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v_30_GN2</vt:lpstr>
      <vt:lpstr>v_30_GN2_atm</vt:lpstr>
      <vt:lpstr>v_30_GNH3</vt:lpstr>
      <vt:lpstr>v_30_GNH3_atm</vt:lpstr>
      <vt:lpstr>v_30_GO2</vt:lpstr>
      <vt:lpstr>v_30_GO2_atm</vt:lpstr>
      <vt:lpstr>v_30_H</vt:lpstr>
      <vt:lpstr>v_30_SALPHA</vt:lpstr>
      <vt:lpstr>v_30_SAN</vt:lpstr>
      <vt:lpstr>v_30_SB</vt:lpstr>
      <vt:lpstr>v_30_SCa</vt:lpstr>
      <vt:lpstr>v_30_SCAT</vt:lpstr>
      <vt:lpstr>v_30_SCH4</vt:lpstr>
      <vt:lpstr>v_30_SCO2</vt:lpstr>
      <vt:lpstr>v_30_SFe2</vt:lpstr>
      <vt:lpstr>v_30_SH2</vt:lpstr>
      <vt:lpstr>v_30_SK</vt:lpstr>
      <vt:lpstr>v_30_SMEOL</vt:lpstr>
      <vt:lpstr>v_30_SMg</vt:lpstr>
      <vt:lpstr>v_30_SN_B</vt:lpstr>
      <vt:lpstr>v_30_SN2</vt:lpstr>
      <vt:lpstr>v_30_SNHx</vt:lpstr>
      <vt:lpstr>v_30_SNO2</vt:lpstr>
      <vt:lpstr>v_30_SNO3</vt:lpstr>
      <vt:lpstr>v_30_SO2</vt:lpstr>
      <vt:lpstr>v_30_SORPswitch</vt:lpstr>
      <vt:lpstr>v_30_SP_B</vt:lpstr>
      <vt:lpstr>v_30_SPO4</vt:lpstr>
      <vt:lpstr>v_30_SU</vt:lpstr>
      <vt:lpstr>v_30_SVFA</vt:lpstr>
      <vt:lpstr>v_30_XACP</vt:lpstr>
      <vt:lpstr>v_30_XAMETO</vt:lpstr>
      <vt:lpstr>v_30_XAMX</vt:lpstr>
      <vt:lpstr>v_30_XAOB</vt:lpstr>
      <vt:lpstr>v_30_XB</vt:lpstr>
      <vt:lpstr>v_30_XBSH</vt:lpstr>
      <vt:lpstr>v_30_XCaCO3</vt:lpstr>
      <vt:lpstr>v_30_XCASTO</vt:lpstr>
      <vt:lpstr>v_30_XE</vt:lpstr>
      <vt:lpstr>v_30_XE_ana</vt:lpstr>
      <vt:lpstr>v_30_XGLY</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v_30_XINORG</vt:lpstr>
      <vt:lpstr>v_30_XMEOLO</vt:lpstr>
      <vt:lpstr>v_30_XN_B</vt:lpstr>
      <vt:lpstr>v_30_XN_U</vt:lpstr>
      <vt:lpstr>v_30_XNOB</vt:lpstr>
      <vt:lpstr>v_30_XOHO</vt:lpstr>
      <vt:lpstr>v_30_XP_B</vt:lpstr>
      <vt:lpstr>v_30_XP_U</vt:lpstr>
      <vt:lpstr>v_30_XPHA</vt:lpstr>
      <vt:lpstr>v_30_XPP</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v_31_GN2</vt:lpstr>
      <vt:lpstr>v_31_GN2_atm</vt:lpstr>
      <vt:lpstr>v_31_GNH3</vt:lpstr>
      <vt:lpstr>v_31_GNH3_atm</vt:lpstr>
      <vt:lpstr>v_31_GO2</vt:lpstr>
      <vt:lpstr>v_31_GO2_atm</vt:lpstr>
      <vt:lpstr>v_31_H</vt:lpstr>
      <vt:lpstr>v_31_SALPHA</vt:lpstr>
      <vt:lpstr>v_31_SAN</vt:lpstr>
      <vt:lpstr>v_31_SB</vt:lpstr>
      <vt:lpstr>v_31_SCa</vt:lpstr>
      <vt:lpstr>v_31_SCAT</vt:lpstr>
      <vt:lpstr>v_31_SCH4</vt:lpstr>
      <vt:lpstr>v_31_SCO2</vt:lpstr>
      <vt:lpstr>v_31_SFe2</vt:lpstr>
      <vt:lpstr>v_31_SH2</vt:lpstr>
      <vt:lpstr>v_31_SK</vt:lpstr>
      <vt:lpstr>v_31_SMEOL</vt:lpstr>
      <vt:lpstr>v_31_SMg</vt:lpstr>
      <vt:lpstr>v_31_SN_B</vt:lpstr>
      <vt:lpstr>v_31_SN2</vt:lpstr>
      <vt:lpstr>v_31_SNHx</vt:lpstr>
      <vt:lpstr>v_31_SNO2</vt:lpstr>
      <vt:lpstr>v_31_SNO3</vt:lpstr>
      <vt:lpstr>v_31_SO2</vt:lpstr>
      <vt:lpstr>v_31_SORPswitch</vt:lpstr>
      <vt:lpstr>v_31_SP_B</vt:lpstr>
      <vt:lpstr>v_31_SPO4</vt:lpstr>
      <vt:lpstr>v_31_SU</vt:lpstr>
      <vt:lpstr>v_31_SVFA</vt:lpstr>
      <vt:lpstr>v_31_XACP</vt:lpstr>
      <vt:lpstr>v_31_XAMETO</vt:lpstr>
      <vt:lpstr>v_31_XAMX</vt:lpstr>
      <vt:lpstr>v_31_XAOB</vt:lpstr>
      <vt:lpstr>v_31_XB</vt:lpstr>
      <vt:lpstr>v_31_XBSH</vt:lpstr>
      <vt:lpstr>v_31_XCaCO3</vt:lpstr>
      <vt:lpstr>v_31_XCASTO</vt:lpstr>
      <vt:lpstr>v_31_XE</vt:lpstr>
      <vt:lpstr>v_31_XE_ana</vt:lpstr>
      <vt:lpstr>v_31_XGLY</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v_31_XINORG</vt:lpstr>
      <vt:lpstr>v_31_XMEOLO</vt:lpstr>
      <vt:lpstr>v_31_XN_B</vt:lpstr>
      <vt:lpstr>v_31_XN_U</vt:lpstr>
      <vt:lpstr>v_31_XNOB</vt:lpstr>
      <vt:lpstr>v_31_XOHO</vt:lpstr>
      <vt:lpstr>v_31_XP_B</vt:lpstr>
      <vt:lpstr>v_31_XP_U</vt:lpstr>
      <vt:lpstr>v_31_XPHA</vt:lpstr>
      <vt:lpstr>v_31_XPP</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v_32_GN2</vt:lpstr>
      <vt:lpstr>v_32_GN2_atm</vt:lpstr>
      <vt:lpstr>v_32_GNH3</vt:lpstr>
      <vt:lpstr>v_32_GNH3_atm</vt:lpstr>
      <vt:lpstr>v_32_GO2</vt:lpstr>
      <vt:lpstr>v_32_GO2_atm</vt:lpstr>
      <vt:lpstr>v_32_H</vt:lpstr>
      <vt:lpstr>v_32_SALPHA</vt:lpstr>
      <vt:lpstr>v_32_SAN</vt:lpstr>
      <vt:lpstr>v_32_SB</vt:lpstr>
      <vt:lpstr>v_32_SCa</vt:lpstr>
      <vt:lpstr>v_32_SCAT</vt:lpstr>
      <vt:lpstr>v_32_SCH4</vt:lpstr>
      <vt:lpstr>v_32_SCO2</vt:lpstr>
      <vt:lpstr>v_32_SFe2</vt:lpstr>
      <vt:lpstr>v_32_SH2</vt:lpstr>
      <vt:lpstr>v_32_SK</vt:lpstr>
      <vt:lpstr>v_32_SMEOL</vt:lpstr>
      <vt:lpstr>v_32_SMg</vt:lpstr>
      <vt:lpstr>v_32_SN_B</vt:lpstr>
      <vt:lpstr>v_32_SN2</vt:lpstr>
      <vt:lpstr>v_32_SNHx</vt:lpstr>
      <vt:lpstr>v_32_SNO2</vt:lpstr>
      <vt:lpstr>v_32_SNO3</vt:lpstr>
      <vt:lpstr>v_32_SO2</vt:lpstr>
      <vt:lpstr>v_32_SORPswitch</vt:lpstr>
      <vt:lpstr>v_32_SP_B</vt:lpstr>
      <vt:lpstr>v_32_SPO4</vt:lpstr>
      <vt:lpstr>v_32_SU</vt:lpstr>
      <vt:lpstr>v_32_SVFA</vt:lpstr>
      <vt:lpstr>v_32_XACP</vt:lpstr>
      <vt:lpstr>v_32_XAMETO</vt:lpstr>
      <vt:lpstr>v_32_XAMX</vt:lpstr>
      <vt:lpstr>v_32_XAOB</vt:lpstr>
      <vt:lpstr>v_32_XB</vt:lpstr>
      <vt:lpstr>v_32_XBSH</vt:lpstr>
      <vt:lpstr>v_32_XCaCO3</vt:lpstr>
      <vt:lpstr>v_32_XCASTO</vt:lpstr>
      <vt:lpstr>v_32_XE</vt:lpstr>
      <vt:lpstr>v_32_XE_ana</vt:lpstr>
      <vt:lpstr>v_32_XGLY</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v_32_XINORG</vt:lpstr>
      <vt:lpstr>v_32_XMEOLO</vt:lpstr>
      <vt:lpstr>v_32_XN_B</vt:lpstr>
      <vt:lpstr>v_32_XN_U</vt:lpstr>
      <vt:lpstr>v_32_XNOB</vt:lpstr>
      <vt:lpstr>v_32_XOHO</vt:lpstr>
      <vt:lpstr>v_32_XP_B</vt:lpstr>
      <vt:lpstr>v_32_XP_U</vt:lpstr>
      <vt:lpstr>v_32_XPHA</vt:lpstr>
      <vt:lpstr>v_32_XPP</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v_33_GN2</vt:lpstr>
      <vt:lpstr>v_33_GN2_atm</vt:lpstr>
      <vt:lpstr>v_33_GNH3</vt:lpstr>
      <vt:lpstr>v_33_GNH3_atm</vt:lpstr>
      <vt:lpstr>v_33_GO2</vt:lpstr>
      <vt:lpstr>v_33_GO2_atm</vt:lpstr>
      <vt:lpstr>v_33_H</vt:lpstr>
      <vt:lpstr>v_33_SALPHA</vt:lpstr>
      <vt:lpstr>v_33_SAN</vt:lpstr>
      <vt:lpstr>v_33_SB</vt:lpstr>
      <vt:lpstr>v_33_SCa</vt:lpstr>
      <vt:lpstr>v_33_SCAT</vt:lpstr>
      <vt:lpstr>v_33_SCH4</vt:lpstr>
      <vt:lpstr>v_33_SCO2</vt:lpstr>
      <vt:lpstr>v_33_SFe2</vt:lpstr>
      <vt:lpstr>v_33_SH2</vt:lpstr>
      <vt:lpstr>v_33_SK</vt:lpstr>
      <vt:lpstr>v_33_SMEOL</vt:lpstr>
      <vt:lpstr>v_33_SMg</vt:lpstr>
      <vt:lpstr>v_33_SN_B</vt:lpstr>
      <vt:lpstr>v_33_SN2</vt:lpstr>
      <vt:lpstr>v_33_SNHx</vt:lpstr>
      <vt:lpstr>v_33_SNO2</vt:lpstr>
      <vt:lpstr>v_33_SNO3</vt:lpstr>
      <vt:lpstr>v_33_SO2</vt:lpstr>
      <vt:lpstr>v_33_SORPswitch</vt:lpstr>
      <vt:lpstr>v_33_SP_B</vt:lpstr>
      <vt:lpstr>v_33_SPO4</vt:lpstr>
      <vt:lpstr>v_33_SU</vt:lpstr>
      <vt:lpstr>v_33_SVFA</vt:lpstr>
      <vt:lpstr>v_33_XACP</vt:lpstr>
      <vt:lpstr>v_33_XAMETO</vt:lpstr>
      <vt:lpstr>v_33_XAMX</vt:lpstr>
      <vt:lpstr>v_33_XAOB</vt:lpstr>
      <vt:lpstr>v_33_XB</vt:lpstr>
      <vt:lpstr>v_33_XBSH</vt:lpstr>
      <vt:lpstr>v_33_XCaCO3</vt:lpstr>
      <vt:lpstr>v_33_XCASTO</vt:lpstr>
      <vt:lpstr>v_33_XE</vt:lpstr>
      <vt:lpstr>v_33_XE_ana</vt:lpstr>
      <vt:lpstr>v_33_XGLY</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v_33_XINORG</vt:lpstr>
      <vt:lpstr>v_33_XMEOLO</vt:lpstr>
      <vt:lpstr>v_33_XN_B</vt:lpstr>
      <vt:lpstr>v_33_XN_U</vt:lpstr>
      <vt:lpstr>v_33_XNOB</vt:lpstr>
      <vt:lpstr>v_33_XOHO</vt:lpstr>
      <vt:lpstr>v_33_XP_B</vt:lpstr>
      <vt:lpstr>v_33_XP_U</vt:lpstr>
      <vt:lpstr>v_33_XPHA</vt:lpstr>
      <vt:lpstr>v_33_XPP</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v_34_GN2</vt:lpstr>
      <vt:lpstr>v_34_GN2_atm</vt:lpstr>
      <vt:lpstr>v_34_GNH3</vt:lpstr>
      <vt:lpstr>v_34_GNH3_atm</vt:lpstr>
      <vt:lpstr>v_34_GO2</vt:lpstr>
      <vt:lpstr>v_34_GO2_atm</vt:lpstr>
      <vt:lpstr>v_34_H</vt:lpstr>
      <vt:lpstr>v_34_SALPHA</vt:lpstr>
      <vt:lpstr>v_34_SAN</vt:lpstr>
      <vt:lpstr>v_34_SB</vt:lpstr>
      <vt:lpstr>v_34_SCa</vt:lpstr>
      <vt:lpstr>v_34_SCAT</vt:lpstr>
      <vt:lpstr>v_34_SCH4</vt:lpstr>
      <vt:lpstr>v_34_SCO2</vt:lpstr>
      <vt:lpstr>v_34_SFe2</vt:lpstr>
      <vt:lpstr>v_34_SH2</vt:lpstr>
      <vt:lpstr>v_34_SK</vt:lpstr>
      <vt:lpstr>v_34_SMEOL</vt:lpstr>
      <vt:lpstr>v_34_SMg</vt:lpstr>
      <vt:lpstr>v_34_SN_B</vt:lpstr>
      <vt:lpstr>v_34_SN2</vt:lpstr>
      <vt:lpstr>v_34_SNHx</vt:lpstr>
      <vt:lpstr>v_34_SNO2</vt:lpstr>
      <vt:lpstr>v_34_SNO3</vt:lpstr>
      <vt:lpstr>v_34_SO2</vt:lpstr>
      <vt:lpstr>v_34_SORPswitch</vt:lpstr>
      <vt:lpstr>v_34_SP_B</vt:lpstr>
      <vt:lpstr>v_34_SPO4</vt:lpstr>
      <vt:lpstr>v_34_SU</vt:lpstr>
      <vt:lpstr>v_34_SVFA</vt:lpstr>
      <vt:lpstr>v_34_XACP</vt:lpstr>
      <vt:lpstr>v_34_XAMETO</vt:lpstr>
      <vt:lpstr>v_34_XAMX</vt:lpstr>
      <vt:lpstr>v_34_XAOB</vt:lpstr>
      <vt:lpstr>v_34_XB</vt:lpstr>
      <vt:lpstr>v_34_XBSH</vt:lpstr>
      <vt:lpstr>v_34_XCaCO3</vt:lpstr>
      <vt:lpstr>v_34_XCASTO</vt:lpstr>
      <vt:lpstr>v_34_XE</vt:lpstr>
      <vt:lpstr>v_34_XE_ana</vt:lpstr>
      <vt:lpstr>v_34_XGLY</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v_34_XINORG</vt:lpstr>
      <vt:lpstr>v_34_XMEOLO</vt:lpstr>
      <vt:lpstr>v_34_XN_B</vt:lpstr>
      <vt:lpstr>v_34_XN_U</vt:lpstr>
      <vt:lpstr>v_34_XNOB</vt:lpstr>
      <vt:lpstr>v_34_XOHO</vt:lpstr>
      <vt:lpstr>v_34_XP_B</vt:lpstr>
      <vt:lpstr>v_34_XP_U</vt:lpstr>
      <vt:lpstr>v_34_XPHA</vt:lpstr>
      <vt:lpstr>v_34_XPP</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v_35_GN2</vt:lpstr>
      <vt:lpstr>v_35_GN2_atm</vt:lpstr>
      <vt:lpstr>v_35_GNH3</vt:lpstr>
      <vt:lpstr>v_35_GNH3_atm</vt:lpstr>
      <vt:lpstr>v_35_GO2</vt:lpstr>
      <vt:lpstr>v_35_GO2_atm</vt:lpstr>
      <vt:lpstr>v_35_H</vt:lpstr>
      <vt:lpstr>v_35_SALPHA</vt:lpstr>
      <vt:lpstr>v_35_SAN</vt:lpstr>
      <vt:lpstr>v_35_SB</vt:lpstr>
      <vt:lpstr>v_35_SCa</vt:lpstr>
      <vt:lpstr>v_35_SCAT</vt:lpstr>
      <vt:lpstr>v_35_SCH4</vt:lpstr>
      <vt:lpstr>v_35_SCO2</vt:lpstr>
      <vt:lpstr>v_35_SFe2</vt:lpstr>
      <vt:lpstr>v_35_SH2</vt:lpstr>
      <vt:lpstr>v_35_SK</vt:lpstr>
      <vt:lpstr>v_35_SMEOL</vt:lpstr>
      <vt:lpstr>v_35_SMg</vt:lpstr>
      <vt:lpstr>v_35_SN_B</vt:lpstr>
      <vt:lpstr>v_35_SN2</vt:lpstr>
      <vt:lpstr>v_35_SNHx</vt:lpstr>
      <vt:lpstr>v_35_SNO2</vt:lpstr>
      <vt:lpstr>v_35_SNO3</vt:lpstr>
      <vt:lpstr>v_35_SO2</vt:lpstr>
      <vt:lpstr>v_35_SORPswitch</vt:lpstr>
      <vt:lpstr>v_35_SP_B</vt:lpstr>
      <vt:lpstr>v_35_SPO4</vt:lpstr>
      <vt:lpstr>v_35_SU</vt:lpstr>
      <vt:lpstr>v_35_SVFA</vt:lpstr>
      <vt:lpstr>v_35_XACP</vt:lpstr>
      <vt:lpstr>v_35_XAMETO</vt:lpstr>
      <vt:lpstr>v_35_XAMX</vt:lpstr>
      <vt:lpstr>v_35_XAOB</vt:lpstr>
      <vt:lpstr>v_35_XB</vt:lpstr>
      <vt:lpstr>v_35_XBSH</vt:lpstr>
      <vt:lpstr>v_35_XCaCO3</vt:lpstr>
      <vt:lpstr>v_35_XCASTO</vt:lpstr>
      <vt:lpstr>v_35_XE</vt:lpstr>
      <vt:lpstr>v_35_XE_ana</vt:lpstr>
      <vt:lpstr>v_35_XGLY</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v_35_XINORG</vt:lpstr>
      <vt:lpstr>v_35_XMEOLO</vt:lpstr>
      <vt:lpstr>v_35_XN_B</vt:lpstr>
      <vt:lpstr>v_35_XN_U</vt:lpstr>
      <vt:lpstr>v_35_XNOB</vt:lpstr>
      <vt:lpstr>v_35_XOHO</vt:lpstr>
      <vt:lpstr>v_35_XP_B</vt:lpstr>
      <vt:lpstr>v_35_XP_U</vt:lpstr>
      <vt:lpstr>v_35_XPHA</vt:lpstr>
      <vt:lpstr>v_35_XPP</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v_36_GN2</vt:lpstr>
      <vt:lpstr>v_36_GN2_atm</vt:lpstr>
      <vt:lpstr>v_36_GNH3</vt:lpstr>
      <vt:lpstr>v_36_GNH3_atm</vt:lpstr>
      <vt:lpstr>v_36_GO2</vt:lpstr>
      <vt:lpstr>v_36_GO2_atm</vt:lpstr>
      <vt:lpstr>v_36_H</vt:lpstr>
      <vt:lpstr>v_36_SALPHA</vt:lpstr>
      <vt:lpstr>v_36_SAN</vt:lpstr>
      <vt:lpstr>v_36_SB</vt:lpstr>
      <vt:lpstr>v_36_SCa</vt:lpstr>
      <vt:lpstr>v_36_SCAT</vt:lpstr>
      <vt:lpstr>v_36_SCH4</vt:lpstr>
      <vt:lpstr>v_36_SCO2</vt:lpstr>
      <vt:lpstr>v_36_SFe2</vt:lpstr>
      <vt:lpstr>v_36_SH2</vt:lpstr>
      <vt:lpstr>v_36_SK</vt:lpstr>
      <vt:lpstr>v_36_SMEOL</vt:lpstr>
      <vt:lpstr>v_36_SMg</vt:lpstr>
      <vt:lpstr>v_36_SN_B</vt:lpstr>
      <vt:lpstr>v_36_SN2</vt:lpstr>
      <vt:lpstr>v_36_SNHx</vt:lpstr>
      <vt:lpstr>v_36_SNO2</vt:lpstr>
      <vt:lpstr>v_36_SNO3</vt:lpstr>
      <vt:lpstr>v_36_SO2</vt:lpstr>
      <vt:lpstr>v_36_SORPswitch</vt:lpstr>
      <vt:lpstr>v_36_SP_B</vt:lpstr>
      <vt:lpstr>v_36_SPO4</vt:lpstr>
      <vt:lpstr>v_36_SU</vt:lpstr>
      <vt:lpstr>v_36_SVFA</vt:lpstr>
      <vt:lpstr>v_36_XACP</vt:lpstr>
      <vt:lpstr>v_36_XAMETO</vt:lpstr>
      <vt:lpstr>v_36_XAMX</vt:lpstr>
      <vt:lpstr>v_36_XAOB</vt:lpstr>
      <vt:lpstr>v_36_XB</vt:lpstr>
      <vt:lpstr>v_36_XBSH</vt:lpstr>
      <vt:lpstr>v_36_XCaCO3</vt:lpstr>
      <vt:lpstr>v_36_XCASTO</vt:lpstr>
      <vt:lpstr>v_36_XE</vt:lpstr>
      <vt:lpstr>v_36_XE_ana</vt:lpstr>
      <vt:lpstr>v_36_XGLY</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v_36_XINORG</vt:lpstr>
      <vt:lpstr>v_36_XMEOLO</vt:lpstr>
      <vt:lpstr>v_36_XN_B</vt:lpstr>
      <vt:lpstr>v_36_XN_U</vt:lpstr>
      <vt:lpstr>v_36_XNOB</vt:lpstr>
      <vt:lpstr>v_36_XOHO</vt:lpstr>
      <vt:lpstr>v_36_XP_B</vt:lpstr>
      <vt:lpstr>v_36_XP_U</vt:lpstr>
      <vt:lpstr>v_36_XPHA</vt:lpstr>
      <vt:lpstr>v_36_XPP</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v_37_GN2</vt:lpstr>
      <vt:lpstr>v_37_GN2_atm</vt:lpstr>
      <vt:lpstr>v_37_GNH3</vt:lpstr>
      <vt:lpstr>v_37_GNH3_atm</vt:lpstr>
      <vt:lpstr>v_37_GO2</vt:lpstr>
      <vt:lpstr>v_37_GO2_atm</vt:lpstr>
      <vt:lpstr>v_37_H</vt:lpstr>
      <vt:lpstr>v_37_SALPHA</vt:lpstr>
      <vt:lpstr>v_37_SAN</vt:lpstr>
      <vt:lpstr>v_37_SB</vt:lpstr>
      <vt:lpstr>v_37_SCa</vt:lpstr>
      <vt:lpstr>v_37_SCAT</vt:lpstr>
      <vt:lpstr>v_37_SCH4</vt:lpstr>
      <vt:lpstr>v_37_SCO2</vt:lpstr>
      <vt:lpstr>v_37_SFe2</vt:lpstr>
      <vt:lpstr>v_37_SH2</vt:lpstr>
      <vt:lpstr>v_37_SK</vt:lpstr>
      <vt:lpstr>v_37_SMEOL</vt:lpstr>
      <vt:lpstr>v_37_SMg</vt:lpstr>
      <vt:lpstr>v_37_SN_B</vt:lpstr>
      <vt:lpstr>v_37_SN2</vt:lpstr>
      <vt:lpstr>v_37_SNHx</vt:lpstr>
      <vt:lpstr>v_37_SNO2</vt:lpstr>
      <vt:lpstr>v_37_SNO3</vt:lpstr>
      <vt:lpstr>v_37_SO2</vt:lpstr>
      <vt:lpstr>v_37_SORPswitch</vt:lpstr>
      <vt:lpstr>v_37_SP_B</vt:lpstr>
      <vt:lpstr>v_37_SPO4</vt:lpstr>
      <vt:lpstr>v_37_SU</vt:lpstr>
      <vt:lpstr>v_37_SVFA</vt:lpstr>
      <vt:lpstr>v_37_XACP</vt:lpstr>
      <vt:lpstr>v_37_XAMETO</vt:lpstr>
      <vt:lpstr>v_37_XAMX</vt:lpstr>
      <vt:lpstr>v_37_XAOB</vt:lpstr>
      <vt:lpstr>v_37_XB</vt:lpstr>
      <vt:lpstr>v_37_XBSH</vt:lpstr>
      <vt:lpstr>v_37_XCaCO3</vt:lpstr>
      <vt:lpstr>v_37_XCASTO</vt:lpstr>
      <vt:lpstr>v_37_XE</vt:lpstr>
      <vt:lpstr>v_37_XE_ana</vt:lpstr>
      <vt:lpstr>v_37_XGLY</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v_37_XINORG</vt:lpstr>
      <vt:lpstr>v_37_XMEOLO</vt:lpstr>
      <vt:lpstr>v_37_XN_B</vt:lpstr>
      <vt:lpstr>v_37_XN_U</vt:lpstr>
      <vt:lpstr>v_37_XNOB</vt:lpstr>
      <vt:lpstr>v_37_XOHO</vt:lpstr>
      <vt:lpstr>v_37_XP_B</vt:lpstr>
      <vt:lpstr>v_37_XP_U</vt:lpstr>
      <vt:lpstr>v_37_XPHA</vt:lpstr>
      <vt:lpstr>v_37_XPP</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v_38_GN2</vt:lpstr>
      <vt:lpstr>v_38_GN2_atm</vt:lpstr>
      <vt:lpstr>v_38_GNH3</vt:lpstr>
      <vt:lpstr>v_38_GNH3_atm</vt:lpstr>
      <vt:lpstr>v_38_GO2</vt:lpstr>
      <vt:lpstr>v_38_GO2_atm</vt:lpstr>
      <vt:lpstr>v_38_H</vt:lpstr>
      <vt:lpstr>v_38_SALPHA</vt:lpstr>
      <vt:lpstr>v_38_SAN</vt:lpstr>
      <vt:lpstr>v_38_SB</vt:lpstr>
      <vt:lpstr>v_38_SCa</vt:lpstr>
      <vt:lpstr>v_38_SCAT</vt:lpstr>
      <vt:lpstr>v_38_SCH4</vt:lpstr>
      <vt:lpstr>v_38_SCO2</vt:lpstr>
      <vt:lpstr>v_38_SFe2</vt:lpstr>
      <vt:lpstr>v_38_SH2</vt:lpstr>
      <vt:lpstr>v_38_SK</vt:lpstr>
      <vt:lpstr>v_38_SMEOL</vt:lpstr>
      <vt:lpstr>v_38_SMg</vt:lpstr>
      <vt:lpstr>v_38_SN_B</vt:lpstr>
      <vt:lpstr>v_38_SN2</vt:lpstr>
      <vt:lpstr>v_38_SNHx</vt:lpstr>
      <vt:lpstr>v_38_SNO2</vt:lpstr>
      <vt:lpstr>v_38_SNO3</vt:lpstr>
      <vt:lpstr>v_38_SO2</vt:lpstr>
      <vt:lpstr>v_38_SORPswitch</vt:lpstr>
      <vt:lpstr>v_38_SP_B</vt:lpstr>
      <vt:lpstr>v_38_SPO4</vt:lpstr>
      <vt:lpstr>v_38_SU</vt:lpstr>
      <vt:lpstr>v_38_SVFA</vt:lpstr>
      <vt:lpstr>v_38_XACP</vt:lpstr>
      <vt:lpstr>v_38_XAMETO</vt:lpstr>
      <vt:lpstr>v_38_XAMX</vt:lpstr>
      <vt:lpstr>v_38_XAOB</vt:lpstr>
      <vt:lpstr>v_38_XB</vt:lpstr>
      <vt:lpstr>v_38_XBSH</vt:lpstr>
      <vt:lpstr>v_38_XCaCO3</vt:lpstr>
      <vt:lpstr>v_38_XCASTO</vt:lpstr>
      <vt:lpstr>v_38_XE</vt:lpstr>
      <vt:lpstr>v_38_XE_ana</vt:lpstr>
      <vt:lpstr>v_38_XGLY</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v_38_XINORG</vt:lpstr>
      <vt:lpstr>v_38_XMEOLO</vt:lpstr>
      <vt:lpstr>v_38_XN_B</vt:lpstr>
      <vt:lpstr>v_38_XN_U</vt:lpstr>
      <vt:lpstr>v_38_XNOB</vt:lpstr>
      <vt:lpstr>v_38_XOHO</vt:lpstr>
      <vt:lpstr>v_38_XP_B</vt:lpstr>
      <vt:lpstr>v_38_XP_U</vt:lpstr>
      <vt:lpstr>v_38_XPHA</vt:lpstr>
      <vt:lpstr>v_38_XPP</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v_39_GN2</vt:lpstr>
      <vt:lpstr>v_39_GN2_atm</vt:lpstr>
      <vt:lpstr>v_39_GNH3</vt:lpstr>
      <vt:lpstr>v_39_GNH3_atm</vt:lpstr>
      <vt:lpstr>v_39_GO2</vt:lpstr>
      <vt:lpstr>v_39_GO2_atm</vt:lpstr>
      <vt:lpstr>v_39_H</vt:lpstr>
      <vt:lpstr>v_39_SALPHA</vt:lpstr>
      <vt:lpstr>v_39_SAN</vt:lpstr>
      <vt:lpstr>v_39_SB</vt:lpstr>
      <vt:lpstr>v_39_SCa</vt:lpstr>
      <vt:lpstr>v_39_SCAT</vt:lpstr>
      <vt:lpstr>v_39_SCH4</vt:lpstr>
      <vt:lpstr>v_39_SCO2</vt:lpstr>
      <vt:lpstr>v_39_SFe2</vt:lpstr>
      <vt:lpstr>v_39_SH2</vt:lpstr>
      <vt:lpstr>v_39_SK</vt:lpstr>
      <vt:lpstr>v_39_SMEOL</vt:lpstr>
      <vt:lpstr>v_39_SMg</vt:lpstr>
      <vt:lpstr>v_39_SN_B</vt:lpstr>
      <vt:lpstr>v_39_SN2</vt:lpstr>
      <vt:lpstr>v_39_SNHx</vt:lpstr>
      <vt:lpstr>v_39_SNO2</vt:lpstr>
      <vt:lpstr>v_39_SNO3</vt:lpstr>
      <vt:lpstr>v_39_SO2</vt:lpstr>
      <vt:lpstr>v_39_SORPswitch</vt:lpstr>
      <vt:lpstr>v_39_SP_B</vt:lpstr>
      <vt:lpstr>v_39_SPO4</vt:lpstr>
      <vt:lpstr>v_39_SU</vt:lpstr>
      <vt:lpstr>v_39_SVFA</vt:lpstr>
      <vt:lpstr>v_39_XACP</vt:lpstr>
      <vt:lpstr>v_39_XAMETO</vt:lpstr>
      <vt:lpstr>v_39_XAMX</vt:lpstr>
      <vt:lpstr>v_39_XAOB</vt:lpstr>
      <vt:lpstr>v_39_XB</vt:lpstr>
      <vt:lpstr>v_39_XBSH</vt:lpstr>
      <vt:lpstr>v_39_XCaCO3</vt:lpstr>
      <vt:lpstr>v_39_XCASTO</vt:lpstr>
      <vt:lpstr>v_39_XE</vt:lpstr>
      <vt:lpstr>v_39_XE_ana</vt:lpstr>
      <vt:lpstr>v_39_XGLY</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v_39_XINORG</vt:lpstr>
      <vt:lpstr>v_39_XMEOLO</vt:lpstr>
      <vt:lpstr>v_39_XN_B</vt:lpstr>
      <vt:lpstr>v_39_XN_U</vt:lpstr>
      <vt:lpstr>v_39_XNOB</vt:lpstr>
      <vt:lpstr>v_39_XOHO</vt:lpstr>
      <vt:lpstr>v_39_XP_B</vt:lpstr>
      <vt:lpstr>v_39_XP_U</vt:lpstr>
      <vt:lpstr>v_39_XPHA</vt:lpstr>
      <vt:lpstr>v_39_XPP</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v_4_GN2</vt:lpstr>
      <vt:lpstr>v_4_GN2_atm</vt:lpstr>
      <vt:lpstr>v_4_GNH3</vt:lpstr>
      <vt:lpstr>v_4_GNH3_atm</vt:lpstr>
      <vt:lpstr>v_4_GO2</vt:lpstr>
      <vt:lpstr>v_4_GO2_atm</vt:lpstr>
      <vt:lpstr>v_4_H</vt:lpstr>
      <vt:lpstr>v_4_SALPHA</vt:lpstr>
      <vt:lpstr>v_4_SAN</vt:lpstr>
      <vt:lpstr>v_4_SB</vt:lpstr>
      <vt:lpstr>v_4_SCa</vt:lpstr>
      <vt:lpstr>v_4_SCAT</vt:lpstr>
      <vt:lpstr>v_4_SCH4</vt:lpstr>
      <vt:lpstr>v_4_SCO2</vt:lpstr>
      <vt:lpstr>v_4_SFe2</vt:lpstr>
      <vt:lpstr>v_4_SH2</vt:lpstr>
      <vt:lpstr>v_4_SK</vt:lpstr>
      <vt:lpstr>v_4_SMEOL</vt:lpstr>
      <vt:lpstr>v_4_SMg</vt:lpstr>
      <vt:lpstr>v_4_SN_B</vt:lpstr>
      <vt:lpstr>v_4_SN2</vt:lpstr>
      <vt:lpstr>v_4_SNHx</vt:lpstr>
      <vt:lpstr>v_4_SNO2</vt:lpstr>
      <vt:lpstr>v_4_SNO3</vt:lpstr>
      <vt:lpstr>v_4_SO2</vt:lpstr>
      <vt:lpstr>v_4_SORPswitch</vt:lpstr>
      <vt:lpstr>v_4_SP_B</vt:lpstr>
      <vt:lpstr>v_4_SPO4</vt:lpstr>
      <vt:lpstr>v_4_SU</vt:lpstr>
      <vt:lpstr>v_4_SVFA</vt:lpstr>
      <vt:lpstr>v_4_XACP</vt:lpstr>
      <vt:lpstr>v_4_XAMETO</vt:lpstr>
      <vt:lpstr>v_4_XAMX</vt:lpstr>
      <vt:lpstr>v_4_XAOB</vt:lpstr>
      <vt:lpstr>v_4_XB</vt:lpstr>
      <vt:lpstr>v_4_XBSH</vt:lpstr>
      <vt:lpstr>v_4_XCaCO3</vt:lpstr>
      <vt:lpstr>v_4_XCASTO</vt:lpstr>
      <vt:lpstr>v_4_XE</vt:lpstr>
      <vt:lpstr>v_4_XE_ana</vt:lpstr>
      <vt:lpstr>v_4_XGLY</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v_4_XINORG</vt:lpstr>
      <vt:lpstr>v_4_XMEOLO</vt:lpstr>
      <vt:lpstr>v_4_XN_B</vt:lpstr>
      <vt:lpstr>v_4_XN_U</vt:lpstr>
      <vt:lpstr>v_4_XNOB</vt:lpstr>
      <vt:lpstr>v_4_XOHO</vt:lpstr>
      <vt:lpstr>v_4_XP_B</vt:lpstr>
      <vt:lpstr>v_4_XP_U</vt:lpstr>
      <vt:lpstr>v_4_XPHA</vt:lpstr>
      <vt:lpstr>v_4_XPP</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v_40_GN2</vt:lpstr>
      <vt:lpstr>v_40_GN2_atm</vt:lpstr>
      <vt:lpstr>v_40_GNH3</vt:lpstr>
      <vt:lpstr>v_40_GNH3_atm</vt:lpstr>
      <vt:lpstr>v_40_GO2</vt:lpstr>
      <vt:lpstr>v_40_GO2_atm</vt:lpstr>
      <vt:lpstr>v_40_H</vt:lpstr>
      <vt:lpstr>v_40_SALPHA</vt:lpstr>
      <vt:lpstr>v_40_SAN</vt:lpstr>
      <vt:lpstr>v_40_SB</vt:lpstr>
      <vt:lpstr>v_40_SCa</vt:lpstr>
      <vt:lpstr>v_40_SCAT</vt:lpstr>
      <vt:lpstr>v_40_SCH4</vt:lpstr>
      <vt:lpstr>v_40_SCO2</vt:lpstr>
      <vt:lpstr>v_40_SFe2</vt:lpstr>
      <vt:lpstr>v_40_SH2</vt:lpstr>
      <vt:lpstr>v_40_SK</vt:lpstr>
      <vt:lpstr>v_40_SMEOL</vt:lpstr>
      <vt:lpstr>v_40_SMg</vt:lpstr>
      <vt:lpstr>v_40_SN_B</vt:lpstr>
      <vt:lpstr>v_40_SN2</vt:lpstr>
      <vt:lpstr>v_40_SNHx</vt:lpstr>
      <vt:lpstr>v_40_SNO2</vt:lpstr>
      <vt:lpstr>v_40_SNO3</vt:lpstr>
      <vt:lpstr>v_40_SO2</vt:lpstr>
      <vt:lpstr>v_40_SORPswitch</vt:lpstr>
      <vt:lpstr>v_40_SP_B</vt:lpstr>
      <vt:lpstr>v_40_SPO4</vt:lpstr>
      <vt:lpstr>v_40_SU</vt:lpstr>
      <vt:lpstr>v_40_SVFA</vt:lpstr>
      <vt:lpstr>v_40_XACP</vt:lpstr>
      <vt:lpstr>v_40_XAMETO</vt:lpstr>
      <vt:lpstr>v_40_XAMX</vt:lpstr>
      <vt:lpstr>v_40_XAOB</vt:lpstr>
      <vt:lpstr>v_40_XB</vt:lpstr>
      <vt:lpstr>v_40_XBSH</vt:lpstr>
      <vt:lpstr>v_40_XCaCO3</vt:lpstr>
      <vt:lpstr>v_40_XCASTO</vt:lpstr>
      <vt:lpstr>v_40_XE</vt:lpstr>
      <vt:lpstr>v_40_XE_ana</vt:lpstr>
      <vt:lpstr>v_40_XGLY</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v_40_XINORG</vt:lpstr>
      <vt:lpstr>v_40_XMEOLO</vt:lpstr>
      <vt:lpstr>v_40_XN_B</vt:lpstr>
      <vt:lpstr>v_40_XN_U</vt:lpstr>
      <vt:lpstr>v_40_XNOB</vt:lpstr>
      <vt:lpstr>v_40_XOHO</vt:lpstr>
      <vt:lpstr>v_40_XP_B</vt:lpstr>
      <vt:lpstr>v_40_XP_U</vt:lpstr>
      <vt:lpstr>v_40_XPHA</vt:lpstr>
      <vt:lpstr>v_40_XPP</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v_41_GN2</vt:lpstr>
      <vt:lpstr>v_41_GN2_atm</vt:lpstr>
      <vt:lpstr>v_41_GNH3</vt:lpstr>
      <vt:lpstr>v_41_GNH3_atm</vt:lpstr>
      <vt:lpstr>v_41_GO2</vt:lpstr>
      <vt:lpstr>v_41_GO2_atm</vt:lpstr>
      <vt:lpstr>v_41_H</vt:lpstr>
      <vt:lpstr>v_41_SALPHA</vt:lpstr>
      <vt:lpstr>v_41_SAN</vt:lpstr>
      <vt:lpstr>v_41_SB</vt:lpstr>
      <vt:lpstr>v_41_SCa</vt:lpstr>
      <vt:lpstr>v_41_SCAT</vt:lpstr>
      <vt:lpstr>v_41_SCH4</vt:lpstr>
      <vt:lpstr>v_41_SCO2</vt:lpstr>
      <vt:lpstr>v_41_SFe2</vt:lpstr>
      <vt:lpstr>v_41_SH2</vt:lpstr>
      <vt:lpstr>v_41_SK</vt:lpstr>
      <vt:lpstr>v_41_SMEOL</vt:lpstr>
      <vt:lpstr>v_41_SMg</vt:lpstr>
      <vt:lpstr>v_41_SN_B</vt:lpstr>
      <vt:lpstr>v_41_SN2</vt:lpstr>
      <vt:lpstr>v_41_SNHx</vt:lpstr>
      <vt:lpstr>v_41_SNO2</vt:lpstr>
      <vt:lpstr>v_41_SNO3</vt:lpstr>
      <vt:lpstr>v_41_SO2</vt:lpstr>
      <vt:lpstr>v_41_SORPswitch</vt:lpstr>
      <vt:lpstr>v_41_SP_B</vt:lpstr>
      <vt:lpstr>v_41_SPO4</vt:lpstr>
      <vt:lpstr>v_41_SU</vt:lpstr>
      <vt:lpstr>v_41_SVFA</vt:lpstr>
      <vt:lpstr>v_41_XACP</vt:lpstr>
      <vt:lpstr>v_41_XAMETO</vt:lpstr>
      <vt:lpstr>v_41_XAMX</vt:lpstr>
      <vt:lpstr>v_41_XAOB</vt:lpstr>
      <vt:lpstr>v_41_XB</vt:lpstr>
      <vt:lpstr>v_41_XBSH</vt:lpstr>
      <vt:lpstr>v_41_XCaCO3</vt:lpstr>
      <vt:lpstr>v_41_XCASTO</vt:lpstr>
      <vt:lpstr>v_41_XE</vt:lpstr>
      <vt:lpstr>v_41_XE_ana</vt:lpstr>
      <vt:lpstr>v_41_XGLY</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v_41_XINORG</vt:lpstr>
      <vt:lpstr>v_41_XMEOLO</vt:lpstr>
      <vt:lpstr>v_41_XN_B</vt:lpstr>
      <vt:lpstr>v_41_XN_U</vt:lpstr>
      <vt:lpstr>v_41_XNOB</vt:lpstr>
      <vt:lpstr>v_41_XOHO</vt:lpstr>
      <vt:lpstr>v_41_XP_B</vt:lpstr>
      <vt:lpstr>v_41_XP_U</vt:lpstr>
      <vt:lpstr>v_41_XPHA</vt:lpstr>
      <vt:lpstr>v_41_XPP</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v_42_GN2</vt:lpstr>
      <vt:lpstr>v_42_GN2_atm</vt:lpstr>
      <vt:lpstr>v_42_GNH3</vt:lpstr>
      <vt:lpstr>v_42_GNH3_atm</vt:lpstr>
      <vt:lpstr>v_42_GO2</vt:lpstr>
      <vt:lpstr>v_42_GO2_atm</vt:lpstr>
      <vt:lpstr>v_42_H</vt:lpstr>
      <vt:lpstr>v_42_SALPHA</vt:lpstr>
      <vt:lpstr>v_42_SAN</vt:lpstr>
      <vt:lpstr>v_42_SB</vt:lpstr>
      <vt:lpstr>v_42_SCa</vt:lpstr>
      <vt:lpstr>v_42_SCAT</vt:lpstr>
      <vt:lpstr>v_42_SCH4</vt:lpstr>
      <vt:lpstr>v_42_SCO2</vt:lpstr>
      <vt:lpstr>v_42_SFe2</vt:lpstr>
      <vt:lpstr>v_42_SH2</vt:lpstr>
      <vt:lpstr>v_42_SK</vt:lpstr>
      <vt:lpstr>v_42_SMEOL</vt:lpstr>
      <vt:lpstr>v_42_SMg</vt:lpstr>
      <vt:lpstr>v_42_SN_B</vt:lpstr>
      <vt:lpstr>v_42_SN2</vt:lpstr>
      <vt:lpstr>v_42_SNHx</vt:lpstr>
      <vt:lpstr>v_42_SNO2</vt:lpstr>
      <vt:lpstr>v_42_SNO3</vt:lpstr>
      <vt:lpstr>v_42_SO2</vt:lpstr>
      <vt:lpstr>v_42_SORPswitch</vt:lpstr>
      <vt:lpstr>v_42_SP_B</vt:lpstr>
      <vt:lpstr>v_42_SPO4</vt:lpstr>
      <vt:lpstr>v_42_SU</vt:lpstr>
      <vt:lpstr>v_42_SVFA</vt:lpstr>
      <vt:lpstr>v_42_XACP</vt:lpstr>
      <vt:lpstr>v_42_XAMETO</vt:lpstr>
      <vt:lpstr>v_42_XAMX</vt:lpstr>
      <vt:lpstr>v_42_XAOB</vt:lpstr>
      <vt:lpstr>v_42_XB</vt:lpstr>
      <vt:lpstr>v_42_XBSH</vt:lpstr>
      <vt:lpstr>v_42_XCaCO3</vt:lpstr>
      <vt:lpstr>v_42_XCASTO</vt:lpstr>
      <vt:lpstr>v_42_XE</vt:lpstr>
      <vt:lpstr>v_42_XE_ana</vt:lpstr>
      <vt:lpstr>v_42_XGLY</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v_42_XINORG</vt:lpstr>
      <vt:lpstr>v_42_XMEOLO</vt:lpstr>
      <vt:lpstr>v_42_XN_B</vt:lpstr>
      <vt:lpstr>v_42_XN_U</vt:lpstr>
      <vt:lpstr>v_42_XNOB</vt:lpstr>
      <vt:lpstr>v_42_XOHO</vt:lpstr>
      <vt:lpstr>v_42_XP_B</vt:lpstr>
      <vt:lpstr>v_42_XP_U</vt:lpstr>
      <vt:lpstr>v_42_XPHA</vt:lpstr>
      <vt:lpstr>v_42_XPP</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v_43_GN2</vt:lpstr>
      <vt:lpstr>v_43_GN2_atm</vt:lpstr>
      <vt:lpstr>v_43_GNH3</vt:lpstr>
      <vt:lpstr>v_43_GNH3_atm</vt:lpstr>
      <vt:lpstr>v_43_GO2</vt:lpstr>
      <vt:lpstr>v_43_GO2_atm</vt:lpstr>
      <vt:lpstr>v_43_H</vt:lpstr>
      <vt:lpstr>v_43_SALPHA</vt:lpstr>
      <vt:lpstr>v_43_SAN</vt:lpstr>
      <vt:lpstr>v_43_SB</vt:lpstr>
      <vt:lpstr>v_43_SCa</vt:lpstr>
      <vt:lpstr>v_43_SCAT</vt:lpstr>
      <vt:lpstr>v_43_SCH4</vt:lpstr>
      <vt:lpstr>v_43_SCO2</vt:lpstr>
      <vt:lpstr>v_43_SFe2</vt:lpstr>
      <vt:lpstr>v_43_SH2</vt:lpstr>
      <vt:lpstr>v_43_SK</vt:lpstr>
      <vt:lpstr>v_43_SMEOL</vt:lpstr>
      <vt:lpstr>v_43_SMg</vt:lpstr>
      <vt:lpstr>v_43_SN_B</vt:lpstr>
      <vt:lpstr>v_43_SN2</vt:lpstr>
      <vt:lpstr>v_43_SNHx</vt:lpstr>
      <vt:lpstr>v_43_SNO2</vt:lpstr>
      <vt:lpstr>v_43_SNO3</vt:lpstr>
      <vt:lpstr>v_43_SO2</vt:lpstr>
      <vt:lpstr>v_43_SORPswitch</vt:lpstr>
      <vt:lpstr>v_43_SP_B</vt:lpstr>
      <vt:lpstr>v_43_SPO4</vt:lpstr>
      <vt:lpstr>v_43_SU</vt:lpstr>
      <vt:lpstr>v_43_SVFA</vt:lpstr>
      <vt:lpstr>v_43_XACP</vt:lpstr>
      <vt:lpstr>v_43_XAMETO</vt:lpstr>
      <vt:lpstr>v_43_XAMX</vt:lpstr>
      <vt:lpstr>v_43_XAOB</vt:lpstr>
      <vt:lpstr>v_43_XB</vt:lpstr>
      <vt:lpstr>v_43_XBSH</vt:lpstr>
      <vt:lpstr>v_43_XCaCO3</vt:lpstr>
      <vt:lpstr>v_43_XCASTO</vt:lpstr>
      <vt:lpstr>v_43_XE</vt:lpstr>
      <vt:lpstr>v_43_XE_ana</vt:lpstr>
      <vt:lpstr>v_43_XGLY</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v_43_XINORG</vt:lpstr>
      <vt:lpstr>v_43_XMEOLO</vt:lpstr>
      <vt:lpstr>v_43_XN_B</vt:lpstr>
      <vt:lpstr>v_43_XN_U</vt:lpstr>
      <vt:lpstr>v_43_XNOB</vt:lpstr>
      <vt:lpstr>v_43_XOHO</vt:lpstr>
      <vt:lpstr>v_43_XP_B</vt:lpstr>
      <vt:lpstr>v_43_XP_U</vt:lpstr>
      <vt:lpstr>v_43_XPHA</vt:lpstr>
      <vt:lpstr>v_43_XPP</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v_44_GN2</vt:lpstr>
      <vt:lpstr>v_44_GN2_atm</vt:lpstr>
      <vt:lpstr>v_44_GNH3</vt:lpstr>
      <vt:lpstr>v_44_GNH3_atm</vt:lpstr>
      <vt:lpstr>v_44_GO2</vt:lpstr>
      <vt:lpstr>v_44_GO2_atm</vt:lpstr>
      <vt:lpstr>v_44_H</vt:lpstr>
      <vt:lpstr>v_44_SALPHA</vt:lpstr>
      <vt:lpstr>v_44_SAN</vt:lpstr>
      <vt:lpstr>v_44_SB</vt:lpstr>
      <vt:lpstr>v_44_SCa</vt:lpstr>
      <vt:lpstr>v_44_SCAT</vt:lpstr>
      <vt:lpstr>v_44_SCH4</vt:lpstr>
      <vt:lpstr>v_44_SCO2</vt:lpstr>
      <vt:lpstr>v_44_SFe2</vt:lpstr>
      <vt:lpstr>v_44_SH2</vt:lpstr>
      <vt:lpstr>v_44_SK</vt:lpstr>
      <vt:lpstr>v_44_SMEOL</vt:lpstr>
      <vt:lpstr>v_44_SMg</vt:lpstr>
      <vt:lpstr>v_44_SN_B</vt:lpstr>
      <vt:lpstr>v_44_SN2</vt:lpstr>
      <vt:lpstr>v_44_SNHx</vt:lpstr>
      <vt:lpstr>v_44_SNO2</vt:lpstr>
      <vt:lpstr>v_44_SNO3</vt:lpstr>
      <vt:lpstr>v_44_SO2</vt:lpstr>
      <vt:lpstr>v_44_SORPswitch</vt:lpstr>
      <vt:lpstr>v_44_SP_B</vt:lpstr>
      <vt:lpstr>v_44_SPO4</vt:lpstr>
      <vt:lpstr>v_44_SU</vt:lpstr>
      <vt:lpstr>v_44_SVFA</vt:lpstr>
      <vt:lpstr>v_44_XACP</vt:lpstr>
      <vt:lpstr>v_44_XAMETO</vt:lpstr>
      <vt:lpstr>v_44_XAMX</vt:lpstr>
      <vt:lpstr>v_44_XAOB</vt:lpstr>
      <vt:lpstr>v_44_XB</vt:lpstr>
      <vt:lpstr>v_44_XBSH</vt:lpstr>
      <vt:lpstr>v_44_XCaCO3</vt:lpstr>
      <vt:lpstr>v_44_XCASTO</vt:lpstr>
      <vt:lpstr>v_44_XE</vt:lpstr>
      <vt:lpstr>v_44_XE_ana</vt:lpstr>
      <vt:lpstr>v_44_XGLY</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v_44_XINORG</vt:lpstr>
      <vt:lpstr>v_44_XMEOLO</vt:lpstr>
      <vt:lpstr>v_44_XN_B</vt:lpstr>
      <vt:lpstr>v_44_XN_U</vt:lpstr>
      <vt:lpstr>v_44_XNOB</vt:lpstr>
      <vt:lpstr>v_44_XOHO</vt:lpstr>
      <vt:lpstr>v_44_XP_B</vt:lpstr>
      <vt:lpstr>v_44_XP_U</vt:lpstr>
      <vt:lpstr>v_44_XPHA</vt:lpstr>
      <vt:lpstr>v_44_XPP</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v_45_GN2</vt:lpstr>
      <vt:lpstr>v_45_GN2_atm</vt:lpstr>
      <vt:lpstr>v_45_GNH3</vt:lpstr>
      <vt:lpstr>v_45_GNH3_atm</vt:lpstr>
      <vt:lpstr>v_45_GO2</vt:lpstr>
      <vt:lpstr>v_45_GO2_atm</vt:lpstr>
      <vt:lpstr>v_45_H</vt:lpstr>
      <vt:lpstr>v_45_SALPHA</vt:lpstr>
      <vt:lpstr>v_45_SAN</vt:lpstr>
      <vt:lpstr>v_45_SB</vt:lpstr>
      <vt:lpstr>v_45_SCa</vt:lpstr>
      <vt:lpstr>v_45_SCAT</vt:lpstr>
      <vt:lpstr>v_45_SCH4</vt:lpstr>
      <vt:lpstr>v_45_SCO2</vt:lpstr>
      <vt:lpstr>v_45_SFe2</vt:lpstr>
      <vt:lpstr>v_45_SH2</vt:lpstr>
      <vt:lpstr>v_45_SK</vt:lpstr>
      <vt:lpstr>v_45_SMEOL</vt:lpstr>
      <vt:lpstr>v_45_SMg</vt:lpstr>
      <vt:lpstr>v_45_SN_B</vt:lpstr>
      <vt:lpstr>v_45_SN2</vt:lpstr>
      <vt:lpstr>v_45_SNHx</vt:lpstr>
      <vt:lpstr>v_45_SNO2</vt:lpstr>
      <vt:lpstr>v_45_SNO3</vt:lpstr>
      <vt:lpstr>v_45_SO2</vt:lpstr>
      <vt:lpstr>v_45_SORPswitch</vt:lpstr>
      <vt:lpstr>v_45_SP_B</vt:lpstr>
      <vt:lpstr>v_45_SPO4</vt:lpstr>
      <vt:lpstr>v_45_SU</vt:lpstr>
      <vt:lpstr>v_45_SVFA</vt:lpstr>
      <vt:lpstr>v_45_XACP</vt:lpstr>
      <vt:lpstr>v_45_XAMETO</vt:lpstr>
      <vt:lpstr>v_45_XAMX</vt:lpstr>
      <vt:lpstr>v_45_XAOB</vt:lpstr>
      <vt:lpstr>v_45_XB</vt:lpstr>
      <vt:lpstr>v_45_XBSH</vt:lpstr>
      <vt:lpstr>v_45_XCaCO3</vt:lpstr>
      <vt:lpstr>v_45_XCASTO</vt:lpstr>
      <vt:lpstr>v_45_XE</vt:lpstr>
      <vt:lpstr>v_45_XE_ana</vt:lpstr>
      <vt:lpstr>v_45_XGLY</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v_45_XINORG</vt:lpstr>
      <vt:lpstr>v_45_XMEOLO</vt:lpstr>
      <vt:lpstr>v_45_XN_B</vt:lpstr>
      <vt:lpstr>v_45_XN_U</vt:lpstr>
      <vt:lpstr>v_45_XNOB</vt:lpstr>
      <vt:lpstr>v_45_XOHO</vt:lpstr>
      <vt:lpstr>v_45_XP_B</vt:lpstr>
      <vt:lpstr>v_45_XP_U</vt:lpstr>
      <vt:lpstr>v_45_XPHA</vt:lpstr>
      <vt:lpstr>v_45_XPP</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v_46_GN2</vt:lpstr>
      <vt:lpstr>v_46_GN2_atm</vt:lpstr>
      <vt:lpstr>v_46_GNH3</vt:lpstr>
      <vt:lpstr>v_46_GNH3_atm</vt:lpstr>
      <vt:lpstr>v_46_GO2</vt:lpstr>
      <vt:lpstr>v_46_GO2_atm</vt:lpstr>
      <vt:lpstr>v_46_H</vt:lpstr>
      <vt:lpstr>v_46_SALPHA</vt:lpstr>
      <vt:lpstr>v_46_SAN</vt:lpstr>
      <vt:lpstr>v_46_SB</vt:lpstr>
      <vt:lpstr>v_46_SCa</vt:lpstr>
      <vt:lpstr>v_46_SCAT</vt:lpstr>
      <vt:lpstr>v_46_SCH4</vt:lpstr>
      <vt:lpstr>v_46_SCO2</vt:lpstr>
      <vt:lpstr>v_46_SFe2</vt:lpstr>
      <vt:lpstr>v_46_SH2</vt:lpstr>
      <vt:lpstr>v_46_SK</vt:lpstr>
      <vt:lpstr>v_46_SMEOL</vt:lpstr>
      <vt:lpstr>v_46_SMg</vt:lpstr>
      <vt:lpstr>v_46_SN_B</vt:lpstr>
      <vt:lpstr>v_46_SN2</vt:lpstr>
      <vt:lpstr>v_46_SNHx</vt:lpstr>
      <vt:lpstr>v_46_SNO2</vt:lpstr>
      <vt:lpstr>v_46_SNO3</vt:lpstr>
      <vt:lpstr>v_46_SO2</vt:lpstr>
      <vt:lpstr>v_46_SORPswitch</vt:lpstr>
      <vt:lpstr>v_46_SP_B</vt:lpstr>
      <vt:lpstr>v_46_SPO4</vt:lpstr>
      <vt:lpstr>v_46_SU</vt:lpstr>
      <vt:lpstr>v_46_SVFA</vt:lpstr>
      <vt:lpstr>v_46_XACP</vt:lpstr>
      <vt:lpstr>v_46_XAMETO</vt:lpstr>
      <vt:lpstr>v_46_XAMX</vt:lpstr>
      <vt:lpstr>v_46_XAOB</vt:lpstr>
      <vt:lpstr>v_46_XB</vt:lpstr>
      <vt:lpstr>v_46_XBSH</vt:lpstr>
      <vt:lpstr>v_46_XCaCO3</vt:lpstr>
      <vt:lpstr>v_46_XCASTO</vt:lpstr>
      <vt:lpstr>v_46_XE</vt:lpstr>
      <vt:lpstr>v_46_XE_ana</vt:lpstr>
      <vt:lpstr>v_46_XGLY</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v_46_XINORG</vt:lpstr>
      <vt:lpstr>v_46_XMEOLO</vt:lpstr>
      <vt:lpstr>v_46_XN_B</vt:lpstr>
      <vt:lpstr>v_46_XN_U</vt:lpstr>
      <vt:lpstr>v_46_XNOB</vt:lpstr>
      <vt:lpstr>v_46_XOHO</vt:lpstr>
      <vt:lpstr>v_46_XP_B</vt:lpstr>
      <vt:lpstr>v_46_XP_U</vt:lpstr>
      <vt:lpstr>v_46_XPHA</vt:lpstr>
      <vt:lpstr>v_46_XPP</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v_47_GN2</vt:lpstr>
      <vt:lpstr>v_47_GN2_atm</vt:lpstr>
      <vt:lpstr>v_47_GNH3</vt:lpstr>
      <vt:lpstr>v_47_GNH3_atm</vt:lpstr>
      <vt:lpstr>v_47_GO2</vt:lpstr>
      <vt:lpstr>v_47_GO2_atm</vt:lpstr>
      <vt:lpstr>v_47_H</vt:lpstr>
      <vt:lpstr>v_47_SALPHA</vt:lpstr>
      <vt:lpstr>v_47_SAN</vt:lpstr>
      <vt:lpstr>v_47_SB</vt:lpstr>
      <vt:lpstr>v_47_SCa</vt:lpstr>
      <vt:lpstr>v_47_SCAT</vt:lpstr>
      <vt:lpstr>v_47_SCH4</vt:lpstr>
      <vt:lpstr>v_47_SCO2</vt:lpstr>
      <vt:lpstr>v_47_SFe2</vt:lpstr>
      <vt:lpstr>v_47_SH2</vt:lpstr>
      <vt:lpstr>v_47_SK</vt:lpstr>
      <vt:lpstr>v_47_SMEOL</vt:lpstr>
      <vt:lpstr>v_47_SMg</vt:lpstr>
      <vt:lpstr>v_47_SN_B</vt:lpstr>
      <vt:lpstr>v_47_SN2</vt:lpstr>
      <vt:lpstr>v_47_SNHx</vt:lpstr>
      <vt:lpstr>v_47_SNO2</vt:lpstr>
      <vt:lpstr>v_47_SNO3</vt:lpstr>
      <vt:lpstr>v_47_SO2</vt:lpstr>
      <vt:lpstr>v_47_SORPswitch</vt:lpstr>
      <vt:lpstr>v_47_SP_B</vt:lpstr>
      <vt:lpstr>v_47_SPO4</vt:lpstr>
      <vt:lpstr>v_47_SU</vt:lpstr>
      <vt:lpstr>v_47_SVFA</vt:lpstr>
      <vt:lpstr>v_47_XACP</vt:lpstr>
      <vt:lpstr>v_47_XAMETO</vt:lpstr>
      <vt:lpstr>v_47_XAMX</vt:lpstr>
      <vt:lpstr>v_47_XAOB</vt:lpstr>
      <vt:lpstr>v_47_XB</vt:lpstr>
      <vt:lpstr>v_47_XBSH</vt:lpstr>
      <vt:lpstr>v_47_XCaCO3</vt:lpstr>
      <vt:lpstr>v_47_XCASTO</vt:lpstr>
      <vt:lpstr>v_47_XE</vt:lpstr>
      <vt:lpstr>v_47_XE_ana</vt:lpstr>
      <vt:lpstr>v_47_XGLY</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v_47_XINORG</vt:lpstr>
      <vt:lpstr>v_47_XMEOLO</vt:lpstr>
      <vt:lpstr>v_47_XN_B</vt:lpstr>
      <vt:lpstr>v_47_XN_U</vt:lpstr>
      <vt:lpstr>v_47_XNOB</vt:lpstr>
      <vt:lpstr>v_47_XOHO</vt:lpstr>
      <vt:lpstr>v_47_XP_B</vt:lpstr>
      <vt:lpstr>v_47_XP_U</vt:lpstr>
      <vt:lpstr>v_47_XPHA</vt:lpstr>
      <vt:lpstr>v_47_XPP</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v_48_GN2</vt:lpstr>
      <vt:lpstr>v_48_GN2_atm</vt:lpstr>
      <vt:lpstr>v_48_GNH3</vt:lpstr>
      <vt:lpstr>v_48_GNH3_atm</vt:lpstr>
      <vt:lpstr>v_48_GO2</vt:lpstr>
      <vt:lpstr>v_48_GO2_atm</vt:lpstr>
      <vt:lpstr>v_48_H</vt:lpstr>
      <vt:lpstr>v_48_SALPHA</vt:lpstr>
      <vt:lpstr>v_48_SAN</vt:lpstr>
      <vt:lpstr>v_48_SB</vt:lpstr>
      <vt:lpstr>v_48_SCa</vt:lpstr>
      <vt:lpstr>v_48_SCAT</vt:lpstr>
      <vt:lpstr>v_48_SCH4</vt:lpstr>
      <vt:lpstr>v_48_SCO2</vt:lpstr>
      <vt:lpstr>v_48_SFe2</vt:lpstr>
      <vt:lpstr>v_48_SH2</vt:lpstr>
      <vt:lpstr>v_48_SK</vt:lpstr>
      <vt:lpstr>v_48_SMEOL</vt:lpstr>
      <vt:lpstr>v_48_SMg</vt:lpstr>
      <vt:lpstr>v_48_SN_B</vt:lpstr>
      <vt:lpstr>v_48_SN2</vt:lpstr>
      <vt:lpstr>v_48_SNHx</vt:lpstr>
      <vt:lpstr>v_48_SNO2</vt:lpstr>
      <vt:lpstr>v_48_SNO3</vt:lpstr>
      <vt:lpstr>v_48_SO2</vt:lpstr>
      <vt:lpstr>v_48_SORPswitch</vt:lpstr>
      <vt:lpstr>v_48_SP_B</vt:lpstr>
      <vt:lpstr>v_48_SPO4</vt:lpstr>
      <vt:lpstr>v_48_SU</vt:lpstr>
      <vt:lpstr>v_48_SVFA</vt:lpstr>
      <vt:lpstr>v_48_XACP</vt:lpstr>
      <vt:lpstr>v_48_XAMETO</vt:lpstr>
      <vt:lpstr>v_48_XAMX</vt:lpstr>
      <vt:lpstr>v_48_XAOB</vt:lpstr>
      <vt:lpstr>v_48_XB</vt:lpstr>
      <vt:lpstr>v_48_XBSH</vt:lpstr>
      <vt:lpstr>v_48_XCaCO3</vt:lpstr>
      <vt:lpstr>v_48_XCASTO</vt:lpstr>
      <vt:lpstr>v_48_XE</vt:lpstr>
      <vt:lpstr>v_48_XE_ana</vt:lpstr>
      <vt:lpstr>v_48_XGLY</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v_48_XINORG</vt:lpstr>
      <vt:lpstr>v_48_XMEOLO</vt:lpstr>
      <vt:lpstr>v_48_XN_B</vt:lpstr>
      <vt:lpstr>v_48_XN_U</vt:lpstr>
      <vt:lpstr>v_48_XNOB</vt:lpstr>
      <vt:lpstr>v_48_XOHO</vt:lpstr>
      <vt:lpstr>v_48_XP_B</vt:lpstr>
      <vt:lpstr>v_48_XP_U</vt:lpstr>
      <vt:lpstr>v_48_XPHA</vt:lpstr>
      <vt:lpstr>v_48_XPP</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v_49_GN2</vt:lpstr>
      <vt:lpstr>v_49_GN2_atm</vt:lpstr>
      <vt:lpstr>v_49_GNH3</vt:lpstr>
      <vt:lpstr>v_49_GNH3_atm</vt:lpstr>
      <vt:lpstr>v_49_GO2</vt:lpstr>
      <vt:lpstr>v_49_GO2_atm</vt:lpstr>
      <vt:lpstr>v_49_H</vt:lpstr>
      <vt:lpstr>v_49_SALPHA</vt:lpstr>
      <vt:lpstr>v_49_SAN</vt:lpstr>
      <vt:lpstr>v_49_SB</vt:lpstr>
      <vt:lpstr>v_49_SCa</vt:lpstr>
      <vt:lpstr>v_49_SCAT</vt:lpstr>
      <vt:lpstr>v_49_SCH4</vt:lpstr>
      <vt:lpstr>v_49_SCO2</vt:lpstr>
      <vt:lpstr>v_49_SFe2</vt:lpstr>
      <vt:lpstr>v_49_SH2</vt:lpstr>
      <vt:lpstr>v_49_SK</vt:lpstr>
      <vt:lpstr>v_49_SMEOL</vt:lpstr>
      <vt:lpstr>v_49_SMg</vt:lpstr>
      <vt:lpstr>v_49_SN_B</vt:lpstr>
      <vt:lpstr>v_49_SN2</vt:lpstr>
      <vt:lpstr>v_49_SNHx</vt:lpstr>
      <vt:lpstr>v_49_SNO2</vt:lpstr>
      <vt:lpstr>v_49_SNO3</vt:lpstr>
      <vt:lpstr>v_49_SO2</vt:lpstr>
      <vt:lpstr>v_49_SORPswitch</vt:lpstr>
      <vt:lpstr>v_49_SP_B</vt:lpstr>
      <vt:lpstr>v_49_SPO4</vt:lpstr>
      <vt:lpstr>v_49_SU</vt:lpstr>
      <vt:lpstr>v_49_SVFA</vt:lpstr>
      <vt:lpstr>v_49_XACP</vt:lpstr>
      <vt:lpstr>v_49_XAMETO</vt:lpstr>
      <vt:lpstr>v_49_XAMX</vt:lpstr>
      <vt:lpstr>v_49_XAOB</vt:lpstr>
      <vt:lpstr>v_49_XB</vt:lpstr>
      <vt:lpstr>v_49_XBSH</vt:lpstr>
      <vt:lpstr>v_49_XCaCO3</vt:lpstr>
      <vt:lpstr>v_49_XCASTO</vt:lpstr>
      <vt:lpstr>v_49_XE</vt:lpstr>
      <vt:lpstr>v_49_XE_ana</vt:lpstr>
      <vt:lpstr>v_49_XGLY</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v_49_XINORG</vt:lpstr>
      <vt:lpstr>v_49_XMEOLO</vt:lpstr>
      <vt:lpstr>v_49_XN_B</vt:lpstr>
      <vt:lpstr>v_49_XN_U</vt:lpstr>
      <vt:lpstr>v_49_XNOB</vt:lpstr>
      <vt:lpstr>v_49_XOHO</vt:lpstr>
      <vt:lpstr>v_49_XP_B</vt:lpstr>
      <vt:lpstr>v_49_XP_U</vt:lpstr>
      <vt:lpstr>v_49_XPHA</vt:lpstr>
      <vt:lpstr>v_49_XPP</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v_5_GN2</vt:lpstr>
      <vt:lpstr>v_5_GN2_atm</vt:lpstr>
      <vt:lpstr>v_5_GNH3</vt:lpstr>
      <vt:lpstr>v_5_GNH3_atm</vt:lpstr>
      <vt:lpstr>v_5_GO2</vt:lpstr>
      <vt:lpstr>v_5_GO2_atm</vt:lpstr>
      <vt:lpstr>v_5_H</vt:lpstr>
      <vt:lpstr>v_5_SALPHA</vt:lpstr>
      <vt:lpstr>v_5_SAN</vt:lpstr>
      <vt:lpstr>v_5_SB</vt:lpstr>
      <vt:lpstr>v_5_SCa</vt:lpstr>
      <vt:lpstr>v_5_SCAT</vt:lpstr>
      <vt:lpstr>v_5_SCH4</vt:lpstr>
      <vt:lpstr>v_5_SCO2</vt:lpstr>
      <vt:lpstr>v_5_SFe2</vt:lpstr>
      <vt:lpstr>v_5_SH2</vt:lpstr>
      <vt:lpstr>v_5_SK</vt:lpstr>
      <vt:lpstr>v_5_SMEOL</vt:lpstr>
      <vt:lpstr>v_5_SMg</vt:lpstr>
      <vt:lpstr>v_5_SN_B</vt:lpstr>
      <vt:lpstr>v_5_SN2</vt:lpstr>
      <vt:lpstr>v_5_SNHx</vt:lpstr>
      <vt:lpstr>v_5_SNO2</vt:lpstr>
      <vt:lpstr>v_5_SNO3</vt:lpstr>
      <vt:lpstr>v_5_SO2</vt:lpstr>
      <vt:lpstr>v_5_SORPswitch</vt:lpstr>
      <vt:lpstr>v_5_SP_B</vt:lpstr>
      <vt:lpstr>v_5_SPO4</vt:lpstr>
      <vt:lpstr>v_5_SU</vt:lpstr>
      <vt:lpstr>v_5_SVFA</vt:lpstr>
      <vt:lpstr>v_5_XACP</vt:lpstr>
      <vt:lpstr>v_5_XAMETO</vt:lpstr>
      <vt:lpstr>v_5_XAMX</vt:lpstr>
      <vt:lpstr>v_5_XAOB</vt:lpstr>
      <vt:lpstr>v_5_XB</vt:lpstr>
      <vt:lpstr>v_5_XBSH</vt:lpstr>
      <vt:lpstr>v_5_XCaCO3</vt:lpstr>
      <vt:lpstr>v_5_XCASTO</vt:lpstr>
      <vt:lpstr>v_5_XE</vt:lpstr>
      <vt:lpstr>v_5_XE_ana</vt:lpstr>
      <vt:lpstr>v_5_XGLY</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v_5_XINORG</vt:lpstr>
      <vt:lpstr>v_5_XMEOLO</vt:lpstr>
      <vt:lpstr>v_5_XN_B</vt:lpstr>
      <vt:lpstr>v_5_XN_U</vt:lpstr>
      <vt:lpstr>v_5_XNOB</vt:lpstr>
      <vt:lpstr>v_5_XOHO</vt:lpstr>
      <vt:lpstr>v_5_XP_B</vt:lpstr>
      <vt:lpstr>v_5_XP_U</vt:lpstr>
      <vt:lpstr>v_5_XPHA</vt:lpstr>
      <vt:lpstr>v_5_XPP</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v_50_GN2</vt:lpstr>
      <vt:lpstr>v_50_GN2_atm</vt:lpstr>
      <vt:lpstr>v_50_GNH3</vt:lpstr>
      <vt:lpstr>v_50_GNH3_atm</vt:lpstr>
      <vt:lpstr>v_50_GO2</vt:lpstr>
      <vt:lpstr>v_50_GO2_atm</vt:lpstr>
      <vt:lpstr>v_50_H</vt:lpstr>
      <vt:lpstr>v_50_SALPHA</vt:lpstr>
      <vt:lpstr>v_50_SAN</vt:lpstr>
      <vt:lpstr>v_50_SB</vt:lpstr>
      <vt:lpstr>v_50_SCa</vt:lpstr>
      <vt:lpstr>v_50_SCAT</vt:lpstr>
      <vt:lpstr>v_50_SCH4</vt:lpstr>
      <vt:lpstr>v_50_SCO2</vt:lpstr>
      <vt:lpstr>v_50_SFe2</vt:lpstr>
      <vt:lpstr>v_50_SH2</vt:lpstr>
      <vt:lpstr>v_50_SK</vt:lpstr>
      <vt:lpstr>v_50_SMEOL</vt:lpstr>
      <vt:lpstr>v_50_SMg</vt:lpstr>
      <vt:lpstr>v_50_SN_B</vt:lpstr>
      <vt:lpstr>v_50_SN2</vt:lpstr>
      <vt:lpstr>v_50_SNHx</vt:lpstr>
      <vt:lpstr>v_50_SNO2</vt:lpstr>
      <vt:lpstr>v_50_SNO3</vt:lpstr>
      <vt:lpstr>v_50_SO2</vt:lpstr>
      <vt:lpstr>v_50_SORPswitch</vt:lpstr>
      <vt:lpstr>v_50_SP_B</vt:lpstr>
      <vt:lpstr>v_50_SPO4</vt:lpstr>
      <vt:lpstr>v_50_SU</vt:lpstr>
      <vt:lpstr>v_50_SVFA</vt:lpstr>
      <vt:lpstr>v_50_XACP</vt:lpstr>
      <vt:lpstr>v_50_XAMETO</vt:lpstr>
      <vt:lpstr>v_50_XAMX</vt:lpstr>
      <vt:lpstr>v_50_XAOB</vt:lpstr>
      <vt:lpstr>v_50_XB</vt:lpstr>
      <vt:lpstr>v_50_XBSH</vt:lpstr>
      <vt:lpstr>v_50_XCaCO3</vt:lpstr>
      <vt:lpstr>v_50_XCASTO</vt:lpstr>
      <vt:lpstr>v_50_XE</vt:lpstr>
      <vt:lpstr>v_50_XE_ana</vt:lpstr>
      <vt:lpstr>v_50_XGLY</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v_50_XINORG</vt:lpstr>
      <vt:lpstr>v_50_XMEOLO</vt:lpstr>
      <vt:lpstr>v_50_XN_B</vt:lpstr>
      <vt:lpstr>v_50_XN_U</vt:lpstr>
      <vt:lpstr>v_50_XNOB</vt:lpstr>
      <vt:lpstr>v_50_XOHO</vt:lpstr>
      <vt:lpstr>v_50_XP_B</vt:lpstr>
      <vt:lpstr>v_50_XP_U</vt:lpstr>
      <vt:lpstr>v_50_XPHA</vt:lpstr>
      <vt:lpstr>v_50_XPP</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v_51_GN2</vt:lpstr>
      <vt:lpstr>v_51_GN2_atm</vt:lpstr>
      <vt:lpstr>v_51_GNH3</vt:lpstr>
      <vt:lpstr>v_51_GNH3_atm</vt:lpstr>
      <vt:lpstr>v_51_GO2</vt:lpstr>
      <vt:lpstr>v_51_GO2_atm</vt:lpstr>
      <vt:lpstr>v_51_H</vt:lpstr>
      <vt:lpstr>v_51_SALPHA</vt:lpstr>
      <vt:lpstr>v_51_SAN</vt:lpstr>
      <vt:lpstr>v_51_SB</vt:lpstr>
      <vt:lpstr>v_51_SCa</vt:lpstr>
      <vt:lpstr>v_51_SCAT</vt:lpstr>
      <vt:lpstr>v_51_SCH4</vt:lpstr>
      <vt:lpstr>v_51_SCO2</vt:lpstr>
      <vt:lpstr>v_51_SFe2</vt:lpstr>
      <vt:lpstr>v_51_SH2</vt:lpstr>
      <vt:lpstr>v_51_SK</vt:lpstr>
      <vt:lpstr>v_51_SMEOL</vt:lpstr>
      <vt:lpstr>v_51_SMg</vt:lpstr>
      <vt:lpstr>v_51_SN_B</vt:lpstr>
      <vt:lpstr>v_51_SN2</vt:lpstr>
      <vt:lpstr>v_51_SNHx</vt:lpstr>
      <vt:lpstr>v_51_SNO2</vt:lpstr>
      <vt:lpstr>v_51_SNO3</vt:lpstr>
      <vt:lpstr>v_51_SO2</vt:lpstr>
      <vt:lpstr>v_51_SORPswitch</vt:lpstr>
      <vt:lpstr>v_51_SP_B</vt:lpstr>
      <vt:lpstr>v_51_SPO4</vt:lpstr>
      <vt:lpstr>v_51_SU</vt:lpstr>
      <vt:lpstr>v_51_SVFA</vt:lpstr>
      <vt:lpstr>v_51_XACP</vt:lpstr>
      <vt:lpstr>v_51_XAMETO</vt:lpstr>
      <vt:lpstr>v_51_XAMX</vt:lpstr>
      <vt:lpstr>v_51_XAOB</vt:lpstr>
      <vt:lpstr>v_51_XB</vt:lpstr>
      <vt:lpstr>v_51_XBSH</vt:lpstr>
      <vt:lpstr>v_51_XCaCO3</vt:lpstr>
      <vt:lpstr>v_51_XCASTO</vt:lpstr>
      <vt:lpstr>v_51_XE</vt:lpstr>
      <vt:lpstr>v_51_XE_ana</vt:lpstr>
      <vt:lpstr>v_51_XGLY</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v_51_XINORG</vt:lpstr>
      <vt:lpstr>v_51_XMEOLO</vt:lpstr>
      <vt:lpstr>v_51_XN_B</vt:lpstr>
      <vt:lpstr>v_51_XN_U</vt:lpstr>
      <vt:lpstr>v_51_XNOB</vt:lpstr>
      <vt:lpstr>v_51_XOHO</vt:lpstr>
      <vt:lpstr>v_51_XP_B</vt:lpstr>
      <vt:lpstr>v_51_XP_U</vt:lpstr>
      <vt:lpstr>v_51_XPHA</vt:lpstr>
      <vt:lpstr>v_51_XPP</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v_52_GN2</vt:lpstr>
      <vt:lpstr>v_52_GN2_atm</vt:lpstr>
      <vt:lpstr>v_52_GNH3</vt:lpstr>
      <vt:lpstr>v_52_GNH3_atm</vt:lpstr>
      <vt:lpstr>v_52_GO2</vt:lpstr>
      <vt:lpstr>v_52_GO2_atm</vt:lpstr>
      <vt:lpstr>v_52_H</vt:lpstr>
      <vt:lpstr>v_52_SALPHA</vt:lpstr>
      <vt:lpstr>v_52_SAN</vt:lpstr>
      <vt:lpstr>v_52_SB</vt:lpstr>
      <vt:lpstr>v_52_SCa</vt:lpstr>
      <vt:lpstr>v_52_SCAT</vt:lpstr>
      <vt:lpstr>v_52_SCH4</vt:lpstr>
      <vt:lpstr>v_52_SCO2</vt:lpstr>
      <vt:lpstr>v_52_SFe2</vt:lpstr>
      <vt:lpstr>v_52_SH2</vt:lpstr>
      <vt:lpstr>v_52_SK</vt:lpstr>
      <vt:lpstr>v_52_SMEOL</vt:lpstr>
      <vt:lpstr>v_52_SMg</vt:lpstr>
      <vt:lpstr>v_52_SN_B</vt:lpstr>
      <vt:lpstr>v_52_SN2</vt:lpstr>
      <vt:lpstr>v_52_SNHx</vt:lpstr>
      <vt:lpstr>v_52_SNO2</vt:lpstr>
      <vt:lpstr>v_52_SNO3</vt:lpstr>
      <vt:lpstr>v_52_SO2</vt:lpstr>
      <vt:lpstr>v_52_SORPswitch</vt:lpstr>
      <vt:lpstr>v_52_SP_B</vt:lpstr>
      <vt:lpstr>v_52_SPO4</vt:lpstr>
      <vt:lpstr>v_52_SU</vt:lpstr>
      <vt:lpstr>v_52_SVFA</vt:lpstr>
      <vt:lpstr>v_52_XACP</vt:lpstr>
      <vt:lpstr>v_52_XAMETO</vt:lpstr>
      <vt:lpstr>v_52_XAMX</vt:lpstr>
      <vt:lpstr>v_52_XAOB</vt:lpstr>
      <vt:lpstr>v_52_XB</vt:lpstr>
      <vt:lpstr>v_52_XBSH</vt:lpstr>
      <vt:lpstr>v_52_XCaCO3</vt:lpstr>
      <vt:lpstr>v_52_XCASTO</vt:lpstr>
      <vt:lpstr>v_52_XE</vt:lpstr>
      <vt:lpstr>v_52_XE_ana</vt:lpstr>
      <vt:lpstr>v_52_XGLY</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v_52_XINORG</vt:lpstr>
      <vt:lpstr>v_52_XMEOLO</vt:lpstr>
      <vt:lpstr>v_52_XN_B</vt:lpstr>
      <vt:lpstr>v_52_XN_U</vt:lpstr>
      <vt:lpstr>v_52_XNOB</vt:lpstr>
      <vt:lpstr>v_52_XOHO</vt:lpstr>
      <vt:lpstr>v_52_XP_B</vt:lpstr>
      <vt:lpstr>v_52_XP_U</vt:lpstr>
      <vt:lpstr>v_52_XPHA</vt:lpstr>
      <vt:lpstr>v_52_XPP</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v_53_GN2</vt:lpstr>
      <vt:lpstr>v_53_GN2_atm</vt:lpstr>
      <vt:lpstr>v_53_GNH3</vt:lpstr>
      <vt:lpstr>v_53_GNH3_atm</vt:lpstr>
      <vt:lpstr>v_53_GO2</vt:lpstr>
      <vt:lpstr>v_53_GO2_atm</vt:lpstr>
      <vt:lpstr>v_53_H</vt:lpstr>
      <vt:lpstr>v_53_SALPHA</vt:lpstr>
      <vt:lpstr>v_53_SAN</vt:lpstr>
      <vt:lpstr>v_53_SB</vt:lpstr>
      <vt:lpstr>v_53_SCa</vt:lpstr>
      <vt:lpstr>v_53_SCAT</vt:lpstr>
      <vt:lpstr>v_53_SCH4</vt:lpstr>
      <vt:lpstr>v_53_SCO2</vt:lpstr>
      <vt:lpstr>v_53_SFe2</vt:lpstr>
      <vt:lpstr>v_53_SH2</vt:lpstr>
      <vt:lpstr>v_53_SK</vt:lpstr>
      <vt:lpstr>v_53_SMEOL</vt:lpstr>
      <vt:lpstr>v_53_SMg</vt:lpstr>
      <vt:lpstr>v_53_SN_B</vt:lpstr>
      <vt:lpstr>v_53_SN2</vt:lpstr>
      <vt:lpstr>v_53_SNHx</vt:lpstr>
      <vt:lpstr>v_53_SNO2</vt:lpstr>
      <vt:lpstr>v_53_SNO3</vt:lpstr>
      <vt:lpstr>v_53_SO2</vt:lpstr>
      <vt:lpstr>v_53_SORPswitch</vt:lpstr>
      <vt:lpstr>v_53_SP_B</vt:lpstr>
      <vt:lpstr>v_53_SPO4</vt:lpstr>
      <vt:lpstr>v_53_SU</vt:lpstr>
      <vt:lpstr>v_53_SVFA</vt:lpstr>
      <vt:lpstr>v_53_XACP</vt:lpstr>
      <vt:lpstr>v_53_XAMETO</vt:lpstr>
      <vt:lpstr>v_53_XAMX</vt:lpstr>
      <vt:lpstr>v_53_XAOB</vt:lpstr>
      <vt:lpstr>v_53_XB</vt:lpstr>
      <vt:lpstr>v_53_XBSH</vt:lpstr>
      <vt:lpstr>v_53_XCaCO3</vt:lpstr>
      <vt:lpstr>v_53_XCASTO</vt:lpstr>
      <vt:lpstr>v_53_XE</vt:lpstr>
      <vt:lpstr>v_53_XE_ana</vt:lpstr>
      <vt:lpstr>v_53_XGLY</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v_53_XINORG</vt:lpstr>
      <vt:lpstr>v_53_XMEOLO</vt:lpstr>
      <vt:lpstr>v_53_XN_B</vt:lpstr>
      <vt:lpstr>v_53_XN_U</vt:lpstr>
      <vt:lpstr>v_53_XNOB</vt:lpstr>
      <vt:lpstr>v_53_XOHO</vt:lpstr>
      <vt:lpstr>v_53_XP_B</vt:lpstr>
      <vt:lpstr>v_53_XP_U</vt:lpstr>
      <vt:lpstr>v_53_XPHA</vt:lpstr>
      <vt:lpstr>v_53_XPP</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v_54_GN2</vt:lpstr>
      <vt:lpstr>v_54_GN2_atm</vt:lpstr>
      <vt:lpstr>v_54_GNH3</vt:lpstr>
      <vt:lpstr>v_54_GNH3_atm</vt:lpstr>
      <vt:lpstr>v_54_GO2</vt:lpstr>
      <vt:lpstr>v_54_GO2_atm</vt:lpstr>
      <vt:lpstr>v_54_H</vt:lpstr>
      <vt:lpstr>v_54_SALPHA</vt:lpstr>
      <vt:lpstr>v_54_SAN</vt:lpstr>
      <vt:lpstr>v_54_SB</vt:lpstr>
      <vt:lpstr>v_54_SCa</vt:lpstr>
      <vt:lpstr>v_54_SCAT</vt:lpstr>
      <vt:lpstr>v_54_SCH4</vt:lpstr>
      <vt:lpstr>v_54_SCO2</vt:lpstr>
      <vt:lpstr>v_54_SFe2</vt:lpstr>
      <vt:lpstr>v_54_SH2</vt:lpstr>
      <vt:lpstr>v_54_SK</vt:lpstr>
      <vt:lpstr>v_54_SMEOL</vt:lpstr>
      <vt:lpstr>v_54_SMg</vt:lpstr>
      <vt:lpstr>v_54_SN_B</vt:lpstr>
      <vt:lpstr>v_54_SN2</vt:lpstr>
      <vt:lpstr>v_54_SNHx</vt:lpstr>
      <vt:lpstr>v_54_SNO2</vt:lpstr>
      <vt:lpstr>v_54_SNO3</vt:lpstr>
      <vt:lpstr>v_54_SO2</vt:lpstr>
      <vt:lpstr>v_54_SORPswitch</vt:lpstr>
      <vt:lpstr>v_54_SP_B</vt:lpstr>
      <vt:lpstr>v_54_SPO4</vt:lpstr>
      <vt:lpstr>v_54_SU</vt:lpstr>
      <vt:lpstr>v_54_SVFA</vt:lpstr>
      <vt:lpstr>v_54_XACP</vt:lpstr>
      <vt:lpstr>v_54_XAMETO</vt:lpstr>
      <vt:lpstr>v_54_XAMX</vt:lpstr>
      <vt:lpstr>v_54_XAOB</vt:lpstr>
      <vt:lpstr>v_54_XB</vt:lpstr>
      <vt:lpstr>v_54_XBSH</vt:lpstr>
      <vt:lpstr>v_54_XCaCO3</vt:lpstr>
      <vt:lpstr>v_54_XCASTO</vt:lpstr>
      <vt:lpstr>v_54_XE</vt:lpstr>
      <vt:lpstr>v_54_XE_ana</vt:lpstr>
      <vt:lpstr>v_54_XGLY</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v_54_XINORG</vt:lpstr>
      <vt:lpstr>v_54_XMEOLO</vt:lpstr>
      <vt:lpstr>v_54_XN_B</vt:lpstr>
      <vt:lpstr>v_54_XN_U</vt:lpstr>
      <vt:lpstr>v_54_XNOB</vt:lpstr>
      <vt:lpstr>v_54_XOHO</vt:lpstr>
      <vt:lpstr>v_54_XP_B</vt:lpstr>
      <vt:lpstr>v_54_XP_U</vt:lpstr>
      <vt:lpstr>v_54_XPHA</vt:lpstr>
      <vt:lpstr>v_54_XPP</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v_55_GN2</vt:lpstr>
      <vt:lpstr>v_55_GN2_atm</vt:lpstr>
      <vt:lpstr>v_55_GNH3</vt:lpstr>
      <vt:lpstr>v_55_GNH3_atm</vt:lpstr>
      <vt:lpstr>v_55_GO2</vt:lpstr>
      <vt:lpstr>v_55_GO2_atm</vt:lpstr>
      <vt:lpstr>v_55_H</vt:lpstr>
      <vt:lpstr>v_55_SALPHA</vt:lpstr>
      <vt:lpstr>v_55_SAN</vt:lpstr>
      <vt:lpstr>v_55_SB</vt:lpstr>
      <vt:lpstr>v_55_SCa</vt:lpstr>
      <vt:lpstr>v_55_SCAT</vt:lpstr>
      <vt:lpstr>v_55_SCH4</vt:lpstr>
      <vt:lpstr>v_55_SCO2</vt:lpstr>
      <vt:lpstr>v_55_SFe2</vt:lpstr>
      <vt:lpstr>v_55_SH2</vt:lpstr>
      <vt:lpstr>v_55_SK</vt:lpstr>
      <vt:lpstr>v_55_SMEOL</vt:lpstr>
      <vt:lpstr>v_55_SMg</vt:lpstr>
      <vt:lpstr>v_55_SN_B</vt:lpstr>
      <vt:lpstr>v_55_SN2</vt:lpstr>
      <vt:lpstr>v_55_SNHx</vt:lpstr>
      <vt:lpstr>v_55_SNO2</vt:lpstr>
      <vt:lpstr>v_55_SNO3</vt:lpstr>
      <vt:lpstr>v_55_SO2</vt:lpstr>
      <vt:lpstr>v_55_SORPswitch</vt:lpstr>
      <vt:lpstr>v_55_SP_B</vt:lpstr>
      <vt:lpstr>v_55_SPO4</vt:lpstr>
      <vt:lpstr>v_55_SU</vt:lpstr>
      <vt:lpstr>v_55_SVFA</vt:lpstr>
      <vt:lpstr>v_55_XACP</vt:lpstr>
      <vt:lpstr>v_55_XAMETO</vt:lpstr>
      <vt:lpstr>v_55_XAMX</vt:lpstr>
      <vt:lpstr>v_55_XAOB</vt:lpstr>
      <vt:lpstr>v_55_XB</vt:lpstr>
      <vt:lpstr>v_55_XBSH</vt:lpstr>
      <vt:lpstr>v_55_XCaCO3</vt:lpstr>
      <vt:lpstr>v_55_XCASTO</vt:lpstr>
      <vt:lpstr>v_55_XE</vt:lpstr>
      <vt:lpstr>v_55_XE_ana</vt:lpstr>
      <vt:lpstr>v_55_XGLY</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v_55_XINORG</vt:lpstr>
      <vt:lpstr>v_55_XMEOLO</vt:lpstr>
      <vt:lpstr>v_55_XN_B</vt:lpstr>
      <vt:lpstr>v_55_XN_U</vt:lpstr>
      <vt:lpstr>v_55_XNOB</vt:lpstr>
      <vt:lpstr>v_55_XOHO</vt:lpstr>
      <vt:lpstr>v_55_XP_B</vt:lpstr>
      <vt:lpstr>v_55_XP_U</vt:lpstr>
      <vt:lpstr>v_55_XPHA</vt:lpstr>
      <vt:lpstr>v_55_XPP</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v_56_GN2</vt:lpstr>
      <vt:lpstr>v_56_GN2_atm</vt:lpstr>
      <vt:lpstr>v_56_GNH3</vt:lpstr>
      <vt:lpstr>v_56_GNH3_atm</vt:lpstr>
      <vt:lpstr>v_56_GO2</vt:lpstr>
      <vt:lpstr>v_56_GO2_atm</vt:lpstr>
      <vt:lpstr>v_56_H</vt:lpstr>
      <vt:lpstr>v_56_SALPHA</vt:lpstr>
      <vt:lpstr>v_56_SAN</vt:lpstr>
      <vt:lpstr>v_56_SB</vt:lpstr>
      <vt:lpstr>v_56_SCa</vt:lpstr>
      <vt:lpstr>v_56_SCAT</vt:lpstr>
      <vt:lpstr>v_56_SCH4</vt:lpstr>
      <vt:lpstr>v_56_SCO2</vt:lpstr>
      <vt:lpstr>v_56_SFe2</vt:lpstr>
      <vt:lpstr>v_56_SH2</vt:lpstr>
      <vt:lpstr>v_56_SK</vt:lpstr>
      <vt:lpstr>v_56_SMEOL</vt:lpstr>
      <vt:lpstr>v_56_SMg</vt:lpstr>
      <vt:lpstr>v_56_SN_B</vt:lpstr>
      <vt:lpstr>v_56_SN2</vt:lpstr>
      <vt:lpstr>v_56_SNHx</vt:lpstr>
      <vt:lpstr>v_56_SNO2</vt:lpstr>
      <vt:lpstr>v_56_SNO3</vt:lpstr>
      <vt:lpstr>v_56_SO2</vt:lpstr>
      <vt:lpstr>v_56_SORPswitch</vt:lpstr>
      <vt:lpstr>v_56_SP_B</vt:lpstr>
      <vt:lpstr>v_56_SPO4</vt:lpstr>
      <vt:lpstr>v_56_SU</vt:lpstr>
      <vt:lpstr>v_56_SVFA</vt:lpstr>
      <vt:lpstr>v_56_XACP</vt:lpstr>
      <vt:lpstr>v_56_XAMETO</vt:lpstr>
      <vt:lpstr>v_56_XAMX</vt:lpstr>
      <vt:lpstr>v_56_XAOB</vt:lpstr>
      <vt:lpstr>v_56_XB</vt:lpstr>
      <vt:lpstr>v_56_XBSH</vt:lpstr>
      <vt:lpstr>v_56_XCaCO3</vt:lpstr>
      <vt:lpstr>v_56_XCASTO</vt:lpstr>
      <vt:lpstr>v_56_XE</vt:lpstr>
      <vt:lpstr>v_56_XE_ana</vt:lpstr>
      <vt:lpstr>v_56_XGLY</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v_56_XINORG</vt:lpstr>
      <vt:lpstr>v_56_XMEOLO</vt:lpstr>
      <vt:lpstr>v_56_XN_B</vt:lpstr>
      <vt:lpstr>v_56_XN_U</vt:lpstr>
      <vt:lpstr>v_56_XNOB</vt:lpstr>
      <vt:lpstr>v_56_XOHO</vt:lpstr>
      <vt:lpstr>v_56_XP_B</vt:lpstr>
      <vt:lpstr>v_56_XP_U</vt:lpstr>
      <vt:lpstr>v_56_XPHA</vt:lpstr>
      <vt:lpstr>v_56_XPP</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v_57_GN2</vt:lpstr>
      <vt:lpstr>v_57_GN2_atm</vt:lpstr>
      <vt:lpstr>v_57_GNH3</vt:lpstr>
      <vt:lpstr>v_57_GNH3_atm</vt:lpstr>
      <vt:lpstr>v_57_GO2</vt:lpstr>
      <vt:lpstr>v_57_GO2_atm</vt:lpstr>
      <vt:lpstr>v_57_H</vt:lpstr>
      <vt:lpstr>v_57_SALPHA</vt:lpstr>
      <vt:lpstr>v_57_SAN</vt:lpstr>
      <vt:lpstr>v_57_SB</vt:lpstr>
      <vt:lpstr>v_57_SCa</vt:lpstr>
      <vt:lpstr>v_57_SCAT</vt:lpstr>
      <vt:lpstr>v_57_SCH4</vt:lpstr>
      <vt:lpstr>v_57_SCO2</vt:lpstr>
      <vt:lpstr>v_57_SFe2</vt:lpstr>
      <vt:lpstr>v_57_SH2</vt:lpstr>
      <vt:lpstr>v_57_SK</vt:lpstr>
      <vt:lpstr>v_57_SMEOL</vt:lpstr>
      <vt:lpstr>v_57_SMg</vt:lpstr>
      <vt:lpstr>v_57_SN_B</vt:lpstr>
      <vt:lpstr>v_57_SN2</vt:lpstr>
      <vt:lpstr>v_57_SNHx</vt:lpstr>
      <vt:lpstr>v_57_SNO2</vt:lpstr>
      <vt:lpstr>v_57_SNO3</vt:lpstr>
      <vt:lpstr>v_57_SO2</vt:lpstr>
      <vt:lpstr>v_57_SORPswitch</vt:lpstr>
      <vt:lpstr>v_57_SP_B</vt:lpstr>
      <vt:lpstr>v_57_SPO4</vt:lpstr>
      <vt:lpstr>v_57_SU</vt:lpstr>
      <vt:lpstr>v_57_SVFA</vt:lpstr>
      <vt:lpstr>v_57_XACP</vt:lpstr>
      <vt:lpstr>v_57_XAMETO</vt:lpstr>
      <vt:lpstr>v_57_XAMX</vt:lpstr>
      <vt:lpstr>v_57_XAOB</vt:lpstr>
      <vt:lpstr>v_57_XB</vt:lpstr>
      <vt:lpstr>v_57_XBSH</vt:lpstr>
      <vt:lpstr>v_57_XCaCO3</vt:lpstr>
      <vt:lpstr>v_57_XCASTO</vt:lpstr>
      <vt:lpstr>v_57_XE</vt:lpstr>
      <vt:lpstr>v_57_XE_ana</vt:lpstr>
      <vt:lpstr>v_57_XGLY</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v_57_XINORG</vt:lpstr>
      <vt:lpstr>v_57_XMEOLO</vt:lpstr>
      <vt:lpstr>v_57_XN_B</vt:lpstr>
      <vt:lpstr>v_57_XN_U</vt:lpstr>
      <vt:lpstr>v_57_XNOB</vt:lpstr>
      <vt:lpstr>v_57_XOHO</vt:lpstr>
      <vt:lpstr>v_57_XP_B</vt:lpstr>
      <vt:lpstr>v_57_XP_U</vt:lpstr>
      <vt:lpstr>v_57_XPHA</vt:lpstr>
      <vt:lpstr>v_57_XPP</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v_58_GN2</vt:lpstr>
      <vt:lpstr>v_58_GN2_atm</vt:lpstr>
      <vt:lpstr>v_58_GNH3</vt:lpstr>
      <vt:lpstr>v_58_GNH3_atm</vt:lpstr>
      <vt:lpstr>v_58_GO2</vt:lpstr>
      <vt:lpstr>v_58_GO2_atm</vt:lpstr>
      <vt:lpstr>v_58_H</vt:lpstr>
      <vt:lpstr>v_58_SALPHA</vt:lpstr>
      <vt:lpstr>v_58_SAN</vt:lpstr>
      <vt:lpstr>v_58_SB</vt:lpstr>
      <vt:lpstr>v_58_SCa</vt:lpstr>
      <vt:lpstr>v_58_SCAT</vt:lpstr>
      <vt:lpstr>v_58_SCH4</vt:lpstr>
      <vt:lpstr>v_58_SCO2</vt:lpstr>
      <vt:lpstr>v_58_SFe2</vt:lpstr>
      <vt:lpstr>v_58_SH2</vt:lpstr>
      <vt:lpstr>v_58_SK</vt:lpstr>
      <vt:lpstr>v_58_SMEOL</vt:lpstr>
      <vt:lpstr>v_58_SMg</vt:lpstr>
      <vt:lpstr>v_58_SN_B</vt:lpstr>
      <vt:lpstr>v_58_SN2</vt:lpstr>
      <vt:lpstr>v_58_SNHx</vt:lpstr>
      <vt:lpstr>v_58_SNO2</vt:lpstr>
      <vt:lpstr>v_58_SNO3</vt:lpstr>
      <vt:lpstr>v_58_SO2</vt:lpstr>
      <vt:lpstr>v_58_SORPswitch</vt:lpstr>
      <vt:lpstr>v_58_SP_B</vt:lpstr>
      <vt:lpstr>v_58_SPO4</vt:lpstr>
      <vt:lpstr>v_58_SU</vt:lpstr>
      <vt:lpstr>v_58_SVFA</vt:lpstr>
      <vt:lpstr>v_58_XACP</vt:lpstr>
      <vt:lpstr>v_58_XAMETO</vt:lpstr>
      <vt:lpstr>v_58_XAMX</vt:lpstr>
      <vt:lpstr>v_58_XAOB</vt:lpstr>
      <vt:lpstr>v_58_XB</vt:lpstr>
      <vt:lpstr>v_58_XBSH</vt:lpstr>
      <vt:lpstr>v_58_XCaCO3</vt:lpstr>
      <vt:lpstr>v_58_XCASTO</vt:lpstr>
      <vt:lpstr>v_58_XE</vt:lpstr>
      <vt:lpstr>v_58_XE_ana</vt:lpstr>
      <vt:lpstr>v_58_XGLY</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v_58_XINORG</vt:lpstr>
      <vt:lpstr>v_58_XMEOLO</vt:lpstr>
      <vt:lpstr>v_58_XN_B</vt:lpstr>
      <vt:lpstr>v_58_XN_U</vt:lpstr>
      <vt:lpstr>v_58_XNOB</vt:lpstr>
      <vt:lpstr>v_58_XOHO</vt:lpstr>
      <vt:lpstr>v_58_XP_B</vt:lpstr>
      <vt:lpstr>v_58_XP_U</vt:lpstr>
      <vt:lpstr>v_58_XPHA</vt:lpstr>
      <vt:lpstr>v_58_XPP</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v_59_GN2</vt:lpstr>
      <vt:lpstr>v_59_GN2_atm</vt:lpstr>
      <vt:lpstr>v_59_GNH3</vt:lpstr>
      <vt:lpstr>v_59_GNH3_atm</vt:lpstr>
      <vt:lpstr>v_59_GO2</vt:lpstr>
      <vt:lpstr>v_59_GO2_atm</vt:lpstr>
      <vt:lpstr>v_59_H</vt:lpstr>
      <vt:lpstr>v_59_SALPHA</vt:lpstr>
      <vt:lpstr>v_59_SAN</vt:lpstr>
      <vt:lpstr>v_59_SB</vt:lpstr>
      <vt:lpstr>v_59_SCa</vt:lpstr>
      <vt:lpstr>v_59_SCAT</vt:lpstr>
      <vt:lpstr>v_59_SCH4</vt:lpstr>
      <vt:lpstr>v_59_SCO2</vt:lpstr>
      <vt:lpstr>v_59_SFe2</vt:lpstr>
      <vt:lpstr>v_59_SH2</vt:lpstr>
      <vt:lpstr>v_59_SK</vt:lpstr>
      <vt:lpstr>v_59_SMEOL</vt:lpstr>
      <vt:lpstr>v_59_SMg</vt:lpstr>
      <vt:lpstr>v_59_SN_B</vt:lpstr>
      <vt:lpstr>v_59_SN2</vt:lpstr>
      <vt:lpstr>v_59_SNHx</vt:lpstr>
      <vt:lpstr>v_59_SNO2</vt:lpstr>
      <vt:lpstr>v_59_SNO3</vt:lpstr>
      <vt:lpstr>v_59_SO2</vt:lpstr>
      <vt:lpstr>v_59_SORPswitch</vt:lpstr>
      <vt:lpstr>v_59_SP_B</vt:lpstr>
      <vt:lpstr>v_59_SPO4</vt:lpstr>
      <vt:lpstr>v_59_SU</vt:lpstr>
      <vt:lpstr>v_59_SVFA</vt:lpstr>
      <vt:lpstr>v_59_XACP</vt:lpstr>
      <vt:lpstr>v_59_XAMETO</vt:lpstr>
      <vt:lpstr>v_59_XAMX</vt:lpstr>
      <vt:lpstr>v_59_XAOB</vt:lpstr>
      <vt:lpstr>v_59_XB</vt:lpstr>
      <vt:lpstr>v_59_XBSH</vt:lpstr>
      <vt:lpstr>v_59_XCaCO3</vt:lpstr>
      <vt:lpstr>v_59_XCASTO</vt:lpstr>
      <vt:lpstr>v_59_XE</vt:lpstr>
      <vt:lpstr>v_59_XE_ana</vt:lpstr>
      <vt:lpstr>v_59_XGLY</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v_59_XINORG</vt:lpstr>
      <vt:lpstr>v_59_XMEOLO</vt:lpstr>
      <vt:lpstr>v_59_XN_B</vt:lpstr>
      <vt:lpstr>v_59_XN_U</vt:lpstr>
      <vt:lpstr>v_59_XNOB</vt:lpstr>
      <vt:lpstr>v_59_XOHO</vt:lpstr>
      <vt:lpstr>v_59_XP_B</vt:lpstr>
      <vt:lpstr>v_59_XP_U</vt:lpstr>
      <vt:lpstr>v_59_XPHA</vt:lpstr>
      <vt:lpstr>v_59_XPP</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v_6_GN2</vt:lpstr>
      <vt:lpstr>v_6_GN2_atm</vt:lpstr>
      <vt:lpstr>v_6_GNH3</vt:lpstr>
      <vt:lpstr>v_6_GNH3_atm</vt:lpstr>
      <vt:lpstr>v_6_GO2</vt:lpstr>
      <vt:lpstr>v_6_GO2_atm</vt:lpstr>
      <vt:lpstr>v_6_H</vt:lpstr>
      <vt:lpstr>v_6_SALPHA</vt:lpstr>
      <vt:lpstr>v_6_SAN</vt:lpstr>
      <vt:lpstr>v_6_SB</vt:lpstr>
      <vt:lpstr>v_6_SCa</vt:lpstr>
      <vt:lpstr>v_6_SCAT</vt:lpstr>
      <vt:lpstr>v_6_SCH4</vt:lpstr>
      <vt:lpstr>v_6_SCO2</vt:lpstr>
      <vt:lpstr>v_6_SFe2</vt:lpstr>
      <vt:lpstr>v_6_SH2</vt:lpstr>
      <vt:lpstr>v_6_SK</vt:lpstr>
      <vt:lpstr>v_6_SMEOL</vt:lpstr>
      <vt:lpstr>v_6_SMg</vt:lpstr>
      <vt:lpstr>v_6_SN_B</vt:lpstr>
      <vt:lpstr>v_6_SN2</vt:lpstr>
      <vt:lpstr>v_6_SNHx</vt:lpstr>
      <vt:lpstr>v_6_SNO2</vt:lpstr>
      <vt:lpstr>v_6_SNO3</vt:lpstr>
      <vt:lpstr>v_6_SO2</vt:lpstr>
      <vt:lpstr>v_6_SORPswitch</vt:lpstr>
      <vt:lpstr>v_6_SP_B</vt:lpstr>
      <vt:lpstr>v_6_SPO4</vt:lpstr>
      <vt:lpstr>v_6_SU</vt:lpstr>
      <vt:lpstr>v_6_SVFA</vt:lpstr>
      <vt:lpstr>v_6_XACP</vt:lpstr>
      <vt:lpstr>v_6_XAMETO</vt:lpstr>
      <vt:lpstr>v_6_XAMX</vt:lpstr>
      <vt:lpstr>v_6_XAOB</vt:lpstr>
      <vt:lpstr>v_6_XB</vt:lpstr>
      <vt:lpstr>v_6_XBSH</vt:lpstr>
      <vt:lpstr>v_6_XCaCO3</vt:lpstr>
      <vt:lpstr>v_6_XCASTO</vt:lpstr>
      <vt:lpstr>v_6_XE</vt:lpstr>
      <vt:lpstr>v_6_XE_ana</vt:lpstr>
      <vt:lpstr>v_6_XGLY</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v_6_XINORG</vt:lpstr>
      <vt:lpstr>v_6_XMEOLO</vt:lpstr>
      <vt:lpstr>v_6_XN_B</vt:lpstr>
      <vt:lpstr>v_6_XN_U</vt:lpstr>
      <vt:lpstr>v_6_XNOB</vt:lpstr>
      <vt:lpstr>v_6_XOHO</vt:lpstr>
      <vt:lpstr>v_6_XP_B</vt:lpstr>
      <vt:lpstr>v_6_XP_U</vt:lpstr>
      <vt:lpstr>v_6_XPHA</vt:lpstr>
      <vt:lpstr>v_6_XPP</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v_60_GN2</vt:lpstr>
      <vt:lpstr>v_60_GN2_atm</vt:lpstr>
      <vt:lpstr>v_60_GNH3</vt:lpstr>
      <vt:lpstr>v_60_GNH3_atm</vt:lpstr>
      <vt:lpstr>v_60_GO2</vt:lpstr>
      <vt:lpstr>v_60_GO2_atm</vt:lpstr>
      <vt:lpstr>v_60_H</vt:lpstr>
      <vt:lpstr>v_60_SALPHA</vt:lpstr>
      <vt:lpstr>v_60_SAN</vt:lpstr>
      <vt:lpstr>v_60_SB</vt:lpstr>
      <vt:lpstr>v_60_SCa</vt:lpstr>
      <vt:lpstr>v_60_SCAT</vt:lpstr>
      <vt:lpstr>v_60_SCH4</vt:lpstr>
      <vt:lpstr>v_60_SCO2</vt:lpstr>
      <vt:lpstr>v_60_SFe2</vt:lpstr>
      <vt:lpstr>v_60_SH2</vt:lpstr>
      <vt:lpstr>v_60_SK</vt:lpstr>
      <vt:lpstr>v_60_SMEOL</vt:lpstr>
      <vt:lpstr>v_60_SMg</vt:lpstr>
      <vt:lpstr>v_60_SN_B</vt:lpstr>
      <vt:lpstr>v_60_SN2</vt:lpstr>
      <vt:lpstr>v_60_SNHx</vt:lpstr>
      <vt:lpstr>v_60_SNO2</vt:lpstr>
      <vt:lpstr>v_60_SNO3</vt:lpstr>
      <vt:lpstr>v_60_SO2</vt:lpstr>
      <vt:lpstr>v_60_SORPswitch</vt:lpstr>
      <vt:lpstr>v_60_SP_B</vt:lpstr>
      <vt:lpstr>v_60_SPO4</vt:lpstr>
      <vt:lpstr>v_60_SU</vt:lpstr>
      <vt:lpstr>v_60_SVFA</vt:lpstr>
      <vt:lpstr>v_60_XACP</vt:lpstr>
      <vt:lpstr>v_60_XAMETO</vt:lpstr>
      <vt:lpstr>v_60_XAMX</vt:lpstr>
      <vt:lpstr>v_60_XAOB</vt:lpstr>
      <vt:lpstr>v_60_XB</vt:lpstr>
      <vt:lpstr>v_60_XBSH</vt:lpstr>
      <vt:lpstr>v_60_XCaCO3</vt:lpstr>
      <vt:lpstr>v_60_XCASTO</vt:lpstr>
      <vt:lpstr>v_60_XE</vt:lpstr>
      <vt:lpstr>v_60_XE_ana</vt:lpstr>
      <vt:lpstr>v_60_XGLY</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v_60_XINORG</vt:lpstr>
      <vt:lpstr>v_60_XMEOLO</vt:lpstr>
      <vt:lpstr>v_60_XN_B</vt:lpstr>
      <vt:lpstr>v_60_XN_U</vt:lpstr>
      <vt:lpstr>v_60_XNOB</vt:lpstr>
      <vt:lpstr>v_60_XOHO</vt:lpstr>
      <vt:lpstr>v_60_XP_B</vt:lpstr>
      <vt:lpstr>v_60_XP_U</vt:lpstr>
      <vt:lpstr>v_60_XPHA</vt:lpstr>
      <vt:lpstr>v_60_XPP</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v_61_GN2</vt:lpstr>
      <vt:lpstr>v_61_GN2_atm</vt:lpstr>
      <vt:lpstr>v_61_GNH3</vt:lpstr>
      <vt:lpstr>v_61_GNH3_atm</vt:lpstr>
      <vt:lpstr>v_61_GO2</vt:lpstr>
      <vt:lpstr>v_61_GO2_atm</vt:lpstr>
      <vt:lpstr>v_61_H</vt:lpstr>
      <vt:lpstr>v_61_SALPHA</vt:lpstr>
      <vt:lpstr>v_61_SAN</vt:lpstr>
      <vt:lpstr>v_61_SB</vt:lpstr>
      <vt:lpstr>v_61_SCa</vt:lpstr>
      <vt:lpstr>v_61_SCAT</vt:lpstr>
      <vt:lpstr>v_61_SCH4</vt:lpstr>
      <vt:lpstr>v_61_SCO2</vt:lpstr>
      <vt:lpstr>v_61_SFe2</vt:lpstr>
      <vt:lpstr>v_61_SH2</vt:lpstr>
      <vt:lpstr>v_61_SK</vt:lpstr>
      <vt:lpstr>v_61_SMEOL</vt:lpstr>
      <vt:lpstr>v_61_SMg</vt:lpstr>
      <vt:lpstr>v_61_SN_B</vt:lpstr>
      <vt:lpstr>v_61_SN2</vt:lpstr>
      <vt:lpstr>v_61_SNHx</vt:lpstr>
      <vt:lpstr>v_61_SNO2</vt:lpstr>
      <vt:lpstr>v_61_SNO3</vt:lpstr>
      <vt:lpstr>v_61_SO2</vt:lpstr>
      <vt:lpstr>v_61_SORPswitch</vt:lpstr>
      <vt:lpstr>v_61_SP_B</vt:lpstr>
      <vt:lpstr>v_61_SPO4</vt:lpstr>
      <vt:lpstr>v_61_SU</vt:lpstr>
      <vt:lpstr>v_61_SVFA</vt:lpstr>
      <vt:lpstr>v_61_XACP</vt:lpstr>
      <vt:lpstr>v_61_XAMETO</vt:lpstr>
      <vt:lpstr>v_61_XAMX</vt:lpstr>
      <vt:lpstr>v_61_XAOB</vt:lpstr>
      <vt:lpstr>v_61_XB</vt:lpstr>
      <vt:lpstr>v_61_XBSH</vt:lpstr>
      <vt:lpstr>v_61_XCaCO3</vt:lpstr>
      <vt:lpstr>v_61_XCASTO</vt:lpstr>
      <vt:lpstr>v_61_XE</vt:lpstr>
      <vt:lpstr>v_61_XE_ana</vt:lpstr>
      <vt:lpstr>v_61_XGLY</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v_61_XINORG</vt:lpstr>
      <vt:lpstr>v_61_XMEOLO</vt:lpstr>
      <vt:lpstr>v_61_XN_B</vt:lpstr>
      <vt:lpstr>v_61_XN_U</vt:lpstr>
      <vt:lpstr>v_61_XNOB</vt:lpstr>
      <vt:lpstr>v_61_XOHO</vt:lpstr>
      <vt:lpstr>v_61_XP_B</vt:lpstr>
      <vt:lpstr>v_61_XP_U</vt:lpstr>
      <vt:lpstr>v_61_XPHA</vt:lpstr>
      <vt:lpstr>v_61_XPP</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v_62_GN2</vt:lpstr>
      <vt:lpstr>v_62_GN2_atm</vt:lpstr>
      <vt:lpstr>v_62_GNH3</vt:lpstr>
      <vt:lpstr>v_62_GNH3_atm</vt:lpstr>
      <vt:lpstr>v_62_GO2</vt:lpstr>
      <vt:lpstr>v_62_GO2_atm</vt:lpstr>
      <vt:lpstr>v_62_H</vt:lpstr>
      <vt:lpstr>v_62_SALPHA</vt:lpstr>
      <vt:lpstr>v_62_SAN</vt:lpstr>
      <vt:lpstr>v_62_SB</vt:lpstr>
      <vt:lpstr>v_62_SCa</vt:lpstr>
      <vt:lpstr>v_62_SCAT</vt:lpstr>
      <vt:lpstr>v_62_SCH4</vt:lpstr>
      <vt:lpstr>v_62_SCO2</vt:lpstr>
      <vt:lpstr>v_62_SFe2</vt:lpstr>
      <vt:lpstr>v_62_SH2</vt:lpstr>
      <vt:lpstr>v_62_SK</vt:lpstr>
      <vt:lpstr>v_62_SMEOL</vt:lpstr>
      <vt:lpstr>v_62_SMg</vt:lpstr>
      <vt:lpstr>v_62_SN_B</vt:lpstr>
      <vt:lpstr>v_62_SN2</vt:lpstr>
      <vt:lpstr>v_62_SNHx</vt:lpstr>
      <vt:lpstr>v_62_SNO2</vt:lpstr>
      <vt:lpstr>v_62_SNO3</vt:lpstr>
      <vt:lpstr>v_62_SO2</vt:lpstr>
      <vt:lpstr>v_62_SORPswitch</vt:lpstr>
      <vt:lpstr>v_62_SP_B</vt:lpstr>
      <vt:lpstr>v_62_SPO4</vt:lpstr>
      <vt:lpstr>v_62_SU</vt:lpstr>
      <vt:lpstr>v_62_SVFA</vt:lpstr>
      <vt:lpstr>v_62_XACP</vt:lpstr>
      <vt:lpstr>v_62_XAMETO</vt:lpstr>
      <vt:lpstr>v_62_XAMX</vt:lpstr>
      <vt:lpstr>v_62_XAOB</vt:lpstr>
      <vt:lpstr>v_62_XB</vt:lpstr>
      <vt:lpstr>v_62_XBSH</vt:lpstr>
      <vt:lpstr>v_62_XCaCO3</vt:lpstr>
      <vt:lpstr>v_62_XCASTO</vt:lpstr>
      <vt:lpstr>v_62_XE</vt:lpstr>
      <vt:lpstr>v_62_XE_ana</vt:lpstr>
      <vt:lpstr>v_62_XGLY</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v_62_XINORG</vt:lpstr>
      <vt:lpstr>v_62_XMEOLO</vt:lpstr>
      <vt:lpstr>v_62_XN_B</vt:lpstr>
      <vt:lpstr>v_62_XN_U</vt:lpstr>
      <vt:lpstr>v_62_XNOB</vt:lpstr>
      <vt:lpstr>v_62_XOHO</vt:lpstr>
      <vt:lpstr>v_62_XP_B</vt:lpstr>
      <vt:lpstr>v_62_XP_U</vt:lpstr>
      <vt:lpstr>v_62_XPHA</vt:lpstr>
      <vt:lpstr>v_62_XPP</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v_63_GN2</vt:lpstr>
      <vt:lpstr>v_63_GN2_atm</vt:lpstr>
      <vt:lpstr>v_63_GNH3</vt:lpstr>
      <vt:lpstr>v_63_GNH3_atm</vt:lpstr>
      <vt:lpstr>v_63_GO2</vt:lpstr>
      <vt:lpstr>v_63_GO2_atm</vt:lpstr>
      <vt:lpstr>v_63_H</vt:lpstr>
      <vt:lpstr>v_63_SALPHA</vt:lpstr>
      <vt:lpstr>v_63_SAN</vt:lpstr>
      <vt:lpstr>v_63_SB</vt:lpstr>
      <vt:lpstr>v_63_SCa</vt:lpstr>
      <vt:lpstr>v_63_SCAT</vt:lpstr>
      <vt:lpstr>v_63_SCH4</vt:lpstr>
      <vt:lpstr>v_63_SCO2</vt:lpstr>
      <vt:lpstr>v_63_SFe2</vt:lpstr>
      <vt:lpstr>v_63_SH2</vt:lpstr>
      <vt:lpstr>v_63_SK</vt:lpstr>
      <vt:lpstr>v_63_SMEOL</vt:lpstr>
      <vt:lpstr>v_63_SMg</vt:lpstr>
      <vt:lpstr>v_63_SN_B</vt:lpstr>
      <vt:lpstr>v_63_SN2</vt:lpstr>
      <vt:lpstr>v_63_SNHx</vt:lpstr>
      <vt:lpstr>v_63_SNO2</vt:lpstr>
      <vt:lpstr>v_63_SNO3</vt:lpstr>
      <vt:lpstr>v_63_SO2</vt:lpstr>
      <vt:lpstr>v_63_SORPswitch</vt:lpstr>
      <vt:lpstr>v_63_SP_B</vt:lpstr>
      <vt:lpstr>v_63_SPO4</vt:lpstr>
      <vt:lpstr>v_63_SU</vt:lpstr>
      <vt:lpstr>v_63_SVFA</vt:lpstr>
      <vt:lpstr>v_63_XACP</vt:lpstr>
      <vt:lpstr>v_63_XAMETO</vt:lpstr>
      <vt:lpstr>v_63_XAMX</vt:lpstr>
      <vt:lpstr>v_63_XAOB</vt:lpstr>
      <vt:lpstr>v_63_XB</vt:lpstr>
      <vt:lpstr>v_63_XBSH</vt:lpstr>
      <vt:lpstr>v_63_XCaCO3</vt:lpstr>
      <vt:lpstr>v_63_XCASTO</vt:lpstr>
      <vt:lpstr>v_63_XE</vt:lpstr>
      <vt:lpstr>v_63_XE_ana</vt:lpstr>
      <vt:lpstr>v_63_XGLY</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v_63_XINORG</vt:lpstr>
      <vt:lpstr>v_63_XMEOLO</vt:lpstr>
      <vt:lpstr>v_63_XN_B</vt:lpstr>
      <vt:lpstr>v_63_XN_U</vt:lpstr>
      <vt:lpstr>v_63_XNOB</vt:lpstr>
      <vt:lpstr>v_63_XOHO</vt:lpstr>
      <vt:lpstr>v_63_XP_B</vt:lpstr>
      <vt:lpstr>v_63_XP_U</vt:lpstr>
      <vt:lpstr>v_63_XPHA</vt:lpstr>
      <vt:lpstr>v_63_XPP</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v_64_GN2</vt:lpstr>
      <vt:lpstr>v_64_GN2_atm</vt:lpstr>
      <vt:lpstr>v_64_GNH3</vt:lpstr>
      <vt:lpstr>v_64_GNH3_atm</vt:lpstr>
      <vt:lpstr>v_64_GO2</vt:lpstr>
      <vt:lpstr>v_64_GO2_atm</vt:lpstr>
      <vt:lpstr>v_64_H</vt:lpstr>
      <vt:lpstr>v_64_SALPHA</vt:lpstr>
      <vt:lpstr>v_64_SAN</vt:lpstr>
      <vt:lpstr>v_64_SB</vt:lpstr>
      <vt:lpstr>v_64_SCa</vt:lpstr>
      <vt:lpstr>v_64_SCAT</vt:lpstr>
      <vt:lpstr>v_64_SCH4</vt:lpstr>
      <vt:lpstr>v_64_SCO2</vt:lpstr>
      <vt:lpstr>v_64_SFe2</vt:lpstr>
      <vt:lpstr>v_64_SH2</vt:lpstr>
      <vt:lpstr>v_64_SK</vt:lpstr>
      <vt:lpstr>v_64_SMEOL</vt:lpstr>
      <vt:lpstr>v_64_SMg</vt:lpstr>
      <vt:lpstr>v_64_SN_B</vt:lpstr>
      <vt:lpstr>v_64_SN2</vt:lpstr>
      <vt:lpstr>v_64_SNHx</vt:lpstr>
      <vt:lpstr>v_64_SNO2</vt:lpstr>
      <vt:lpstr>v_64_SNO3</vt:lpstr>
      <vt:lpstr>v_64_SO2</vt:lpstr>
      <vt:lpstr>v_64_SORPswitch</vt:lpstr>
      <vt:lpstr>v_64_SP_B</vt:lpstr>
      <vt:lpstr>v_64_SPO4</vt:lpstr>
      <vt:lpstr>v_64_SU</vt:lpstr>
      <vt:lpstr>v_64_SVFA</vt:lpstr>
      <vt:lpstr>v_64_XACP</vt:lpstr>
      <vt:lpstr>v_64_XAMETO</vt:lpstr>
      <vt:lpstr>v_64_XAMX</vt:lpstr>
      <vt:lpstr>v_64_XAOB</vt:lpstr>
      <vt:lpstr>v_64_XB</vt:lpstr>
      <vt:lpstr>v_64_XBSH</vt:lpstr>
      <vt:lpstr>v_64_XCaCO3</vt:lpstr>
      <vt:lpstr>v_64_XCASTO</vt:lpstr>
      <vt:lpstr>v_64_XE</vt:lpstr>
      <vt:lpstr>v_64_XE_ana</vt:lpstr>
      <vt:lpstr>v_64_XGLY</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v_64_XINORG</vt:lpstr>
      <vt:lpstr>v_64_XMEOLO</vt:lpstr>
      <vt:lpstr>v_64_XN_B</vt:lpstr>
      <vt:lpstr>v_64_XN_U</vt:lpstr>
      <vt:lpstr>v_64_XNOB</vt:lpstr>
      <vt:lpstr>v_64_XOHO</vt:lpstr>
      <vt:lpstr>v_64_XP_B</vt:lpstr>
      <vt:lpstr>v_64_XP_U</vt:lpstr>
      <vt:lpstr>v_64_XPHA</vt:lpstr>
      <vt:lpstr>v_64_XPP</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v_65_GN2</vt:lpstr>
      <vt:lpstr>v_65_GN2_atm</vt:lpstr>
      <vt:lpstr>v_65_GNH3</vt:lpstr>
      <vt:lpstr>v_65_GNH3_atm</vt:lpstr>
      <vt:lpstr>v_65_GO2</vt:lpstr>
      <vt:lpstr>v_65_GO2_atm</vt:lpstr>
      <vt:lpstr>v_65_H</vt:lpstr>
      <vt:lpstr>v_65_SALPHA</vt:lpstr>
      <vt:lpstr>v_65_SAN</vt:lpstr>
      <vt:lpstr>v_65_SB</vt:lpstr>
      <vt:lpstr>v_65_SCa</vt:lpstr>
      <vt:lpstr>v_65_SCAT</vt:lpstr>
      <vt:lpstr>v_65_SCH4</vt:lpstr>
      <vt:lpstr>v_65_SCO2</vt:lpstr>
      <vt:lpstr>v_65_SFe2</vt:lpstr>
      <vt:lpstr>v_65_SH2</vt:lpstr>
      <vt:lpstr>v_65_SK</vt:lpstr>
      <vt:lpstr>v_65_SMEOL</vt:lpstr>
      <vt:lpstr>v_65_SMg</vt:lpstr>
      <vt:lpstr>v_65_SN_B</vt:lpstr>
      <vt:lpstr>v_65_SN2</vt:lpstr>
      <vt:lpstr>v_65_SNHx</vt:lpstr>
      <vt:lpstr>v_65_SNO2</vt:lpstr>
      <vt:lpstr>v_65_SNO3</vt:lpstr>
      <vt:lpstr>v_65_SO2</vt:lpstr>
      <vt:lpstr>v_65_SORPswitch</vt:lpstr>
      <vt:lpstr>v_65_SP_B</vt:lpstr>
      <vt:lpstr>v_65_SPO4</vt:lpstr>
      <vt:lpstr>v_65_SU</vt:lpstr>
      <vt:lpstr>v_65_SVFA</vt:lpstr>
      <vt:lpstr>v_65_XACP</vt:lpstr>
      <vt:lpstr>v_65_XAMETO</vt:lpstr>
      <vt:lpstr>v_65_XAMX</vt:lpstr>
      <vt:lpstr>v_65_XAOB</vt:lpstr>
      <vt:lpstr>v_65_XB</vt:lpstr>
      <vt:lpstr>v_65_XBSH</vt:lpstr>
      <vt:lpstr>v_65_XCaCO3</vt:lpstr>
      <vt:lpstr>v_65_XCASTO</vt:lpstr>
      <vt:lpstr>v_65_XE</vt:lpstr>
      <vt:lpstr>v_65_XE_ana</vt:lpstr>
      <vt:lpstr>v_65_XGLY</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v_65_XINORG</vt:lpstr>
      <vt:lpstr>v_65_XMEOLO</vt:lpstr>
      <vt:lpstr>v_65_XN_B</vt:lpstr>
      <vt:lpstr>v_65_XN_U</vt:lpstr>
      <vt:lpstr>v_65_XNOB</vt:lpstr>
      <vt:lpstr>v_65_XOHO</vt:lpstr>
      <vt:lpstr>v_65_XP_B</vt:lpstr>
      <vt:lpstr>v_65_XP_U</vt:lpstr>
      <vt:lpstr>v_65_XPHA</vt:lpstr>
      <vt:lpstr>v_65_XPP</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v_66_GN2</vt:lpstr>
      <vt:lpstr>v_66_GN2_atm</vt:lpstr>
      <vt:lpstr>v_66_GNH3</vt:lpstr>
      <vt:lpstr>v_66_GNH3_atm</vt:lpstr>
      <vt:lpstr>v_66_GO2</vt:lpstr>
      <vt:lpstr>v_66_GO2_atm</vt:lpstr>
      <vt:lpstr>v_66_H</vt:lpstr>
      <vt:lpstr>v_66_SALPHA</vt:lpstr>
      <vt:lpstr>v_66_SAN</vt:lpstr>
      <vt:lpstr>v_66_SB</vt:lpstr>
      <vt:lpstr>v_66_SCa</vt:lpstr>
      <vt:lpstr>v_66_SCAT</vt:lpstr>
      <vt:lpstr>v_66_SCH4</vt:lpstr>
      <vt:lpstr>v_66_SCO2</vt:lpstr>
      <vt:lpstr>v_66_SFe2</vt:lpstr>
      <vt:lpstr>v_66_SH2</vt:lpstr>
      <vt:lpstr>v_66_SK</vt:lpstr>
      <vt:lpstr>v_66_SMEOL</vt:lpstr>
      <vt:lpstr>v_66_SMg</vt:lpstr>
      <vt:lpstr>v_66_SN_B</vt:lpstr>
      <vt:lpstr>v_66_SN2</vt:lpstr>
      <vt:lpstr>v_66_SNHx</vt:lpstr>
      <vt:lpstr>v_66_SNO2</vt:lpstr>
      <vt:lpstr>v_66_SNO3</vt:lpstr>
      <vt:lpstr>v_66_SO2</vt:lpstr>
      <vt:lpstr>v_66_SORPswitch</vt:lpstr>
      <vt:lpstr>v_66_SP_B</vt:lpstr>
      <vt:lpstr>v_66_SPO4</vt:lpstr>
      <vt:lpstr>v_66_SU</vt:lpstr>
      <vt:lpstr>v_66_SVFA</vt:lpstr>
      <vt:lpstr>v_66_XACP</vt:lpstr>
      <vt:lpstr>v_66_XAMETO</vt:lpstr>
      <vt:lpstr>v_66_XAMX</vt:lpstr>
      <vt:lpstr>v_66_XAOB</vt:lpstr>
      <vt:lpstr>v_66_XB</vt:lpstr>
      <vt:lpstr>v_66_XBSH</vt:lpstr>
      <vt:lpstr>v_66_XCaCO3</vt:lpstr>
      <vt:lpstr>v_66_XCASTO</vt:lpstr>
      <vt:lpstr>v_66_XE</vt:lpstr>
      <vt:lpstr>v_66_XE_ana</vt:lpstr>
      <vt:lpstr>v_66_XGLY</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v_66_XINORG</vt:lpstr>
      <vt:lpstr>v_66_XMEOLO</vt:lpstr>
      <vt:lpstr>v_66_XN_B</vt:lpstr>
      <vt:lpstr>v_66_XN_U</vt:lpstr>
      <vt:lpstr>v_66_XNOB</vt:lpstr>
      <vt:lpstr>v_66_XOHO</vt:lpstr>
      <vt:lpstr>v_66_XP_B</vt:lpstr>
      <vt:lpstr>v_66_XP_U</vt:lpstr>
      <vt:lpstr>v_66_XPHA</vt:lpstr>
      <vt:lpstr>v_66_XPP</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v_67_GN2</vt:lpstr>
      <vt:lpstr>v_67_GN2_atm</vt:lpstr>
      <vt:lpstr>v_67_GNH3</vt:lpstr>
      <vt:lpstr>v_67_GNH3_atm</vt:lpstr>
      <vt:lpstr>v_67_GO2</vt:lpstr>
      <vt:lpstr>v_67_GO2_atm</vt:lpstr>
      <vt:lpstr>v_67_H</vt:lpstr>
      <vt:lpstr>v_67_SALPHA</vt:lpstr>
      <vt:lpstr>v_67_SAN</vt:lpstr>
      <vt:lpstr>v_67_SB</vt:lpstr>
      <vt:lpstr>v_67_SCa</vt:lpstr>
      <vt:lpstr>v_67_SCAT</vt:lpstr>
      <vt:lpstr>v_67_SCH4</vt:lpstr>
      <vt:lpstr>v_67_SCO2</vt:lpstr>
      <vt:lpstr>v_67_SFe2</vt:lpstr>
      <vt:lpstr>v_67_SH2</vt:lpstr>
      <vt:lpstr>v_67_SK</vt:lpstr>
      <vt:lpstr>v_67_SMEOL</vt:lpstr>
      <vt:lpstr>v_67_SMg</vt:lpstr>
      <vt:lpstr>v_67_SN_B</vt:lpstr>
      <vt:lpstr>v_67_SN2</vt:lpstr>
      <vt:lpstr>v_67_SNHx</vt:lpstr>
      <vt:lpstr>v_67_SNO2</vt:lpstr>
      <vt:lpstr>v_67_SNO3</vt:lpstr>
      <vt:lpstr>v_67_SO2</vt:lpstr>
      <vt:lpstr>v_67_SORPswitch</vt:lpstr>
      <vt:lpstr>v_67_SP_B</vt:lpstr>
      <vt:lpstr>v_67_SPO4</vt:lpstr>
      <vt:lpstr>v_67_SU</vt:lpstr>
      <vt:lpstr>v_67_SVFA</vt:lpstr>
      <vt:lpstr>v_67_XACP</vt:lpstr>
      <vt:lpstr>v_67_XAMETO</vt:lpstr>
      <vt:lpstr>v_67_XAMX</vt:lpstr>
      <vt:lpstr>v_67_XAOB</vt:lpstr>
      <vt:lpstr>v_67_XB</vt:lpstr>
      <vt:lpstr>v_67_XBSH</vt:lpstr>
      <vt:lpstr>v_67_XCaCO3</vt:lpstr>
      <vt:lpstr>v_67_XCASTO</vt:lpstr>
      <vt:lpstr>v_67_XE</vt:lpstr>
      <vt:lpstr>v_67_XE_ana</vt:lpstr>
      <vt:lpstr>v_67_XGLY</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v_67_XINORG</vt:lpstr>
      <vt:lpstr>v_67_XMEOLO</vt:lpstr>
      <vt:lpstr>v_67_XN_B</vt:lpstr>
      <vt:lpstr>v_67_XN_U</vt:lpstr>
      <vt:lpstr>v_67_XNOB</vt:lpstr>
      <vt:lpstr>v_67_XOHO</vt:lpstr>
      <vt:lpstr>v_67_XP_B</vt:lpstr>
      <vt:lpstr>v_67_XP_U</vt:lpstr>
      <vt:lpstr>v_67_XPHA</vt:lpstr>
      <vt:lpstr>v_67_XPP</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v_68_GN2</vt:lpstr>
      <vt:lpstr>v_68_GN2_atm</vt:lpstr>
      <vt:lpstr>v_68_GNH3</vt:lpstr>
      <vt:lpstr>v_68_GNH3_atm</vt:lpstr>
      <vt:lpstr>v_68_GO2</vt:lpstr>
      <vt:lpstr>v_68_GO2_atm</vt:lpstr>
      <vt:lpstr>v_68_H</vt:lpstr>
      <vt:lpstr>v_68_SALPHA</vt:lpstr>
      <vt:lpstr>v_68_SAN</vt:lpstr>
      <vt:lpstr>v_68_SB</vt:lpstr>
      <vt:lpstr>v_68_SCa</vt:lpstr>
      <vt:lpstr>v_68_SCAT</vt:lpstr>
      <vt:lpstr>v_68_SCH4</vt:lpstr>
      <vt:lpstr>v_68_SCO2</vt:lpstr>
      <vt:lpstr>v_68_SFe2</vt:lpstr>
      <vt:lpstr>v_68_SH2</vt:lpstr>
      <vt:lpstr>v_68_SK</vt:lpstr>
      <vt:lpstr>v_68_SMEOL</vt:lpstr>
      <vt:lpstr>v_68_SMg</vt:lpstr>
      <vt:lpstr>v_68_SN_B</vt:lpstr>
      <vt:lpstr>v_68_SN2</vt:lpstr>
      <vt:lpstr>v_68_SNHx</vt:lpstr>
      <vt:lpstr>v_68_SNO2</vt:lpstr>
      <vt:lpstr>v_68_SNO3</vt:lpstr>
      <vt:lpstr>v_68_SO2</vt:lpstr>
      <vt:lpstr>v_68_SORPswitch</vt:lpstr>
      <vt:lpstr>v_68_SP_B</vt:lpstr>
      <vt:lpstr>v_68_SPO4</vt:lpstr>
      <vt:lpstr>v_68_SU</vt:lpstr>
      <vt:lpstr>v_68_SVFA</vt:lpstr>
      <vt:lpstr>v_68_XACP</vt:lpstr>
      <vt:lpstr>v_68_XAMETO</vt:lpstr>
      <vt:lpstr>v_68_XAMX</vt:lpstr>
      <vt:lpstr>v_68_XAOB</vt:lpstr>
      <vt:lpstr>v_68_XB</vt:lpstr>
      <vt:lpstr>v_68_XBSH</vt:lpstr>
      <vt:lpstr>v_68_XCaCO3</vt:lpstr>
      <vt:lpstr>v_68_XCASTO</vt:lpstr>
      <vt:lpstr>v_68_XE</vt:lpstr>
      <vt:lpstr>v_68_XE_ana</vt:lpstr>
      <vt:lpstr>v_68_XGLY</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v_68_XINORG</vt:lpstr>
      <vt:lpstr>v_68_XMEOLO</vt:lpstr>
      <vt:lpstr>v_68_XN_B</vt:lpstr>
      <vt:lpstr>v_68_XN_U</vt:lpstr>
      <vt:lpstr>v_68_XNOB</vt:lpstr>
      <vt:lpstr>v_68_XOHO</vt:lpstr>
      <vt:lpstr>v_68_XP_B</vt:lpstr>
      <vt:lpstr>v_68_XP_U</vt:lpstr>
      <vt:lpstr>v_68_XPHA</vt:lpstr>
      <vt:lpstr>v_68_XPP</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v_69_GN2</vt:lpstr>
      <vt:lpstr>v_69_GN2_atm</vt:lpstr>
      <vt:lpstr>v_69_GNH3</vt:lpstr>
      <vt:lpstr>v_69_GNH3_atm</vt:lpstr>
      <vt:lpstr>v_69_GO2</vt:lpstr>
      <vt:lpstr>v_69_GO2_atm</vt:lpstr>
      <vt:lpstr>v_69_H</vt:lpstr>
      <vt:lpstr>v_69_SALPHA</vt:lpstr>
      <vt:lpstr>v_69_SAN</vt:lpstr>
      <vt:lpstr>v_69_SB</vt:lpstr>
      <vt:lpstr>v_69_SCa</vt:lpstr>
      <vt:lpstr>v_69_SCAT</vt:lpstr>
      <vt:lpstr>v_69_SCH4</vt:lpstr>
      <vt:lpstr>v_69_SCO2</vt:lpstr>
      <vt:lpstr>v_69_SFe2</vt:lpstr>
      <vt:lpstr>v_69_SH2</vt:lpstr>
      <vt:lpstr>v_69_SK</vt:lpstr>
      <vt:lpstr>v_69_SMEOL</vt:lpstr>
      <vt:lpstr>v_69_SMg</vt:lpstr>
      <vt:lpstr>v_69_SN_B</vt:lpstr>
      <vt:lpstr>v_69_SN2</vt:lpstr>
      <vt:lpstr>v_69_SNHx</vt:lpstr>
      <vt:lpstr>v_69_SNO2</vt:lpstr>
      <vt:lpstr>v_69_SNO3</vt:lpstr>
      <vt:lpstr>v_69_SO2</vt:lpstr>
      <vt:lpstr>v_69_SORPswitch</vt:lpstr>
      <vt:lpstr>v_69_SP_B</vt:lpstr>
      <vt:lpstr>v_69_SPO4</vt:lpstr>
      <vt:lpstr>v_69_SU</vt:lpstr>
      <vt:lpstr>v_69_SVFA</vt:lpstr>
      <vt:lpstr>v_69_XACP</vt:lpstr>
      <vt:lpstr>v_69_XAMETO</vt:lpstr>
      <vt:lpstr>v_69_XAMX</vt:lpstr>
      <vt:lpstr>v_69_XAOB</vt:lpstr>
      <vt:lpstr>v_69_XB</vt:lpstr>
      <vt:lpstr>v_69_XBSH</vt:lpstr>
      <vt:lpstr>v_69_XCaCO3</vt:lpstr>
      <vt:lpstr>v_69_XCASTO</vt:lpstr>
      <vt:lpstr>v_69_XE</vt:lpstr>
      <vt:lpstr>v_69_XE_ana</vt:lpstr>
      <vt:lpstr>v_69_XGLY</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v_69_XINORG</vt:lpstr>
      <vt:lpstr>v_69_XMEOLO</vt:lpstr>
      <vt:lpstr>v_69_XN_B</vt:lpstr>
      <vt:lpstr>v_69_XN_U</vt:lpstr>
      <vt:lpstr>v_69_XNOB</vt:lpstr>
      <vt:lpstr>v_69_XOHO</vt:lpstr>
      <vt:lpstr>v_69_XP_B</vt:lpstr>
      <vt:lpstr>v_69_XP_U</vt:lpstr>
      <vt:lpstr>v_69_XPHA</vt:lpstr>
      <vt:lpstr>v_69_XPP</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v_7_GN2</vt:lpstr>
      <vt:lpstr>v_7_GN2_atm</vt:lpstr>
      <vt:lpstr>v_7_GNH3</vt:lpstr>
      <vt:lpstr>v_7_GNH3_atm</vt:lpstr>
      <vt:lpstr>v_7_GO2</vt:lpstr>
      <vt:lpstr>v_7_GO2_atm</vt:lpstr>
      <vt:lpstr>v_7_H</vt:lpstr>
      <vt:lpstr>v_7_SALPHA</vt:lpstr>
      <vt:lpstr>v_7_SAN</vt:lpstr>
      <vt:lpstr>v_7_SB</vt:lpstr>
      <vt:lpstr>v_7_SCa</vt:lpstr>
      <vt:lpstr>v_7_SCAT</vt:lpstr>
      <vt:lpstr>v_7_SCH4</vt:lpstr>
      <vt:lpstr>v_7_SCO2</vt:lpstr>
      <vt:lpstr>v_7_SFe2</vt:lpstr>
      <vt:lpstr>v_7_SH2</vt:lpstr>
      <vt:lpstr>v_7_SK</vt:lpstr>
      <vt:lpstr>v_7_SMEOL</vt:lpstr>
      <vt:lpstr>v_7_SMg</vt:lpstr>
      <vt:lpstr>v_7_SN_B</vt:lpstr>
      <vt:lpstr>v_7_SN2</vt:lpstr>
      <vt:lpstr>v_7_SNHx</vt:lpstr>
      <vt:lpstr>v_7_SNO2</vt:lpstr>
      <vt:lpstr>v_7_SNO3</vt:lpstr>
      <vt:lpstr>v_7_SO2</vt:lpstr>
      <vt:lpstr>v_7_SORPswitch</vt:lpstr>
      <vt:lpstr>v_7_SP_B</vt:lpstr>
      <vt:lpstr>v_7_SPO4</vt:lpstr>
      <vt:lpstr>v_7_SU</vt:lpstr>
      <vt:lpstr>v_7_SVFA</vt:lpstr>
      <vt:lpstr>v_7_XACP</vt:lpstr>
      <vt:lpstr>v_7_XAMETO</vt:lpstr>
      <vt:lpstr>v_7_XAMX</vt:lpstr>
      <vt:lpstr>v_7_XAOB</vt:lpstr>
      <vt:lpstr>v_7_XB</vt:lpstr>
      <vt:lpstr>v_7_XBSH</vt:lpstr>
      <vt:lpstr>v_7_XCaCO3</vt:lpstr>
      <vt:lpstr>v_7_XCASTO</vt:lpstr>
      <vt:lpstr>v_7_XE</vt:lpstr>
      <vt:lpstr>v_7_XE_ana</vt:lpstr>
      <vt:lpstr>v_7_XGLY</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v_7_XINORG</vt:lpstr>
      <vt:lpstr>v_7_XMEOLO</vt:lpstr>
      <vt:lpstr>v_7_XN_B</vt:lpstr>
      <vt:lpstr>v_7_XN_U</vt:lpstr>
      <vt:lpstr>v_7_XNOB</vt:lpstr>
      <vt:lpstr>v_7_XOHO</vt:lpstr>
      <vt:lpstr>v_7_XP_B</vt:lpstr>
      <vt:lpstr>v_7_XP_U</vt:lpstr>
      <vt:lpstr>v_7_XPHA</vt:lpstr>
      <vt:lpstr>v_7_XPP</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v_70_GN2</vt:lpstr>
      <vt:lpstr>v_70_GN2_atm</vt:lpstr>
      <vt:lpstr>v_70_GNH3</vt:lpstr>
      <vt:lpstr>v_70_GNH3_atm</vt:lpstr>
      <vt:lpstr>v_70_GO2</vt:lpstr>
      <vt:lpstr>v_70_GO2_atm</vt:lpstr>
      <vt:lpstr>v_70_H</vt:lpstr>
      <vt:lpstr>v_70_SALPHA</vt:lpstr>
      <vt:lpstr>v_70_SAN</vt:lpstr>
      <vt:lpstr>v_70_SB</vt:lpstr>
      <vt:lpstr>v_70_SCa</vt:lpstr>
      <vt:lpstr>v_70_SCAT</vt:lpstr>
      <vt:lpstr>v_70_SCH4</vt:lpstr>
      <vt:lpstr>v_70_SCO2</vt:lpstr>
      <vt:lpstr>v_70_SFe2</vt:lpstr>
      <vt:lpstr>v_70_SH2</vt:lpstr>
      <vt:lpstr>v_70_SK</vt:lpstr>
      <vt:lpstr>v_70_SMEOL</vt:lpstr>
      <vt:lpstr>v_70_SMg</vt:lpstr>
      <vt:lpstr>v_70_SN_B</vt:lpstr>
      <vt:lpstr>v_70_SN2</vt:lpstr>
      <vt:lpstr>v_70_SNHx</vt:lpstr>
      <vt:lpstr>v_70_SNO2</vt:lpstr>
      <vt:lpstr>v_70_SNO3</vt:lpstr>
      <vt:lpstr>v_70_SO2</vt:lpstr>
      <vt:lpstr>v_70_SORPswitch</vt:lpstr>
      <vt:lpstr>v_70_SP_B</vt:lpstr>
      <vt:lpstr>v_70_SPO4</vt:lpstr>
      <vt:lpstr>v_70_SU</vt:lpstr>
      <vt:lpstr>v_70_SVFA</vt:lpstr>
      <vt:lpstr>v_70_XACP</vt:lpstr>
      <vt:lpstr>v_70_XAMETO</vt:lpstr>
      <vt:lpstr>v_70_XAMX</vt:lpstr>
      <vt:lpstr>v_70_XAOB</vt:lpstr>
      <vt:lpstr>v_70_XB</vt:lpstr>
      <vt:lpstr>v_70_XBSH</vt:lpstr>
      <vt:lpstr>v_70_XCaCO3</vt:lpstr>
      <vt:lpstr>v_70_XCASTO</vt:lpstr>
      <vt:lpstr>v_70_XE</vt:lpstr>
      <vt:lpstr>v_70_XE_ana</vt:lpstr>
      <vt:lpstr>v_70_XGLY</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v_70_XINORG</vt:lpstr>
      <vt:lpstr>v_70_XMEOLO</vt:lpstr>
      <vt:lpstr>v_70_XN_B</vt:lpstr>
      <vt:lpstr>v_70_XN_U</vt:lpstr>
      <vt:lpstr>v_70_XNOB</vt:lpstr>
      <vt:lpstr>v_70_XOHO</vt:lpstr>
      <vt:lpstr>v_70_XP_B</vt:lpstr>
      <vt:lpstr>v_70_XP_U</vt:lpstr>
      <vt:lpstr>v_70_XPHA</vt:lpstr>
      <vt:lpstr>v_70_XPP</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v_71_GN2</vt:lpstr>
      <vt:lpstr>v_71_GN2_atm</vt:lpstr>
      <vt:lpstr>v_71_GNH3</vt:lpstr>
      <vt:lpstr>v_71_GNH3_atm</vt:lpstr>
      <vt:lpstr>v_71_GO2</vt:lpstr>
      <vt:lpstr>v_71_GO2_atm</vt:lpstr>
      <vt:lpstr>v_71_H</vt:lpstr>
      <vt:lpstr>v_71_SALPHA</vt:lpstr>
      <vt:lpstr>v_71_SAN</vt:lpstr>
      <vt:lpstr>v_71_SB</vt:lpstr>
      <vt:lpstr>v_71_SCa</vt:lpstr>
      <vt:lpstr>v_71_SCAT</vt:lpstr>
      <vt:lpstr>v_71_SCH4</vt:lpstr>
      <vt:lpstr>v_71_SCO2</vt:lpstr>
      <vt:lpstr>v_71_SFe2</vt:lpstr>
      <vt:lpstr>v_71_SH2</vt:lpstr>
      <vt:lpstr>v_71_SK</vt:lpstr>
      <vt:lpstr>v_71_SMEOL</vt:lpstr>
      <vt:lpstr>v_71_SMg</vt:lpstr>
      <vt:lpstr>v_71_SN_B</vt:lpstr>
      <vt:lpstr>v_71_SN2</vt:lpstr>
      <vt:lpstr>v_71_SNHx</vt:lpstr>
      <vt:lpstr>v_71_SNO2</vt:lpstr>
      <vt:lpstr>v_71_SNO3</vt:lpstr>
      <vt:lpstr>v_71_SO2</vt:lpstr>
      <vt:lpstr>v_71_SORPswitch</vt:lpstr>
      <vt:lpstr>v_71_SP_B</vt:lpstr>
      <vt:lpstr>v_71_SPO4</vt:lpstr>
      <vt:lpstr>v_71_SU</vt:lpstr>
      <vt:lpstr>v_71_SVFA</vt:lpstr>
      <vt:lpstr>v_71_XACP</vt:lpstr>
      <vt:lpstr>v_71_XAMETO</vt:lpstr>
      <vt:lpstr>v_71_XAMX</vt:lpstr>
      <vt:lpstr>v_71_XAOB</vt:lpstr>
      <vt:lpstr>v_71_XB</vt:lpstr>
      <vt:lpstr>v_71_XBSH</vt:lpstr>
      <vt:lpstr>v_71_XCaCO3</vt:lpstr>
      <vt:lpstr>v_71_XCASTO</vt:lpstr>
      <vt:lpstr>v_71_XE</vt:lpstr>
      <vt:lpstr>v_71_XE_ana</vt:lpstr>
      <vt:lpstr>v_71_XGLY</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v_71_XINORG</vt:lpstr>
      <vt:lpstr>v_71_XMEOLO</vt:lpstr>
      <vt:lpstr>v_71_XN_B</vt:lpstr>
      <vt:lpstr>v_71_XN_U</vt:lpstr>
      <vt:lpstr>v_71_XNOB</vt:lpstr>
      <vt:lpstr>v_71_XOHO</vt:lpstr>
      <vt:lpstr>v_71_XP_B</vt:lpstr>
      <vt:lpstr>v_71_XP_U</vt:lpstr>
      <vt:lpstr>v_71_XPHA</vt:lpstr>
      <vt:lpstr>v_71_XPP</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v_72_GN2</vt:lpstr>
      <vt:lpstr>v_72_GN2_atm</vt:lpstr>
      <vt:lpstr>v_72_GNH3</vt:lpstr>
      <vt:lpstr>v_72_GNH3_atm</vt:lpstr>
      <vt:lpstr>v_72_GO2</vt:lpstr>
      <vt:lpstr>v_72_GO2_atm</vt:lpstr>
      <vt:lpstr>v_72_H</vt:lpstr>
      <vt:lpstr>v_72_SALPHA</vt:lpstr>
      <vt:lpstr>v_72_SAN</vt:lpstr>
      <vt:lpstr>v_72_SB</vt:lpstr>
      <vt:lpstr>v_72_SCa</vt:lpstr>
      <vt:lpstr>v_72_SCAT</vt:lpstr>
      <vt:lpstr>v_72_SCH4</vt:lpstr>
      <vt:lpstr>v_72_SCO2</vt:lpstr>
      <vt:lpstr>v_72_SFe2</vt:lpstr>
      <vt:lpstr>v_72_SH2</vt:lpstr>
      <vt:lpstr>v_72_SK</vt:lpstr>
      <vt:lpstr>v_72_SMEOL</vt:lpstr>
      <vt:lpstr>v_72_SMg</vt:lpstr>
      <vt:lpstr>v_72_SN_B</vt:lpstr>
      <vt:lpstr>v_72_SN2</vt:lpstr>
      <vt:lpstr>v_72_SNHx</vt:lpstr>
      <vt:lpstr>v_72_SNO2</vt:lpstr>
      <vt:lpstr>v_72_SNO3</vt:lpstr>
      <vt:lpstr>v_72_SO2</vt:lpstr>
      <vt:lpstr>v_72_SORPswitch</vt:lpstr>
      <vt:lpstr>v_72_SP_B</vt:lpstr>
      <vt:lpstr>v_72_SPO4</vt:lpstr>
      <vt:lpstr>v_72_SU</vt:lpstr>
      <vt:lpstr>v_72_SVFA</vt:lpstr>
      <vt:lpstr>v_72_XACP</vt:lpstr>
      <vt:lpstr>v_72_XAMETO</vt:lpstr>
      <vt:lpstr>v_72_XAMX</vt:lpstr>
      <vt:lpstr>v_72_XAOB</vt:lpstr>
      <vt:lpstr>v_72_XB</vt:lpstr>
      <vt:lpstr>v_72_XBSH</vt:lpstr>
      <vt:lpstr>v_72_XCaCO3</vt:lpstr>
      <vt:lpstr>v_72_XCASTO</vt:lpstr>
      <vt:lpstr>v_72_XE</vt:lpstr>
      <vt:lpstr>v_72_XE_ana</vt:lpstr>
      <vt:lpstr>v_72_XGLY</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v_72_XINORG</vt:lpstr>
      <vt:lpstr>v_72_XMEOLO</vt:lpstr>
      <vt:lpstr>v_72_XN_B</vt:lpstr>
      <vt:lpstr>v_72_XN_U</vt:lpstr>
      <vt:lpstr>v_72_XNOB</vt:lpstr>
      <vt:lpstr>v_72_XOHO</vt:lpstr>
      <vt:lpstr>v_72_XP_B</vt:lpstr>
      <vt:lpstr>v_72_XP_U</vt:lpstr>
      <vt:lpstr>v_72_XPHA</vt:lpstr>
      <vt:lpstr>v_72_XPP</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v_73_GN2</vt:lpstr>
      <vt:lpstr>v_73_GN2_atm</vt:lpstr>
      <vt:lpstr>v_73_GNH3</vt:lpstr>
      <vt:lpstr>v_73_GNH3_atm</vt:lpstr>
      <vt:lpstr>v_73_GO2</vt:lpstr>
      <vt:lpstr>v_73_GO2_atm</vt:lpstr>
      <vt:lpstr>v_73_H</vt:lpstr>
      <vt:lpstr>v_73_SALPHA</vt:lpstr>
      <vt:lpstr>v_73_SAN</vt:lpstr>
      <vt:lpstr>v_73_SB</vt:lpstr>
      <vt:lpstr>v_73_SCa</vt:lpstr>
      <vt:lpstr>v_73_SCAT</vt:lpstr>
      <vt:lpstr>v_73_SCH4</vt:lpstr>
      <vt:lpstr>v_73_SCO2</vt:lpstr>
      <vt:lpstr>v_73_SFe2</vt:lpstr>
      <vt:lpstr>v_73_SH2</vt:lpstr>
      <vt:lpstr>v_73_SK</vt:lpstr>
      <vt:lpstr>v_73_SMEOL</vt:lpstr>
      <vt:lpstr>v_73_SMg</vt:lpstr>
      <vt:lpstr>v_73_SN_B</vt:lpstr>
      <vt:lpstr>v_73_SN2</vt:lpstr>
      <vt:lpstr>v_73_SNHx</vt:lpstr>
      <vt:lpstr>v_73_SNO2</vt:lpstr>
      <vt:lpstr>v_73_SNO3</vt:lpstr>
      <vt:lpstr>v_73_SO2</vt:lpstr>
      <vt:lpstr>v_73_SORPswitch</vt:lpstr>
      <vt:lpstr>v_73_SP_B</vt:lpstr>
      <vt:lpstr>v_73_SPO4</vt:lpstr>
      <vt:lpstr>v_73_SU</vt:lpstr>
      <vt:lpstr>v_73_SVFA</vt:lpstr>
      <vt:lpstr>v_73_XACP</vt:lpstr>
      <vt:lpstr>v_73_XAMETO</vt:lpstr>
      <vt:lpstr>v_73_XAMX</vt:lpstr>
      <vt:lpstr>v_73_XAOB</vt:lpstr>
      <vt:lpstr>v_73_XB</vt:lpstr>
      <vt:lpstr>v_73_XBSH</vt:lpstr>
      <vt:lpstr>v_73_XCaCO3</vt:lpstr>
      <vt:lpstr>v_73_XCASTO</vt:lpstr>
      <vt:lpstr>v_73_XE</vt:lpstr>
      <vt:lpstr>v_73_XE_ana</vt:lpstr>
      <vt:lpstr>v_73_XGLY</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v_73_XINORG</vt:lpstr>
      <vt:lpstr>v_73_XMEOLO</vt:lpstr>
      <vt:lpstr>v_73_XN_B</vt:lpstr>
      <vt:lpstr>v_73_XN_U</vt:lpstr>
      <vt:lpstr>v_73_XNOB</vt:lpstr>
      <vt:lpstr>v_73_XOHO</vt:lpstr>
      <vt:lpstr>v_73_XP_B</vt:lpstr>
      <vt:lpstr>v_73_XP_U</vt:lpstr>
      <vt:lpstr>v_73_XPHA</vt:lpstr>
      <vt:lpstr>v_73_XPP</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v_74_GN2</vt:lpstr>
      <vt:lpstr>v_74_GN2_atm</vt:lpstr>
      <vt:lpstr>v_74_GNH3</vt:lpstr>
      <vt:lpstr>v_74_GNH3_atm</vt:lpstr>
      <vt:lpstr>v_74_GO2</vt:lpstr>
      <vt:lpstr>v_74_GO2_atm</vt:lpstr>
      <vt:lpstr>v_74_H</vt:lpstr>
      <vt:lpstr>v_74_SALPHA</vt:lpstr>
      <vt:lpstr>v_74_SAN</vt:lpstr>
      <vt:lpstr>v_74_SB</vt:lpstr>
      <vt:lpstr>v_74_SCa</vt:lpstr>
      <vt:lpstr>v_74_SCAT</vt:lpstr>
      <vt:lpstr>v_74_SCH4</vt:lpstr>
      <vt:lpstr>v_74_SCO2</vt:lpstr>
      <vt:lpstr>v_74_SFe2</vt:lpstr>
      <vt:lpstr>v_74_SH2</vt:lpstr>
      <vt:lpstr>v_74_SK</vt:lpstr>
      <vt:lpstr>v_74_SMEOL</vt:lpstr>
      <vt:lpstr>v_74_SMg</vt:lpstr>
      <vt:lpstr>v_74_SN_B</vt:lpstr>
      <vt:lpstr>v_74_SN2</vt:lpstr>
      <vt:lpstr>v_74_SNHx</vt:lpstr>
      <vt:lpstr>v_74_SNO2</vt:lpstr>
      <vt:lpstr>v_74_SNO3</vt:lpstr>
      <vt:lpstr>v_74_SO2</vt:lpstr>
      <vt:lpstr>v_74_SORPswitch</vt:lpstr>
      <vt:lpstr>v_74_SP_B</vt:lpstr>
      <vt:lpstr>v_74_SPO4</vt:lpstr>
      <vt:lpstr>v_74_SU</vt:lpstr>
      <vt:lpstr>v_74_SVFA</vt:lpstr>
      <vt:lpstr>v_74_XACP</vt:lpstr>
      <vt:lpstr>v_74_XAMETO</vt:lpstr>
      <vt:lpstr>v_74_XAMX</vt:lpstr>
      <vt:lpstr>v_74_XAOB</vt:lpstr>
      <vt:lpstr>v_74_XB</vt:lpstr>
      <vt:lpstr>v_74_XBSH</vt:lpstr>
      <vt:lpstr>v_74_XCaCO3</vt:lpstr>
      <vt:lpstr>v_74_XCASTO</vt:lpstr>
      <vt:lpstr>v_74_XE</vt:lpstr>
      <vt:lpstr>v_74_XE_ana</vt:lpstr>
      <vt:lpstr>v_74_XGLY</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v_74_XINORG</vt:lpstr>
      <vt:lpstr>v_74_XMEOLO</vt:lpstr>
      <vt:lpstr>v_74_XN_B</vt:lpstr>
      <vt:lpstr>v_74_XN_U</vt:lpstr>
      <vt:lpstr>v_74_XNOB</vt:lpstr>
      <vt:lpstr>v_74_XOHO</vt:lpstr>
      <vt:lpstr>v_74_XP_B</vt:lpstr>
      <vt:lpstr>v_74_XP_U</vt:lpstr>
      <vt:lpstr>v_74_XPHA</vt:lpstr>
      <vt:lpstr>v_74_XPP</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v_75_GN2</vt:lpstr>
      <vt:lpstr>v_75_GN2_atm</vt:lpstr>
      <vt:lpstr>v_75_GNH3</vt:lpstr>
      <vt:lpstr>v_75_GNH3_atm</vt:lpstr>
      <vt:lpstr>v_75_GO2</vt:lpstr>
      <vt:lpstr>v_75_GO2_atm</vt:lpstr>
      <vt:lpstr>v_75_H</vt:lpstr>
      <vt:lpstr>v_75_SALPHA</vt:lpstr>
      <vt:lpstr>v_75_SAN</vt:lpstr>
      <vt:lpstr>v_75_SB</vt:lpstr>
      <vt:lpstr>v_75_SCa</vt:lpstr>
      <vt:lpstr>v_75_SCAT</vt:lpstr>
      <vt:lpstr>v_75_SCH4</vt:lpstr>
      <vt:lpstr>v_75_SCO2</vt:lpstr>
      <vt:lpstr>v_75_SFe2</vt:lpstr>
      <vt:lpstr>v_75_SH2</vt:lpstr>
      <vt:lpstr>v_75_SK</vt:lpstr>
      <vt:lpstr>v_75_SMEOL</vt:lpstr>
      <vt:lpstr>v_75_SMg</vt:lpstr>
      <vt:lpstr>v_75_SN_B</vt:lpstr>
      <vt:lpstr>v_75_SN2</vt:lpstr>
      <vt:lpstr>v_75_SNHx</vt:lpstr>
      <vt:lpstr>v_75_SNO2</vt:lpstr>
      <vt:lpstr>v_75_SNO3</vt:lpstr>
      <vt:lpstr>v_75_SO2</vt:lpstr>
      <vt:lpstr>v_75_SORPswitch</vt:lpstr>
      <vt:lpstr>v_75_SP_B</vt:lpstr>
      <vt:lpstr>v_75_SPO4</vt:lpstr>
      <vt:lpstr>v_75_SU</vt:lpstr>
      <vt:lpstr>v_75_SVFA</vt:lpstr>
      <vt:lpstr>v_75_XACP</vt:lpstr>
      <vt:lpstr>v_75_XAMETO</vt:lpstr>
      <vt:lpstr>v_75_XAMX</vt:lpstr>
      <vt:lpstr>v_75_XAOB</vt:lpstr>
      <vt:lpstr>v_75_XB</vt:lpstr>
      <vt:lpstr>v_75_XBSH</vt:lpstr>
      <vt:lpstr>v_75_XCaCO3</vt:lpstr>
      <vt:lpstr>v_75_XCASTO</vt:lpstr>
      <vt:lpstr>v_75_XE</vt:lpstr>
      <vt:lpstr>v_75_XE_ana</vt:lpstr>
      <vt:lpstr>v_75_XGLY</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v_75_XINORG</vt:lpstr>
      <vt:lpstr>v_75_XMEOLO</vt:lpstr>
      <vt:lpstr>v_75_XN_B</vt:lpstr>
      <vt:lpstr>v_75_XN_U</vt:lpstr>
      <vt:lpstr>v_75_XNOB</vt:lpstr>
      <vt:lpstr>v_75_XOHO</vt:lpstr>
      <vt:lpstr>v_75_XP_B</vt:lpstr>
      <vt:lpstr>v_75_XP_U</vt:lpstr>
      <vt:lpstr>v_75_XPHA</vt:lpstr>
      <vt:lpstr>v_75_XPP</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v_76_GN2</vt:lpstr>
      <vt:lpstr>v_76_GN2_atm</vt:lpstr>
      <vt:lpstr>v_76_GNH3</vt:lpstr>
      <vt:lpstr>v_76_GNH3_atm</vt:lpstr>
      <vt:lpstr>v_76_GO2</vt:lpstr>
      <vt:lpstr>v_76_GO2_atm</vt:lpstr>
      <vt:lpstr>v_76_H</vt:lpstr>
      <vt:lpstr>v_76_SALPHA</vt:lpstr>
      <vt:lpstr>v_76_SAN</vt:lpstr>
      <vt:lpstr>v_76_SB</vt:lpstr>
      <vt:lpstr>v_76_SCa</vt:lpstr>
      <vt:lpstr>v_76_SCAT</vt:lpstr>
      <vt:lpstr>v_76_SCH4</vt:lpstr>
      <vt:lpstr>v_76_SCO2</vt:lpstr>
      <vt:lpstr>v_76_SFe2</vt:lpstr>
      <vt:lpstr>v_76_SH2</vt:lpstr>
      <vt:lpstr>v_76_SK</vt:lpstr>
      <vt:lpstr>v_76_SMEOL</vt:lpstr>
      <vt:lpstr>v_76_SMg</vt:lpstr>
      <vt:lpstr>v_76_SN_B</vt:lpstr>
      <vt:lpstr>v_76_SN2</vt:lpstr>
      <vt:lpstr>v_76_SNHx</vt:lpstr>
      <vt:lpstr>v_76_SNO2</vt:lpstr>
      <vt:lpstr>v_76_SNO3</vt:lpstr>
      <vt:lpstr>v_76_SO2</vt:lpstr>
      <vt:lpstr>v_76_SORPswitch</vt:lpstr>
      <vt:lpstr>v_76_SP_B</vt:lpstr>
      <vt:lpstr>v_76_SPO4</vt:lpstr>
      <vt:lpstr>v_76_SU</vt:lpstr>
      <vt:lpstr>v_76_SVFA</vt:lpstr>
      <vt:lpstr>v_76_XACP</vt:lpstr>
      <vt:lpstr>v_76_XAMETO</vt:lpstr>
      <vt:lpstr>v_76_XAMX</vt:lpstr>
      <vt:lpstr>v_76_XAOB</vt:lpstr>
      <vt:lpstr>v_76_XB</vt:lpstr>
      <vt:lpstr>v_76_XBSH</vt:lpstr>
      <vt:lpstr>v_76_XCaCO3</vt:lpstr>
      <vt:lpstr>v_76_XCASTO</vt:lpstr>
      <vt:lpstr>v_76_XE</vt:lpstr>
      <vt:lpstr>v_76_XE_ana</vt:lpstr>
      <vt:lpstr>v_76_XGLY</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v_76_XINORG</vt:lpstr>
      <vt:lpstr>v_76_XMEOLO</vt:lpstr>
      <vt:lpstr>v_76_XN_B</vt:lpstr>
      <vt:lpstr>v_76_XN_U</vt:lpstr>
      <vt:lpstr>v_76_XNOB</vt:lpstr>
      <vt:lpstr>v_76_XOHO</vt:lpstr>
      <vt:lpstr>v_76_XP_B</vt:lpstr>
      <vt:lpstr>v_76_XP_U</vt:lpstr>
      <vt:lpstr>v_76_XPHA</vt:lpstr>
      <vt:lpstr>v_76_XPP</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v_77_GN2</vt:lpstr>
      <vt:lpstr>v_77_GN2_atm</vt:lpstr>
      <vt:lpstr>v_77_GNH3</vt:lpstr>
      <vt:lpstr>v_77_GNH3_atm</vt:lpstr>
      <vt:lpstr>v_77_GO2</vt:lpstr>
      <vt:lpstr>v_77_GO2_atm</vt:lpstr>
      <vt:lpstr>v_77_H</vt:lpstr>
      <vt:lpstr>v_77_SALPHA</vt:lpstr>
      <vt:lpstr>v_77_SAN</vt:lpstr>
      <vt:lpstr>v_77_SB</vt:lpstr>
      <vt:lpstr>v_77_SCa</vt:lpstr>
      <vt:lpstr>v_77_SCAT</vt:lpstr>
      <vt:lpstr>v_77_SCH4</vt:lpstr>
      <vt:lpstr>v_77_SCO2</vt:lpstr>
      <vt:lpstr>v_77_SFe2</vt:lpstr>
      <vt:lpstr>v_77_SH2</vt:lpstr>
      <vt:lpstr>v_77_SK</vt:lpstr>
      <vt:lpstr>v_77_SMEOL</vt:lpstr>
      <vt:lpstr>v_77_SMg</vt:lpstr>
      <vt:lpstr>v_77_SN_B</vt:lpstr>
      <vt:lpstr>v_77_SN2</vt:lpstr>
      <vt:lpstr>v_77_SNHx</vt:lpstr>
      <vt:lpstr>v_77_SNO2</vt:lpstr>
      <vt:lpstr>v_77_SNO3</vt:lpstr>
      <vt:lpstr>v_77_SO2</vt:lpstr>
      <vt:lpstr>v_77_SORPswitch</vt:lpstr>
      <vt:lpstr>v_77_SP_B</vt:lpstr>
      <vt:lpstr>v_77_SPO4</vt:lpstr>
      <vt:lpstr>v_77_SU</vt:lpstr>
      <vt:lpstr>v_77_SVFA</vt:lpstr>
      <vt:lpstr>v_77_XACP</vt:lpstr>
      <vt:lpstr>v_77_XAMETO</vt:lpstr>
      <vt:lpstr>v_77_XAMX</vt:lpstr>
      <vt:lpstr>v_77_XAOB</vt:lpstr>
      <vt:lpstr>v_77_XB</vt:lpstr>
      <vt:lpstr>v_77_XBSH</vt:lpstr>
      <vt:lpstr>v_77_XCaCO3</vt:lpstr>
      <vt:lpstr>v_77_XCASTO</vt:lpstr>
      <vt:lpstr>v_77_XE</vt:lpstr>
      <vt:lpstr>v_77_XE_ana</vt:lpstr>
      <vt:lpstr>v_77_XGLY</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v_77_XINORG</vt:lpstr>
      <vt:lpstr>v_77_XMEOLO</vt:lpstr>
      <vt:lpstr>v_77_XN_B</vt:lpstr>
      <vt:lpstr>v_77_XN_U</vt:lpstr>
      <vt:lpstr>v_77_XNOB</vt:lpstr>
      <vt:lpstr>v_77_XOHO</vt:lpstr>
      <vt:lpstr>v_77_XP_B</vt:lpstr>
      <vt:lpstr>v_77_XP_U</vt:lpstr>
      <vt:lpstr>v_77_XPHA</vt:lpstr>
      <vt:lpstr>v_77_XPP</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v_78_GN2</vt:lpstr>
      <vt:lpstr>v_78_GN2_atm</vt:lpstr>
      <vt:lpstr>v_78_GNH3</vt:lpstr>
      <vt:lpstr>v_78_GNH3_atm</vt:lpstr>
      <vt:lpstr>v_78_GO2</vt:lpstr>
      <vt:lpstr>v_78_GO2_atm</vt:lpstr>
      <vt:lpstr>v_78_H</vt:lpstr>
      <vt:lpstr>v_78_SALPHA</vt:lpstr>
      <vt:lpstr>v_78_SAN</vt:lpstr>
      <vt:lpstr>v_78_SB</vt:lpstr>
      <vt:lpstr>v_78_SCa</vt:lpstr>
      <vt:lpstr>v_78_SCAT</vt:lpstr>
      <vt:lpstr>v_78_SCH4</vt:lpstr>
      <vt:lpstr>v_78_SCO2</vt:lpstr>
      <vt:lpstr>v_78_SFe2</vt:lpstr>
      <vt:lpstr>v_78_SH2</vt:lpstr>
      <vt:lpstr>v_78_SK</vt:lpstr>
      <vt:lpstr>v_78_SMEOL</vt:lpstr>
      <vt:lpstr>v_78_SMg</vt:lpstr>
      <vt:lpstr>v_78_SN_B</vt:lpstr>
      <vt:lpstr>v_78_SN2</vt:lpstr>
      <vt:lpstr>v_78_SNHx</vt:lpstr>
      <vt:lpstr>v_78_SNO2</vt:lpstr>
      <vt:lpstr>v_78_SNO3</vt:lpstr>
      <vt:lpstr>v_78_SO2</vt:lpstr>
      <vt:lpstr>v_78_SORPswitch</vt:lpstr>
      <vt:lpstr>v_78_SP_B</vt:lpstr>
      <vt:lpstr>v_78_SPO4</vt:lpstr>
      <vt:lpstr>v_78_SU</vt:lpstr>
      <vt:lpstr>v_78_SVFA</vt:lpstr>
      <vt:lpstr>v_78_XACP</vt:lpstr>
      <vt:lpstr>v_78_XAMETO</vt:lpstr>
      <vt:lpstr>v_78_XAMX</vt:lpstr>
      <vt:lpstr>v_78_XAOB</vt:lpstr>
      <vt:lpstr>v_78_XB</vt:lpstr>
      <vt:lpstr>v_78_XBSH</vt:lpstr>
      <vt:lpstr>v_78_XCaCO3</vt:lpstr>
      <vt:lpstr>v_78_XCASTO</vt:lpstr>
      <vt:lpstr>v_78_XE</vt:lpstr>
      <vt:lpstr>v_78_XE_ana</vt:lpstr>
      <vt:lpstr>v_78_XGLY</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v_78_XINORG</vt:lpstr>
      <vt:lpstr>v_78_XMEOLO</vt:lpstr>
      <vt:lpstr>v_78_XN_B</vt:lpstr>
      <vt:lpstr>v_78_XN_U</vt:lpstr>
      <vt:lpstr>v_78_XNOB</vt:lpstr>
      <vt:lpstr>v_78_XOHO</vt:lpstr>
      <vt:lpstr>v_78_XP_B</vt:lpstr>
      <vt:lpstr>v_78_XP_U</vt:lpstr>
      <vt:lpstr>v_78_XPHA</vt:lpstr>
      <vt:lpstr>v_78_XPP</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v_79_GN2</vt:lpstr>
      <vt:lpstr>v_79_GN2_atm</vt:lpstr>
      <vt:lpstr>v_79_GNH3</vt:lpstr>
      <vt:lpstr>v_79_GNH3_atm</vt:lpstr>
      <vt:lpstr>v_79_GO2</vt:lpstr>
      <vt:lpstr>v_79_GO2_atm</vt:lpstr>
      <vt:lpstr>v_79_H</vt:lpstr>
      <vt:lpstr>v_79_SALPHA</vt:lpstr>
      <vt:lpstr>v_79_SAN</vt:lpstr>
      <vt:lpstr>v_79_SB</vt:lpstr>
      <vt:lpstr>v_79_SCa</vt:lpstr>
      <vt:lpstr>v_79_SCAT</vt:lpstr>
      <vt:lpstr>v_79_SCH4</vt:lpstr>
      <vt:lpstr>v_79_SCO2</vt:lpstr>
      <vt:lpstr>v_79_SFe2</vt:lpstr>
      <vt:lpstr>v_79_SH2</vt:lpstr>
      <vt:lpstr>v_79_SK</vt:lpstr>
      <vt:lpstr>v_79_SMEOL</vt:lpstr>
      <vt:lpstr>v_79_SMg</vt:lpstr>
      <vt:lpstr>v_79_SN_B</vt:lpstr>
      <vt:lpstr>v_79_SN2</vt:lpstr>
      <vt:lpstr>v_79_SNHx</vt:lpstr>
      <vt:lpstr>v_79_SNO2</vt:lpstr>
      <vt:lpstr>v_79_SNO3</vt:lpstr>
      <vt:lpstr>v_79_SO2</vt:lpstr>
      <vt:lpstr>v_79_SORPswitch</vt:lpstr>
      <vt:lpstr>v_79_SP_B</vt:lpstr>
      <vt:lpstr>v_79_SPO4</vt:lpstr>
      <vt:lpstr>v_79_SU</vt:lpstr>
      <vt:lpstr>v_79_SVFA</vt:lpstr>
      <vt:lpstr>v_79_XACP</vt:lpstr>
      <vt:lpstr>v_79_XAMETO</vt:lpstr>
      <vt:lpstr>v_79_XAMX</vt:lpstr>
      <vt:lpstr>v_79_XAOB</vt:lpstr>
      <vt:lpstr>v_79_XB</vt:lpstr>
      <vt:lpstr>v_79_XBSH</vt:lpstr>
      <vt:lpstr>v_79_XCaCO3</vt:lpstr>
      <vt:lpstr>v_79_XCASTO</vt:lpstr>
      <vt:lpstr>v_79_XE</vt:lpstr>
      <vt:lpstr>v_79_XE_ana</vt:lpstr>
      <vt:lpstr>v_79_XGLY</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v_79_XINORG</vt:lpstr>
      <vt:lpstr>v_79_XMEOLO</vt:lpstr>
      <vt:lpstr>v_79_XN_B</vt:lpstr>
      <vt:lpstr>v_79_XN_U</vt:lpstr>
      <vt:lpstr>v_79_XNOB</vt:lpstr>
      <vt:lpstr>v_79_XOHO</vt:lpstr>
      <vt:lpstr>v_79_XP_B</vt:lpstr>
      <vt:lpstr>v_79_XP_U</vt:lpstr>
      <vt:lpstr>v_79_XPHA</vt:lpstr>
      <vt:lpstr>v_79_XPP</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v_8_GN2</vt:lpstr>
      <vt:lpstr>v_8_GN2_atm</vt:lpstr>
      <vt:lpstr>v_8_GNH3</vt:lpstr>
      <vt:lpstr>v_8_GNH3_atm</vt:lpstr>
      <vt:lpstr>v_8_GO2</vt:lpstr>
      <vt:lpstr>v_8_GO2_atm</vt:lpstr>
      <vt:lpstr>v_8_H</vt:lpstr>
      <vt:lpstr>v_8_SALPHA</vt:lpstr>
      <vt:lpstr>v_8_SAN</vt:lpstr>
      <vt:lpstr>v_8_SB</vt:lpstr>
      <vt:lpstr>v_8_SCa</vt:lpstr>
      <vt:lpstr>v_8_SCAT</vt:lpstr>
      <vt:lpstr>v_8_SCH4</vt:lpstr>
      <vt:lpstr>v_8_SCO2</vt:lpstr>
      <vt:lpstr>v_8_SFe2</vt:lpstr>
      <vt:lpstr>v_8_SH2</vt:lpstr>
      <vt:lpstr>v_8_SK</vt:lpstr>
      <vt:lpstr>v_8_SMEOL</vt:lpstr>
      <vt:lpstr>v_8_SMg</vt:lpstr>
      <vt:lpstr>v_8_SN_B</vt:lpstr>
      <vt:lpstr>v_8_SN2</vt:lpstr>
      <vt:lpstr>v_8_SNHx</vt:lpstr>
      <vt:lpstr>v_8_SNO2</vt:lpstr>
      <vt:lpstr>v_8_SNO3</vt:lpstr>
      <vt:lpstr>v_8_SO2</vt:lpstr>
      <vt:lpstr>v_8_SORPswitch</vt:lpstr>
      <vt:lpstr>v_8_SP_B</vt:lpstr>
      <vt:lpstr>v_8_SPO4</vt:lpstr>
      <vt:lpstr>v_8_SU</vt:lpstr>
      <vt:lpstr>v_8_SVFA</vt:lpstr>
      <vt:lpstr>v_8_XACP</vt:lpstr>
      <vt:lpstr>v_8_XAMETO</vt:lpstr>
      <vt:lpstr>v_8_XAMX</vt:lpstr>
      <vt:lpstr>v_8_XAOB</vt:lpstr>
      <vt:lpstr>v_8_XB</vt:lpstr>
      <vt:lpstr>v_8_XBSH</vt:lpstr>
      <vt:lpstr>v_8_XCaCO3</vt:lpstr>
      <vt:lpstr>v_8_XCASTO</vt:lpstr>
      <vt:lpstr>v_8_XE</vt:lpstr>
      <vt:lpstr>v_8_XE_ana</vt:lpstr>
      <vt:lpstr>v_8_XGLY</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v_8_XINORG</vt:lpstr>
      <vt:lpstr>v_8_XMEOLO</vt:lpstr>
      <vt:lpstr>v_8_XN_B</vt:lpstr>
      <vt:lpstr>v_8_XN_U</vt:lpstr>
      <vt:lpstr>v_8_XNOB</vt:lpstr>
      <vt:lpstr>v_8_XOHO</vt:lpstr>
      <vt:lpstr>v_8_XP_B</vt:lpstr>
      <vt:lpstr>v_8_XP_U</vt:lpstr>
      <vt:lpstr>v_8_XPHA</vt:lpstr>
      <vt:lpstr>v_8_XPP</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v_80_GN2</vt:lpstr>
      <vt:lpstr>v_80_GN2_atm</vt:lpstr>
      <vt:lpstr>v_80_GNH3</vt:lpstr>
      <vt:lpstr>v_80_GNH3_atm</vt:lpstr>
      <vt:lpstr>v_80_GO2</vt:lpstr>
      <vt:lpstr>v_80_GO2_atm</vt:lpstr>
      <vt:lpstr>v_80_H</vt:lpstr>
      <vt:lpstr>v_80_SALPHA</vt:lpstr>
      <vt:lpstr>v_80_SAN</vt:lpstr>
      <vt:lpstr>v_80_SB</vt:lpstr>
      <vt:lpstr>v_80_SCa</vt:lpstr>
      <vt:lpstr>v_80_SCAT</vt:lpstr>
      <vt:lpstr>v_80_SCH4</vt:lpstr>
      <vt:lpstr>v_80_SCO2</vt:lpstr>
      <vt:lpstr>v_80_SFe2</vt:lpstr>
      <vt:lpstr>v_80_SH2</vt:lpstr>
      <vt:lpstr>v_80_SK</vt:lpstr>
      <vt:lpstr>v_80_SMEOL</vt:lpstr>
      <vt:lpstr>v_80_SMg</vt:lpstr>
      <vt:lpstr>v_80_SN_B</vt:lpstr>
      <vt:lpstr>v_80_SN2</vt:lpstr>
      <vt:lpstr>v_80_SNHx</vt:lpstr>
      <vt:lpstr>v_80_SNO2</vt:lpstr>
      <vt:lpstr>v_80_SNO3</vt:lpstr>
      <vt:lpstr>v_80_SO2</vt:lpstr>
      <vt:lpstr>v_80_SORPswitch</vt:lpstr>
      <vt:lpstr>v_80_SP_B</vt:lpstr>
      <vt:lpstr>v_80_SPO4</vt:lpstr>
      <vt:lpstr>v_80_SU</vt:lpstr>
      <vt:lpstr>v_80_SVFA</vt:lpstr>
      <vt:lpstr>v_80_XACP</vt:lpstr>
      <vt:lpstr>v_80_XAMETO</vt:lpstr>
      <vt:lpstr>v_80_XAMX</vt:lpstr>
      <vt:lpstr>v_80_XAOB</vt:lpstr>
      <vt:lpstr>v_80_XB</vt:lpstr>
      <vt:lpstr>v_80_XBSH</vt:lpstr>
      <vt:lpstr>v_80_XCaCO3</vt:lpstr>
      <vt:lpstr>v_80_XCASTO</vt:lpstr>
      <vt:lpstr>v_80_XE</vt:lpstr>
      <vt:lpstr>v_80_XE_ana</vt:lpstr>
      <vt:lpstr>v_80_XGLY</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v_80_XINORG</vt:lpstr>
      <vt:lpstr>v_80_XMEOLO</vt:lpstr>
      <vt:lpstr>v_80_XN_B</vt:lpstr>
      <vt:lpstr>v_80_XN_U</vt:lpstr>
      <vt:lpstr>v_80_XNOB</vt:lpstr>
      <vt:lpstr>v_80_XOHO</vt:lpstr>
      <vt:lpstr>v_80_XP_B</vt:lpstr>
      <vt:lpstr>v_80_XP_U</vt:lpstr>
      <vt:lpstr>v_80_XPHA</vt:lpstr>
      <vt:lpstr>v_80_XPP</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v_81_GN2</vt:lpstr>
      <vt:lpstr>v_81_GN2_atm</vt:lpstr>
      <vt:lpstr>v_81_GNH3</vt:lpstr>
      <vt:lpstr>v_81_GNH3_atm</vt:lpstr>
      <vt:lpstr>v_81_GO2</vt:lpstr>
      <vt:lpstr>v_81_GO2_atm</vt:lpstr>
      <vt:lpstr>v_81_H</vt:lpstr>
      <vt:lpstr>v_81_SALPHA</vt:lpstr>
      <vt:lpstr>v_81_SAN</vt:lpstr>
      <vt:lpstr>v_81_SB</vt:lpstr>
      <vt:lpstr>v_81_SCa</vt:lpstr>
      <vt:lpstr>v_81_SCAT</vt:lpstr>
      <vt:lpstr>v_81_SCH4</vt:lpstr>
      <vt:lpstr>v_81_SCO2</vt:lpstr>
      <vt:lpstr>v_81_SFe2</vt:lpstr>
      <vt:lpstr>v_81_SH2</vt:lpstr>
      <vt:lpstr>v_81_SK</vt:lpstr>
      <vt:lpstr>v_81_SMEOL</vt:lpstr>
      <vt:lpstr>v_81_SMg</vt:lpstr>
      <vt:lpstr>v_81_SN_B</vt:lpstr>
      <vt:lpstr>v_81_SN2</vt:lpstr>
      <vt:lpstr>v_81_SNHx</vt:lpstr>
      <vt:lpstr>v_81_SNO2</vt:lpstr>
      <vt:lpstr>v_81_SNO3</vt:lpstr>
      <vt:lpstr>v_81_SO2</vt:lpstr>
      <vt:lpstr>v_81_SORPswitch</vt:lpstr>
      <vt:lpstr>v_81_SP_B</vt:lpstr>
      <vt:lpstr>v_81_SPO4</vt:lpstr>
      <vt:lpstr>v_81_SU</vt:lpstr>
      <vt:lpstr>v_81_SVFA</vt:lpstr>
      <vt:lpstr>v_81_XACP</vt:lpstr>
      <vt:lpstr>v_81_XAMETO</vt:lpstr>
      <vt:lpstr>v_81_XAMX</vt:lpstr>
      <vt:lpstr>v_81_XAOB</vt:lpstr>
      <vt:lpstr>v_81_XB</vt:lpstr>
      <vt:lpstr>v_81_XBSH</vt:lpstr>
      <vt:lpstr>v_81_XCaCO3</vt:lpstr>
      <vt:lpstr>v_81_XCASTO</vt:lpstr>
      <vt:lpstr>v_81_XE</vt:lpstr>
      <vt:lpstr>v_81_XE_ana</vt:lpstr>
      <vt:lpstr>v_81_XGLY</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v_81_XINORG</vt:lpstr>
      <vt:lpstr>v_81_XMEOLO</vt:lpstr>
      <vt:lpstr>v_81_XN_B</vt:lpstr>
      <vt:lpstr>v_81_XN_U</vt:lpstr>
      <vt:lpstr>v_81_XNOB</vt:lpstr>
      <vt:lpstr>v_81_XOHO</vt:lpstr>
      <vt:lpstr>v_81_XP_B</vt:lpstr>
      <vt:lpstr>v_81_XP_U</vt:lpstr>
      <vt:lpstr>v_81_XPHA</vt:lpstr>
      <vt:lpstr>v_81_XPP</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v_82_GN2</vt:lpstr>
      <vt:lpstr>v_82_GN2_atm</vt:lpstr>
      <vt:lpstr>v_82_GNH3</vt:lpstr>
      <vt:lpstr>v_82_GNH3_atm</vt:lpstr>
      <vt:lpstr>v_82_GO2</vt:lpstr>
      <vt:lpstr>v_82_GO2_atm</vt:lpstr>
      <vt:lpstr>v_82_H</vt:lpstr>
      <vt:lpstr>v_82_SALPHA</vt:lpstr>
      <vt:lpstr>v_82_SAN</vt:lpstr>
      <vt:lpstr>v_82_SB</vt:lpstr>
      <vt:lpstr>v_82_SCa</vt:lpstr>
      <vt:lpstr>v_82_SCAT</vt:lpstr>
      <vt:lpstr>v_82_SCH4</vt:lpstr>
      <vt:lpstr>v_82_SCO2</vt:lpstr>
      <vt:lpstr>v_82_SFe2</vt:lpstr>
      <vt:lpstr>v_82_SH2</vt:lpstr>
      <vt:lpstr>v_82_SK</vt:lpstr>
      <vt:lpstr>v_82_SMEOL</vt:lpstr>
      <vt:lpstr>v_82_SMg</vt:lpstr>
      <vt:lpstr>v_82_SN_B</vt:lpstr>
      <vt:lpstr>v_82_SN2</vt:lpstr>
      <vt:lpstr>v_82_SNHx</vt:lpstr>
      <vt:lpstr>v_82_SNO2</vt:lpstr>
      <vt:lpstr>v_82_SNO3</vt:lpstr>
      <vt:lpstr>v_82_SO2</vt:lpstr>
      <vt:lpstr>v_82_SORPswitch</vt:lpstr>
      <vt:lpstr>v_82_SP_B</vt:lpstr>
      <vt:lpstr>v_82_SPO4</vt:lpstr>
      <vt:lpstr>v_82_SU</vt:lpstr>
      <vt:lpstr>v_82_SVFA</vt:lpstr>
      <vt:lpstr>v_82_XACP</vt:lpstr>
      <vt:lpstr>v_82_XAMETO</vt:lpstr>
      <vt:lpstr>v_82_XAMX</vt:lpstr>
      <vt:lpstr>v_82_XAOB</vt:lpstr>
      <vt:lpstr>v_82_XB</vt:lpstr>
      <vt:lpstr>v_82_XBSH</vt:lpstr>
      <vt:lpstr>v_82_XCaCO3</vt:lpstr>
      <vt:lpstr>v_82_XCASTO</vt:lpstr>
      <vt:lpstr>v_82_XE</vt:lpstr>
      <vt:lpstr>v_82_XE_ana</vt:lpstr>
      <vt:lpstr>v_82_XGLY</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v_82_XINORG</vt:lpstr>
      <vt:lpstr>v_82_XMEOLO</vt:lpstr>
      <vt:lpstr>v_82_XN_B</vt:lpstr>
      <vt:lpstr>v_82_XN_U</vt:lpstr>
      <vt:lpstr>v_82_XNOB</vt:lpstr>
      <vt:lpstr>v_82_XOHO</vt:lpstr>
      <vt:lpstr>v_82_XP_B</vt:lpstr>
      <vt:lpstr>v_82_XP_U</vt:lpstr>
      <vt:lpstr>v_82_XPHA</vt:lpstr>
      <vt:lpstr>v_82_XPP</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v_83_GN2</vt:lpstr>
      <vt:lpstr>v_83_GN2_atm</vt:lpstr>
      <vt:lpstr>v_83_GNH3</vt:lpstr>
      <vt:lpstr>v_83_GNH3_atm</vt:lpstr>
      <vt:lpstr>v_83_GO2</vt:lpstr>
      <vt:lpstr>v_83_GO2_atm</vt:lpstr>
      <vt:lpstr>v_83_H</vt:lpstr>
      <vt:lpstr>v_83_SALPHA</vt:lpstr>
      <vt:lpstr>v_83_SAN</vt:lpstr>
      <vt:lpstr>v_83_SB</vt:lpstr>
      <vt:lpstr>v_83_SCa</vt:lpstr>
      <vt:lpstr>v_83_SCAT</vt:lpstr>
      <vt:lpstr>v_83_SCH4</vt:lpstr>
      <vt:lpstr>v_83_SCO2</vt:lpstr>
      <vt:lpstr>v_83_SFe2</vt:lpstr>
      <vt:lpstr>v_83_SH2</vt:lpstr>
      <vt:lpstr>v_83_SK</vt:lpstr>
      <vt:lpstr>v_83_SMEOL</vt:lpstr>
      <vt:lpstr>v_83_SMg</vt:lpstr>
      <vt:lpstr>v_83_SN_B</vt:lpstr>
      <vt:lpstr>v_83_SN2</vt:lpstr>
      <vt:lpstr>v_83_SNHx</vt:lpstr>
      <vt:lpstr>v_83_SNO2</vt:lpstr>
      <vt:lpstr>v_83_SNO3</vt:lpstr>
      <vt:lpstr>v_83_SO2</vt:lpstr>
      <vt:lpstr>v_83_SORPswitch</vt:lpstr>
      <vt:lpstr>v_83_SP_B</vt:lpstr>
      <vt:lpstr>v_83_SPO4</vt:lpstr>
      <vt:lpstr>v_83_SU</vt:lpstr>
      <vt:lpstr>v_83_SVFA</vt:lpstr>
      <vt:lpstr>v_83_XACP</vt:lpstr>
      <vt:lpstr>v_83_XAMETO</vt:lpstr>
      <vt:lpstr>v_83_XAMX</vt:lpstr>
      <vt:lpstr>v_83_XAOB</vt:lpstr>
      <vt:lpstr>v_83_XB</vt:lpstr>
      <vt:lpstr>v_83_XBSH</vt:lpstr>
      <vt:lpstr>v_83_XCaCO3</vt:lpstr>
      <vt:lpstr>v_83_XCASTO</vt:lpstr>
      <vt:lpstr>v_83_XE</vt:lpstr>
      <vt:lpstr>v_83_XE_ana</vt:lpstr>
      <vt:lpstr>v_83_XGLY</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v_83_XINORG</vt:lpstr>
      <vt:lpstr>v_83_XMEOLO</vt:lpstr>
      <vt:lpstr>v_83_XN_B</vt:lpstr>
      <vt:lpstr>v_83_XN_U</vt:lpstr>
      <vt:lpstr>v_83_XNOB</vt:lpstr>
      <vt:lpstr>v_83_XOHO</vt:lpstr>
      <vt:lpstr>v_83_XP_B</vt:lpstr>
      <vt:lpstr>v_83_XP_U</vt:lpstr>
      <vt:lpstr>v_83_XPHA</vt:lpstr>
      <vt:lpstr>v_83_XPP</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v_84_GN2</vt:lpstr>
      <vt:lpstr>v_84_GN2_atm</vt:lpstr>
      <vt:lpstr>v_84_GNH3</vt:lpstr>
      <vt:lpstr>v_84_GNH3_atm</vt:lpstr>
      <vt:lpstr>v_84_GO2</vt:lpstr>
      <vt:lpstr>v_84_GO2_atm</vt:lpstr>
      <vt:lpstr>v_84_H</vt:lpstr>
      <vt:lpstr>v_84_SALPHA</vt:lpstr>
      <vt:lpstr>v_84_SAN</vt:lpstr>
      <vt:lpstr>v_84_SB</vt:lpstr>
      <vt:lpstr>v_84_SCa</vt:lpstr>
      <vt:lpstr>v_84_SCAT</vt:lpstr>
      <vt:lpstr>v_84_SCH4</vt:lpstr>
      <vt:lpstr>v_84_SCO2</vt:lpstr>
      <vt:lpstr>v_84_SFe2</vt:lpstr>
      <vt:lpstr>v_84_SH2</vt:lpstr>
      <vt:lpstr>v_84_SK</vt:lpstr>
      <vt:lpstr>v_84_SMEOL</vt:lpstr>
      <vt:lpstr>v_84_SMg</vt:lpstr>
      <vt:lpstr>v_84_SN_B</vt:lpstr>
      <vt:lpstr>v_84_SN2</vt:lpstr>
      <vt:lpstr>v_84_SNHx</vt:lpstr>
      <vt:lpstr>v_84_SNO2</vt:lpstr>
      <vt:lpstr>v_84_SNO3</vt:lpstr>
      <vt:lpstr>v_84_SO2</vt:lpstr>
      <vt:lpstr>v_84_SORPswitch</vt:lpstr>
      <vt:lpstr>v_84_SP_B</vt:lpstr>
      <vt:lpstr>v_84_SPO4</vt:lpstr>
      <vt:lpstr>v_84_SU</vt:lpstr>
      <vt:lpstr>v_84_SVFA</vt:lpstr>
      <vt:lpstr>v_84_XACP</vt:lpstr>
      <vt:lpstr>v_84_XAMETO</vt:lpstr>
      <vt:lpstr>v_84_XAMX</vt:lpstr>
      <vt:lpstr>v_84_XAOB</vt:lpstr>
      <vt:lpstr>v_84_XB</vt:lpstr>
      <vt:lpstr>v_84_XBSH</vt:lpstr>
      <vt:lpstr>v_84_XCaCO3</vt:lpstr>
      <vt:lpstr>v_84_XCASTO</vt:lpstr>
      <vt:lpstr>v_84_XE</vt:lpstr>
      <vt:lpstr>v_84_XE_ana</vt:lpstr>
      <vt:lpstr>v_84_XGLY</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v_84_XINORG</vt:lpstr>
      <vt:lpstr>v_84_XMEOLO</vt:lpstr>
      <vt:lpstr>v_84_XN_B</vt:lpstr>
      <vt:lpstr>v_84_XN_U</vt:lpstr>
      <vt:lpstr>v_84_XNOB</vt:lpstr>
      <vt:lpstr>v_84_XOHO</vt:lpstr>
      <vt:lpstr>v_84_XP_B</vt:lpstr>
      <vt:lpstr>v_84_XP_U</vt:lpstr>
      <vt:lpstr>v_84_XPHA</vt:lpstr>
      <vt:lpstr>v_84_XPP</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v_85_GN2</vt:lpstr>
      <vt:lpstr>v_85_GN2_atm</vt:lpstr>
      <vt:lpstr>v_85_GNH3</vt:lpstr>
      <vt:lpstr>v_85_GNH3_atm</vt:lpstr>
      <vt:lpstr>v_85_GO2</vt:lpstr>
      <vt:lpstr>v_85_GO2_atm</vt:lpstr>
      <vt:lpstr>v_85_H</vt:lpstr>
      <vt:lpstr>v_85_SALPHA</vt:lpstr>
      <vt:lpstr>v_85_SAN</vt:lpstr>
      <vt:lpstr>v_85_SB</vt:lpstr>
      <vt:lpstr>v_85_SCa</vt:lpstr>
      <vt:lpstr>v_85_SCAT</vt:lpstr>
      <vt:lpstr>v_85_SCH4</vt:lpstr>
      <vt:lpstr>v_85_SCO2</vt:lpstr>
      <vt:lpstr>v_85_SFe2</vt:lpstr>
      <vt:lpstr>v_85_SH2</vt:lpstr>
      <vt:lpstr>v_85_SK</vt:lpstr>
      <vt:lpstr>v_85_SMEOL</vt:lpstr>
      <vt:lpstr>v_85_SMg</vt:lpstr>
      <vt:lpstr>v_85_SN_B</vt:lpstr>
      <vt:lpstr>v_85_SN2</vt:lpstr>
      <vt:lpstr>v_85_SNHx</vt:lpstr>
      <vt:lpstr>v_85_SNO2</vt:lpstr>
      <vt:lpstr>v_85_SNO3</vt:lpstr>
      <vt:lpstr>v_85_SO2</vt:lpstr>
      <vt:lpstr>v_85_SORPswitch</vt:lpstr>
      <vt:lpstr>v_85_SP_B</vt:lpstr>
      <vt:lpstr>v_85_SPO4</vt:lpstr>
      <vt:lpstr>v_85_SU</vt:lpstr>
      <vt:lpstr>v_85_SVFA</vt:lpstr>
      <vt:lpstr>v_85_XACP</vt:lpstr>
      <vt:lpstr>v_85_XAMETO</vt:lpstr>
      <vt:lpstr>v_85_XAMX</vt:lpstr>
      <vt:lpstr>v_85_XAOB</vt:lpstr>
      <vt:lpstr>v_85_XB</vt:lpstr>
      <vt:lpstr>v_85_XBSH</vt:lpstr>
      <vt:lpstr>v_85_XCaCO3</vt:lpstr>
      <vt:lpstr>v_85_XCASTO</vt:lpstr>
      <vt:lpstr>v_85_XE</vt:lpstr>
      <vt:lpstr>v_85_XE_ana</vt:lpstr>
      <vt:lpstr>v_85_XGLY</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v_85_XINORG</vt:lpstr>
      <vt:lpstr>v_85_XMEOLO</vt:lpstr>
      <vt:lpstr>v_85_XN_B</vt:lpstr>
      <vt:lpstr>v_85_XN_U</vt:lpstr>
      <vt:lpstr>v_85_XNOB</vt:lpstr>
      <vt:lpstr>v_85_XOHO</vt:lpstr>
      <vt:lpstr>v_85_XP_B</vt:lpstr>
      <vt:lpstr>v_85_XP_U</vt:lpstr>
      <vt:lpstr>v_85_XPHA</vt:lpstr>
      <vt:lpstr>v_85_XPP</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v_86_GN2</vt:lpstr>
      <vt:lpstr>v_86_GN2_atm</vt:lpstr>
      <vt:lpstr>v_86_GNH3</vt:lpstr>
      <vt:lpstr>v_86_GNH3_atm</vt:lpstr>
      <vt:lpstr>v_86_GO2</vt:lpstr>
      <vt:lpstr>v_86_GO2_atm</vt:lpstr>
      <vt:lpstr>v_86_H</vt:lpstr>
      <vt:lpstr>v_86_SALPHA</vt:lpstr>
      <vt:lpstr>v_86_SAN</vt:lpstr>
      <vt:lpstr>v_86_SB</vt:lpstr>
      <vt:lpstr>v_86_SCa</vt:lpstr>
      <vt:lpstr>v_86_SCAT</vt:lpstr>
      <vt:lpstr>v_86_SCH4</vt:lpstr>
      <vt:lpstr>v_86_SCO2</vt:lpstr>
      <vt:lpstr>v_86_SFe2</vt:lpstr>
      <vt:lpstr>v_86_SH2</vt:lpstr>
      <vt:lpstr>v_86_SK</vt:lpstr>
      <vt:lpstr>v_86_SMEOL</vt:lpstr>
      <vt:lpstr>v_86_SMg</vt:lpstr>
      <vt:lpstr>v_86_SN_B</vt:lpstr>
      <vt:lpstr>v_86_SN2</vt:lpstr>
      <vt:lpstr>v_86_SNHx</vt:lpstr>
      <vt:lpstr>v_86_SNO2</vt:lpstr>
      <vt:lpstr>v_86_SNO3</vt:lpstr>
      <vt:lpstr>v_86_SO2</vt:lpstr>
      <vt:lpstr>v_86_SORPswitch</vt:lpstr>
      <vt:lpstr>v_86_SP_B</vt:lpstr>
      <vt:lpstr>v_86_SPO4</vt:lpstr>
      <vt:lpstr>v_86_SU</vt:lpstr>
      <vt:lpstr>v_86_SVFA</vt:lpstr>
      <vt:lpstr>v_86_XACP</vt:lpstr>
      <vt:lpstr>v_86_XAMETO</vt:lpstr>
      <vt:lpstr>v_86_XAMX</vt:lpstr>
      <vt:lpstr>v_86_XAOB</vt:lpstr>
      <vt:lpstr>v_86_XB</vt:lpstr>
      <vt:lpstr>v_86_XBSH</vt:lpstr>
      <vt:lpstr>v_86_XCaCO3</vt:lpstr>
      <vt:lpstr>v_86_XCASTO</vt:lpstr>
      <vt:lpstr>v_86_XE</vt:lpstr>
      <vt:lpstr>v_86_XE_ana</vt:lpstr>
      <vt:lpstr>v_86_XGLY</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v_86_XINORG</vt:lpstr>
      <vt:lpstr>v_86_XMEOLO</vt:lpstr>
      <vt:lpstr>v_86_XN_B</vt:lpstr>
      <vt:lpstr>v_86_XN_U</vt:lpstr>
      <vt:lpstr>v_86_XNOB</vt:lpstr>
      <vt:lpstr>v_86_XOHO</vt:lpstr>
      <vt:lpstr>v_86_XP_B</vt:lpstr>
      <vt:lpstr>v_86_XP_U</vt:lpstr>
      <vt:lpstr>v_86_XPHA</vt:lpstr>
      <vt:lpstr>v_86_XPP</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v_87_GN2</vt:lpstr>
      <vt:lpstr>v_87_GN2_atm</vt:lpstr>
      <vt:lpstr>v_87_GNH3</vt:lpstr>
      <vt:lpstr>v_87_GNH3_atm</vt:lpstr>
      <vt:lpstr>v_87_GO2</vt:lpstr>
      <vt:lpstr>v_87_GO2_atm</vt:lpstr>
      <vt:lpstr>v_87_H</vt:lpstr>
      <vt:lpstr>v_87_SALPHA</vt:lpstr>
      <vt:lpstr>v_87_SAN</vt:lpstr>
      <vt:lpstr>v_87_SB</vt:lpstr>
      <vt:lpstr>v_87_SCa</vt:lpstr>
      <vt:lpstr>v_87_SCAT</vt:lpstr>
      <vt:lpstr>v_87_SCH4</vt:lpstr>
      <vt:lpstr>v_87_SCO2</vt:lpstr>
      <vt:lpstr>v_87_SFe2</vt:lpstr>
      <vt:lpstr>v_87_SH2</vt:lpstr>
      <vt:lpstr>v_87_SK</vt:lpstr>
      <vt:lpstr>v_87_SMEOL</vt:lpstr>
      <vt:lpstr>v_87_SMg</vt:lpstr>
      <vt:lpstr>v_87_SN_B</vt:lpstr>
      <vt:lpstr>v_87_SN2</vt:lpstr>
      <vt:lpstr>v_87_SNHx</vt:lpstr>
      <vt:lpstr>v_87_SNO2</vt:lpstr>
      <vt:lpstr>v_87_SNO3</vt:lpstr>
      <vt:lpstr>v_87_SO2</vt:lpstr>
      <vt:lpstr>v_87_SORPswitch</vt:lpstr>
      <vt:lpstr>v_87_SP_B</vt:lpstr>
      <vt:lpstr>v_87_SPO4</vt:lpstr>
      <vt:lpstr>v_87_SU</vt:lpstr>
      <vt:lpstr>v_87_SVFA</vt:lpstr>
      <vt:lpstr>v_87_XACP</vt:lpstr>
      <vt:lpstr>v_87_XAMETO</vt:lpstr>
      <vt:lpstr>v_87_XAMX</vt:lpstr>
      <vt:lpstr>v_87_XAOB</vt:lpstr>
      <vt:lpstr>v_87_XB</vt:lpstr>
      <vt:lpstr>v_87_XBSH</vt:lpstr>
      <vt:lpstr>v_87_XCaCO3</vt:lpstr>
      <vt:lpstr>v_87_XCASTO</vt:lpstr>
      <vt:lpstr>v_87_XE</vt:lpstr>
      <vt:lpstr>v_87_XE_ana</vt:lpstr>
      <vt:lpstr>v_87_XGLY</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v_87_XINORG</vt:lpstr>
      <vt:lpstr>v_87_XMEOLO</vt:lpstr>
      <vt:lpstr>v_87_XN_B</vt:lpstr>
      <vt:lpstr>v_87_XN_U</vt:lpstr>
      <vt:lpstr>v_87_XNOB</vt:lpstr>
      <vt:lpstr>v_87_XOHO</vt:lpstr>
      <vt:lpstr>v_87_XP_B</vt:lpstr>
      <vt:lpstr>v_87_XP_U</vt:lpstr>
      <vt:lpstr>v_87_XPHA</vt:lpstr>
      <vt:lpstr>v_87_XPP</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v_88_GN2</vt:lpstr>
      <vt:lpstr>v_88_GN2_atm</vt:lpstr>
      <vt:lpstr>v_88_GNH3</vt:lpstr>
      <vt:lpstr>v_88_GNH3_atm</vt:lpstr>
      <vt:lpstr>v_88_GO2</vt:lpstr>
      <vt:lpstr>v_88_GO2_atm</vt:lpstr>
      <vt:lpstr>v_88_H</vt:lpstr>
      <vt:lpstr>v_88_SALPHA</vt:lpstr>
      <vt:lpstr>v_88_SAN</vt:lpstr>
      <vt:lpstr>v_88_SB</vt:lpstr>
      <vt:lpstr>v_88_SCa</vt:lpstr>
      <vt:lpstr>v_88_SCAT</vt:lpstr>
      <vt:lpstr>v_88_SCH4</vt:lpstr>
      <vt:lpstr>v_88_SCO2</vt:lpstr>
      <vt:lpstr>v_88_SFe2</vt:lpstr>
      <vt:lpstr>v_88_SH2</vt:lpstr>
      <vt:lpstr>v_88_SK</vt:lpstr>
      <vt:lpstr>v_88_SMEOL</vt:lpstr>
      <vt:lpstr>v_88_SMg</vt:lpstr>
      <vt:lpstr>v_88_SN_B</vt:lpstr>
      <vt:lpstr>v_88_SN2</vt:lpstr>
      <vt:lpstr>v_88_SNHx</vt:lpstr>
      <vt:lpstr>v_88_SNO2</vt:lpstr>
      <vt:lpstr>v_88_SNO3</vt:lpstr>
      <vt:lpstr>v_88_SO2</vt:lpstr>
      <vt:lpstr>v_88_SORPswitch</vt:lpstr>
      <vt:lpstr>v_88_SP_B</vt:lpstr>
      <vt:lpstr>v_88_SPO4</vt:lpstr>
      <vt:lpstr>v_88_SU</vt:lpstr>
      <vt:lpstr>v_88_SVFA</vt:lpstr>
      <vt:lpstr>v_88_XACP</vt:lpstr>
      <vt:lpstr>v_88_XAMETO</vt:lpstr>
      <vt:lpstr>v_88_XAMX</vt:lpstr>
      <vt:lpstr>v_88_XAOB</vt:lpstr>
      <vt:lpstr>v_88_XB</vt:lpstr>
      <vt:lpstr>v_88_XBSH</vt:lpstr>
      <vt:lpstr>v_88_XCaCO3</vt:lpstr>
      <vt:lpstr>v_88_XCASTO</vt:lpstr>
      <vt:lpstr>v_88_XE</vt:lpstr>
      <vt:lpstr>v_88_XE_ana</vt:lpstr>
      <vt:lpstr>v_88_XGLY</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v_88_XINORG</vt:lpstr>
      <vt:lpstr>v_88_XMEOLO</vt:lpstr>
      <vt:lpstr>v_88_XN_B</vt:lpstr>
      <vt:lpstr>v_88_XN_U</vt:lpstr>
      <vt:lpstr>v_88_XNOB</vt:lpstr>
      <vt:lpstr>v_88_XOHO</vt:lpstr>
      <vt:lpstr>v_88_XP_B</vt:lpstr>
      <vt:lpstr>v_88_XP_U</vt:lpstr>
      <vt:lpstr>v_88_XPHA</vt:lpstr>
      <vt:lpstr>v_88_XPP</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v_89_GN2</vt:lpstr>
      <vt:lpstr>v_89_GN2_atm</vt:lpstr>
      <vt:lpstr>v_89_GNH3</vt:lpstr>
      <vt:lpstr>v_89_GNH3_atm</vt:lpstr>
      <vt:lpstr>v_89_GO2</vt:lpstr>
      <vt:lpstr>v_89_GO2_atm</vt:lpstr>
      <vt:lpstr>v_89_H</vt:lpstr>
      <vt:lpstr>v_89_SALPHA</vt:lpstr>
      <vt:lpstr>v_89_SAN</vt:lpstr>
      <vt:lpstr>v_89_SB</vt:lpstr>
      <vt:lpstr>v_89_SCa</vt:lpstr>
      <vt:lpstr>v_89_SCAT</vt:lpstr>
      <vt:lpstr>v_89_SCH4</vt:lpstr>
      <vt:lpstr>v_89_SCO2</vt:lpstr>
      <vt:lpstr>v_89_SFe2</vt:lpstr>
      <vt:lpstr>v_89_SH2</vt:lpstr>
      <vt:lpstr>v_89_SK</vt:lpstr>
      <vt:lpstr>v_89_SMEOL</vt:lpstr>
      <vt:lpstr>v_89_SMg</vt:lpstr>
      <vt:lpstr>v_89_SN_B</vt:lpstr>
      <vt:lpstr>v_89_SN2</vt:lpstr>
      <vt:lpstr>v_89_SNHx</vt:lpstr>
      <vt:lpstr>v_89_SNO2</vt:lpstr>
      <vt:lpstr>v_89_SNO3</vt:lpstr>
      <vt:lpstr>v_89_SO2</vt:lpstr>
      <vt:lpstr>v_89_SORPswitch</vt:lpstr>
      <vt:lpstr>v_89_SP_B</vt:lpstr>
      <vt:lpstr>v_89_SPO4</vt:lpstr>
      <vt:lpstr>v_89_SU</vt:lpstr>
      <vt:lpstr>v_89_SVFA</vt:lpstr>
      <vt:lpstr>v_89_XACP</vt:lpstr>
      <vt:lpstr>v_89_XAMETO</vt:lpstr>
      <vt:lpstr>v_89_XAMX</vt:lpstr>
      <vt:lpstr>v_89_XAOB</vt:lpstr>
      <vt:lpstr>v_89_XB</vt:lpstr>
      <vt:lpstr>v_89_XBSH</vt:lpstr>
      <vt:lpstr>v_89_XCaCO3</vt:lpstr>
      <vt:lpstr>v_89_XCASTO</vt:lpstr>
      <vt:lpstr>v_89_XE</vt:lpstr>
      <vt:lpstr>v_89_XE_ana</vt:lpstr>
      <vt:lpstr>v_89_XGLY</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v_89_XINORG</vt:lpstr>
      <vt:lpstr>v_89_XMEOLO</vt:lpstr>
      <vt:lpstr>v_89_XN_B</vt:lpstr>
      <vt:lpstr>v_89_XN_U</vt:lpstr>
      <vt:lpstr>v_89_XNOB</vt:lpstr>
      <vt:lpstr>v_89_XOHO</vt:lpstr>
      <vt:lpstr>v_89_XP_B</vt:lpstr>
      <vt:lpstr>v_89_XP_U</vt:lpstr>
      <vt:lpstr>v_89_XPHA</vt:lpstr>
      <vt:lpstr>v_89_XPP</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v_9_GN2</vt:lpstr>
      <vt:lpstr>v_9_GN2_atm</vt:lpstr>
      <vt:lpstr>v_9_GNH3</vt:lpstr>
      <vt:lpstr>v_9_GNH3_atm</vt:lpstr>
      <vt:lpstr>v_9_GO2</vt:lpstr>
      <vt:lpstr>v_9_GO2_atm</vt:lpstr>
      <vt:lpstr>v_9_H</vt:lpstr>
      <vt:lpstr>v_9_SALPHA</vt:lpstr>
      <vt:lpstr>v_9_SAN</vt:lpstr>
      <vt:lpstr>v_9_SB</vt:lpstr>
      <vt:lpstr>v_9_SCa</vt:lpstr>
      <vt:lpstr>v_9_SCAT</vt:lpstr>
      <vt:lpstr>v_9_SCH4</vt:lpstr>
      <vt:lpstr>v_9_SCO2</vt:lpstr>
      <vt:lpstr>v_9_SFe2</vt:lpstr>
      <vt:lpstr>v_9_SH2</vt:lpstr>
      <vt:lpstr>v_9_SK</vt:lpstr>
      <vt:lpstr>v_9_SMEOL</vt:lpstr>
      <vt:lpstr>v_9_SMg</vt:lpstr>
      <vt:lpstr>v_9_SN_B</vt:lpstr>
      <vt:lpstr>v_9_SN2</vt:lpstr>
      <vt:lpstr>v_9_SNHx</vt:lpstr>
      <vt:lpstr>v_9_SNO2</vt:lpstr>
      <vt:lpstr>v_9_SNO3</vt:lpstr>
      <vt:lpstr>v_9_SO2</vt:lpstr>
      <vt:lpstr>v_9_SORPswitch</vt:lpstr>
      <vt:lpstr>v_9_SP_B</vt:lpstr>
      <vt:lpstr>v_9_SPO4</vt:lpstr>
      <vt:lpstr>v_9_SU</vt:lpstr>
      <vt:lpstr>v_9_SVFA</vt:lpstr>
      <vt:lpstr>v_9_XACP</vt:lpstr>
      <vt:lpstr>v_9_XAMETO</vt:lpstr>
      <vt:lpstr>v_9_XAMX</vt:lpstr>
      <vt:lpstr>v_9_XAOB</vt:lpstr>
      <vt:lpstr>v_9_XB</vt:lpstr>
      <vt:lpstr>v_9_XBSH</vt:lpstr>
      <vt:lpstr>v_9_XCaCO3</vt:lpstr>
      <vt:lpstr>v_9_XCASTO</vt:lpstr>
      <vt:lpstr>v_9_XE</vt:lpstr>
      <vt:lpstr>v_9_XE_ana</vt:lpstr>
      <vt:lpstr>v_9_XGLY</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v_9_XINORG</vt:lpstr>
      <vt:lpstr>v_9_XMEOLO</vt:lpstr>
      <vt:lpstr>v_9_XN_B</vt:lpstr>
      <vt:lpstr>v_9_XN_U</vt:lpstr>
      <vt:lpstr>v_9_XNOB</vt:lpstr>
      <vt:lpstr>v_9_XOHO</vt:lpstr>
      <vt:lpstr>v_9_XP_B</vt:lpstr>
      <vt:lpstr>v_9_XP_U</vt:lpstr>
      <vt:lpstr>v_9_XPHA</vt:lpstr>
      <vt:lpstr>v_9_XPP</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v_90_GN2</vt:lpstr>
      <vt:lpstr>v_90_GN2_atm</vt:lpstr>
      <vt:lpstr>v_90_GNH3</vt:lpstr>
      <vt:lpstr>v_90_GNH3_atm</vt:lpstr>
      <vt:lpstr>v_90_GO2</vt:lpstr>
      <vt:lpstr>v_90_GO2_atm</vt:lpstr>
      <vt:lpstr>v_90_H</vt:lpstr>
      <vt:lpstr>v_90_SALPHA</vt:lpstr>
      <vt:lpstr>v_90_SAN</vt:lpstr>
      <vt:lpstr>v_90_SB</vt:lpstr>
      <vt:lpstr>v_90_SCa</vt:lpstr>
      <vt:lpstr>v_90_SCAT</vt:lpstr>
      <vt:lpstr>v_90_SCH4</vt:lpstr>
      <vt:lpstr>v_90_SCO2</vt:lpstr>
      <vt:lpstr>v_90_SFe2</vt:lpstr>
      <vt:lpstr>v_90_SH2</vt:lpstr>
      <vt:lpstr>v_90_SK</vt:lpstr>
      <vt:lpstr>v_90_SMEOL</vt:lpstr>
      <vt:lpstr>v_90_SMg</vt:lpstr>
      <vt:lpstr>v_90_SN_B</vt:lpstr>
      <vt:lpstr>v_90_SN2</vt:lpstr>
      <vt:lpstr>v_90_SNHx</vt:lpstr>
      <vt:lpstr>v_90_SNO2</vt:lpstr>
      <vt:lpstr>v_90_SNO3</vt:lpstr>
      <vt:lpstr>v_90_SO2</vt:lpstr>
      <vt:lpstr>v_90_SORPswitch</vt:lpstr>
      <vt:lpstr>v_90_SP_B</vt:lpstr>
      <vt:lpstr>v_90_SPO4</vt:lpstr>
      <vt:lpstr>v_90_SU</vt:lpstr>
      <vt:lpstr>v_90_SVFA</vt:lpstr>
      <vt:lpstr>v_90_XACP</vt:lpstr>
      <vt:lpstr>v_90_XAMETO</vt:lpstr>
      <vt:lpstr>v_90_XAMX</vt:lpstr>
      <vt:lpstr>v_90_XAOB</vt:lpstr>
      <vt:lpstr>v_90_XB</vt:lpstr>
      <vt:lpstr>v_90_XBSH</vt:lpstr>
      <vt:lpstr>v_90_XCaCO3</vt:lpstr>
      <vt:lpstr>v_90_XCASTO</vt:lpstr>
      <vt:lpstr>v_90_XE</vt:lpstr>
      <vt:lpstr>v_90_XE_ana</vt:lpstr>
      <vt:lpstr>v_90_XGLY</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v_90_XINORG</vt:lpstr>
      <vt:lpstr>v_90_XMEOLO</vt:lpstr>
      <vt:lpstr>v_90_XN_B</vt:lpstr>
      <vt:lpstr>v_90_XN_U</vt:lpstr>
      <vt:lpstr>v_90_XNOB</vt:lpstr>
      <vt:lpstr>v_90_XOHO</vt:lpstr>
      <vt:lpstr>v_90_XP_B</vt:lpstr>
      <vt:lpstr>v_90_XP_U</vt:lpstr>
      <vt:lpstr>v_90_XPHA</vt:lpstr>
      <vt:lpstr>v_90_XPP</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v_91_GN2</vt:lpstr>
      <vt:lpstr>v_91_GN2_atm</vt:lpstr>
      <vt:lpstr>v_91_GNH3</vt:lpstr>
      <vt:lpstr>v_91_GNH3_atm</vt:lpstr>
      <vt:lpstr>v_91_GO2</vt:lpstr>
      <vt:lpstr>v_91_GO2_atm</vt:lpstr>
      <vt:lpstr>v_91_H</vt:lpstr>
      <vt:lpstr>v_91_SALPHA</vt:lpstr>
      <vt:lpstr>v_91_SAN</vt:lpstr>
      <vt:lpstr>v_91_SB</vt:lpstr>
      <vt:lpstr>v_91_SCa</vt:lpstr>
      <vt:lpstr>v_91_SCAT</vt:lpstr>
      <vt:lpstr>v_91_SCH4</vt:lpstr>
      <vt:lpstr>v_91_SCO2</vt:lpstr>
      <vt:lpstr>v_91_SFe2</vt:lpstr>
      <vt:lpstr>v_91_SH2</vt:lpstr>
      <vt:lpstr>v_91_SK</vt:lpstr>
      <vt:lpstr>v_91_SMEOL</vt:lpstr>
      <vt:lpstr>v_91_SMg</vt:lpstr>
      <vt:lpstr>v_91_SN_B</vt:lpstr>
      <vt:lpstr>v_91_SN2</vt:lpstr>
      <vt:lpstr>v_91_SNHx</vt:lpstr>
      <vt:lpstr>v_91_SNO2</vt:lpstr>
      <vt:lpstr>v_91_SNO3</vt:lpstr>
      <vt:lpstr>v_91_SO2</vt:lpstr>
      <vt:lpstr>v_91_SORPswitch</vt:lpstr>
      <vt:lpstr>v_91_SP_B</vt:lpstr>
      <vt:lpstr>v_91_SPO4</vt:lpstr>
      <vt:lpstr>v_91_SU</vt:lpstr>
      <vt:lpstr>v_91_SVFA</vt:lpstr>
      <vt:lpstr>v_91_XACP</vt:lpstr>
      <vt:lpstr>v_91_XAMETO</vt:lpstr>
      <vt:lpstr>v_91_XAMX</vt:lpstr>
      <vt:lpstr>v_91_XAOB</vt:lpstr>
      <vt:lpstr>v_91_XB</vt:lpstr>
      <vt:lpstr>v_91_XBSH</vt:lpstr>
      <vt:lpstr>v_91_XCaCO3</vt:lpstr>
      <vt:lpstr>v_91_XCASTO</vt:lpstr>
      <vt:lpstr>v_91_XE</vt:lpstr>
      <vt:lpstr>v_91_XE_ana</vt:lpstr>
      <vt:lpstr>v_91_XGLY</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v_91_XINORG</vt:lpstr>
      <vt:lpstr>v_91_XMEOLO</vt:lpstr>
      <vt:lpstr>v_91_XN_B</vt:lpstr>
      <vt:lpstr>v_91_XN_U</vt:lpstr>
      <vt:lpstr>v_91_XNOB</vt:lpstr>
      <vt:lpstr>v_91_XOHO</vt:lpstr>
      <vt:lpstr>v_91_XP_B</vt:lpstr>
      <vt:lpstr>v_91_XP_U</vt:lpstr>
      <vt:lpstr>v_91_XPHA</vt:lpstr>
      <vt:lpstr>v_91_XPP</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v_92_GN2</vt:lpstr>
      <vt:lpstr>v_92_GN2_atm</vt:lpstr>
      <vt:lpstr>v_92_GNH3</vt:lpstr>
      <vt:lpstr>v_92_GNH3_atm</vt:lpstr>
      <vt:lpstr>v_92_GO2</vt:lpstr>
      <vt:lpstr>v_92_GO2_atm</vt:lpstr>
      <vt:lpstr>v_92_H</vt:lpstr>
      <vt:lpstr>v_92_SALPHA</vt:lpstr>
      <vt:lpstr>v_92_SAN</vt:lpstr>
      <vt:lpstr>v_92_SB</vt:lpstr>
      <vt:lpstr>v_92_SCa</vt:lpstr>
      <vt:lpstr>v_92_SCAT</vt:lpstr>
      <vt:lpstr>v_92_SCH4</vt:lpstr>
      <vt:lpstr>v_92_SCO2</vt:lpstr>
      <vt:lpstr>v_92_SFe2</vt:lpstr>
      <vt:lpstr>v_92_SH2</vt:lpstr>
      <vt:lpstr>v_92_SK</vt:lpstr>
      <vt:lpstr>v_92_SMEOL</vt:lpstr>
      <vt:lpstr>v_92_SMg</vt:lpstr>
      <vt:lpstr>v_92_SN_B</vt:lpstr>
      <vt:lpstr>v_92_SN2</vt:lpstr>
      <vt:lpstr>v_92_SNHx</vt:lpstr>
      <vt:lpstr>v_92_SNO2</vt:lpstr>
      <vt:lpstr>v_92_SNO3</vt:lpstr>
      <vt:lpstr>v_92_SO2</vt:lpstr>
      <vt:lpstr>v_92_SORPswitch</vt:lpstr>
      <vt:lpstr>v_92_SP_B</vt:lpstr>
      <vt:lpstr>v_92_SPO4</vt:lpstr>
      <vt:lpstr>v_92_SU</vt:lpstr>
      <vt:lpstr>v_92_SVFA</vt:lpstr>
      <vt:lpstr>v_92_XACP</vt:lpstr>
      <vt:lpstr>v_92_XAMETO</vt:lpstr>
      <vt:lpstr>v_92_XAMX</vt:lpstr>
      <vt:lpstr>v_92_XAOB</vt:lpstr>
      <vt:lpstr>v_92_XB</vt:lpstr>
      <vt:lpstr>v_92_XBSH</vt:lpstr>
      <vt:lpstr>v_92_XCaCO3</vt:lpstr>
      <vt:lpstr>v_92_XCASTO</vt:lpstr>
      <vt:lpstr>v_92_XE</vt:lpstr>
      <vt:lpstr>v_92_XE_ana</vt:lpstr>
      <vt:lpstr>v_92_XGLY</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v_92_XINORG</vt:lpstr>
      <vt:lpstr>v_92_XMEOLO</vt:lpstr>
      <vt:lpstr>v_92_XN_B</vt:lpstr>
      <vt:lpstr>v_92_XN_U</vt:lpstr>
      <vt:lpstr>v_92_XNOB</vt:lpstr>
      <vt:lpstr>v_92_XOHO</vt:lpstr>
      <vt:lpstr>v_92_XP_B</vt:lpstr>
      <vt:lpstr>v_92_XP_U</vt:lpstr>
      <vt:lpstr>v_92_XPHA</vt:lpstr>
      <vt:lpstr>v_92_XPP</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v_93_GN2</vt:lpstr>
      <vt:lpstr>v_93_GN2_atm</vt:lpstr>
      <vt:lpstr>v_93_GNH3</vt:lpstr>
      <vt:lpstr>v_93_GNH3_atm</vt:lpstr>
      <vt:lpstr>v_93_GO2</vt:lpstr>
      <vt:lpstr>v_93_GO2_atm</vt:lpstr>
      <vt:lpstr>v_93_H</vt:lpstr>
      <vt:lpstr>v_93_SALPHA</vt:lpstr>
      <vt:lpstr>v_93_SAN</vt:lpstr>
      <vt:lpstr>v_93_SB</vt:lpstr>
      <vt:lpstr>v_93_SCa</vt:lpstr>
      <vt:lpstr>v_93_SCAT</vt:lpstr>
      <vt:lpstr>v_93_SCH4</vt:lpstr>
      <vt:lpstr>v_93_SCO2</vt:lpstr>
      <vt:lpstr>v_93_SFe2</vt:lpstr>
      <vt:lpstr>v_93_SH2</vt:lpstr>
      <vt:lpstr>v_93_SK</vt:lpstr>
      <vt:lpstr>v_93_SMEOL</vt:lpstr>
      <vt:lpstr>v_93_SMg</vt:lpstr>
      <vt:lpstr>v_93_SN_B</vt:lpstr>
      <vt:lpstr>v_93_SN2</vt:lpstr>
      <vt:lpstr>v_93_SNHx</vt:lpstr>
      <vt:lpstr>v_93_SNO2</vt:lpstr>
      <vt:lpstr>v_93_SNO3</vt:lpstr>
      <vt:lpstr>v_93_SO2</vt:lpstr>
      <vt:lpstr>v_93_SORPswitch</vt:lpstr>
      <vt:lpstr>v_93_SP_B</vt:lpstr>
      <vt:lpstr>v_93_SPO4</vt:lpstr>
      <vt:lpstr>v_93_SU</vt:lpstr>
      <vt:lpstr>v_93_SVFA</vt:lpstr>
      <vt:lpstr>v_93_XACP</vt:lpstr>
      <vt:lpstr>v_93_XAMETO</vt:lpstr>
      <vt:lpstr>v_93_XAMX</vt:lpstr>
      <vt:lpstr>v_93_XAOB</vt:lpstr>
      <vt:lpstr>v_93_XB</vt:lpstr>
      <vt:lpstr>v_93_XBSH</vt:lpstr>
      <vt:lpstr>v_93_XCaCO3</vt:lpstr>
      <vt:lpstr>v_93_XCASTO</vt:lpstr>
      <vt:lpstr>v_93_XE</vt:lpstr>
      <vt:lpstr>v_93_XE_ana</vt:lpstr>
      <vt:lpstr>v_93_XGLY</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v_93_XINORG</vt:lpstr>
      <vt:lpstr>v_93_XMEOLO</vt:lpstr>
      <vt:lpstr>v_93_XN_B</vt:lpstr>
      <vt:lpstr>v_93_XN_U</vt:lpstr>
      <vt:lpstr>v_93_XNOB</vt:lpstr>
      <vt:lpstr>v_93_XOHO</vt:lpstr>
      <vt:lpstr>v_93_XP_B</vt:lpstr>
      <vt:lpstr>v_93_XP_U</vt:lpstr>
      <vt:lpstr>v_93_XPHA</vt:lpstr>
      <vt:lpstr>v_93_XPP</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v_94_GN2</vt:lpstr>
      <vt:lpstr>v_94_GN2_atm</vt:lpstr>
      <vt:lpstr>v_94_GNH3</vt:lpstr>
      <vt:lpstr>v_94_GNH3_atm</vt:lpstr>
      <vt:lpstr>v_94_GO2</vt:lpstr>
      <vt:lpstr>v_94_GO2_atm</vt:lpstr>
      <vt:lpstr>v_94_H</vt:lpstr>
      <vt:lpstr>v_94_SALPHA</vt:lpstr>
      <vt:lpstr>v_94_SAN</vt:lpstr>
      <vt:lpstr>v_94_SB</vt:lpstr>
      <vt:lpstr>v_94_SCa</vt:lpstr>
      <vt:lpstr>v_94_SCAT</vt:lpstr>
      <vt:lpstr>v_94_SCH4</vt:lpstr>
      <vt:lpstr>v_94_SCO2</vt:lpstr>
      <vt:lpstr>v_94_SFe2</vt:lpstr>
      <vt:lpstr>v_94_SH2</vt:lpstr>
      <vt:lpstr>v_94_SK</vt:lpstr>
      <vt:lpstr>v_94_SMEOL</vt:lpstr>
      <vt:lpstr>v_94_SMg</vt:lpstr>
      <vt:lpstr>v_94_SN_B</vt:lpstr>
      <vt:lpstr>v_94_SN2</vt:lpstr>
      <vt:lpstr>v_94_SNHx</vt:lpstr>
      <vt:lpstr>v_94_SNO2</vt:lpstr>
      <vt:lpstr>v_94_SNO3</vt:lpstr>
      <vt:lpstr>v_94_SO2</vt:lpstr>
      <vt:lpstr>v_94_SORPswitch</vt:lpstr>
      <vt:lpstr>v_94_SP_B</vt:lpstr>
      <vt:lpstr>v_94_SPO4</vt:lpstr>
      <vt:lpstr>v_94_SU</vt:lpstr>
      <vt:lpstr>v_94_SVFA</vt:lpstr>
      <vt:lpstr>v_94_XACP</vt:lpstr>
      <vt:lpstr>v_94_XAMETO</vt:lpstr>
      <vt:lpstr>v_94_XAMX</vt:lpstr>
      <vt:lpstr>v_94_XAOB</vt:lpstr>
      <vt:lpstr>v_94_XB</vt:lpstr>
      <vt:lpstr>v_94_XBSH</vt:lpstr>
      <vt:lpstr>v_94_XCaCO3</vt:lpstr>
      <vt:lpstr>v_94_XCASTO</vt:lpstr>
      <vt:lpstr>v_94_XE</vt:lpstr>
      <vt:lpstr>v_94_XE_ana</vt:lpstr>
      <vt:lpstr>v_94_XGLY</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v_94_XINORG</vt:lpstr>
      <vt:lpstr>v_94_XMEOLO</vt:lpstr>
      <vt:lpstr>v_94_XN_B</vt:lpstr>
      <vt:lpstr>v_94_XN_U</vt:lpstr>
      <vt:lpstr>v_94_XNOB</vt:lpstr>
      <vt:lpstr>v_94_XOHO</vt:lpstr>
      <vt:lpstr>v_94_XP_B</vt:lpstr>
      <vt:lpstr>v_94_XP_U</vt:lpstr>
      <vt:lpstr>v_94_XPHA</vt:lpstr>
      <vt:lpstr>v_94_XPP</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v_95_GN2</vt:lpstr>
      <vt:lpstr>v_95_GN2_atm</vt:lpstr>
      <vt:lpstr>v_95_GNH3</vt:lpstr>
      <vt:lpstr>v_95_GNH3_atm</vt:lpstr>
      <vt:lpstr>v_95_GO2</vt:lpstr>
      <vt:lpstr>v_95_GO2_atm</vt:lpstr>
      <vt:lpstr>v_95_H</vt:lpstr>
      <vt:lpstr>v_95_SALPHA</vt:lpstr>
      <vt:lpstr>v_95_SAN</vt:lpstr>
      <vt:lpstr>v_95_SB</vt:lpstr>
      <vt:lpstr>v_95_SCa</vt:lpstr>
      <vt:lpstr>v_95_SCAT</vt:lpstr>
      <vt:lpstr>v_95_SCH4</vt:lpstr>
      <vt:lpstr>v_95_SCO2</vt:lpstr>
      <vt:lpstr>v_95_SFe2</vt:lpstr>
      <vt:lpstr>v_95_SH2</vt:lpstr>
      <vt:lpstr>v_95_SK</vt:lpstr>
      <vt:lpstr>v_95_SMEOL</vt:lpstr>
      <vt:lpstr>v_95_SMg</vt:lpstr>
      <vt:lpstr>v_95_SN_B</vt:lpstr>
      <vt:lpstr>v_95_SN2</vt:lpstr>
      <vt:lpstr>v_95_SNHx</vt:lpstr>
      <vt:lpstr>v_95_SNO2</vt:lpstr>
      <vt:lpstr>v_95_SNO3</vt:lpstr>
      <vt:lpstr>v_95_SO2</vt:lpstr>
      <vt:lpstr>v_95_SORPswitch</vt:lpstr>
      <vt:lpstr>v_95_SP_B</vt:lpstr>
      <vt:lpstr>v_95_SPO4</vt:lpstr>
      <vt:lpstr>v_95_SU</vt:lpstr>
      <vt:lpstr>v_95_SVFA</vt:lpstr>
      <vt:lpstr>v_95_XACP</vt:lpstr>
      <vt:lpstr>v_95_XAMETO</vt:lpstr>
      <vt:lpstr>v_95_XAMX</vt:lpstr>
      <vt:lpstr>v_95_XAOB</vt:lpstr>
      <vt:lpstr>v_95_XB</vt:lpstr>
      <vt:lpstr>v_95_XBSH</vt:lpstr>
      <vt:lpstr>v_95_XCaCO3</vt:lpstr>
      <vt:lpstr>v_95_XCASTO</vt:lpstr>
      <vt:lpstr>v_95_XE</vt:lpstr>
      <vt:lpstr>v_95_XE_ana</vt:lpstr>
      <vt:lpstr>v_95_XGLY</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v_95_XINORG</vt:lpstr>
      <vt:lpstr>v_95_XMEOLO</vt:lpstr>
      <vt:lpstr>v_95_XN_B</vt:lpstr>
      <vt:lpstr>v_95_XN_U</vt:lpstr>
      <vt:lpstr>v_95_XNOB</vt:lpstr>
      <vt:lpstr>v_95_XOHO</vt:lpstr>
      <vt:lpstr>v_95_XP_B</vt:lpstr>
      <vt:lpstr>v_95_XP_U</vt:lpstr>
      <vt:lpstr>v_95_XPHA</vt:lpstr>
      <vt:lpstr>v_95_XPP</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v_96_GN2</vt:lpstr>
      <vt:lpstr>v_96_GN2_atm</vt:lpstr>
      <vt:lpstr>v_96_GNH3</vt:lpstr>
      <vt:lpstr>v_96_GNH3_atm</vt:lpstr>
      <vt:lpstr>v_96_GO2</vt:lpstr>
      <vt:lpstr>v_96_GO2_atm</vt:lpstr>
      <vt:lpstr>v_96_H</vt:lpstr>
      <vt:lpstr>v_96_SALPHA</vt:lpstr>
      <vt:lpstr>v_96_SAN</vt:lpstr>
      <vt:lpstr>v_96_SB</vt:lpstr>
      <vt:lpstr>v_96_SCa</vt:lpstr>
      <vt:lpstr>v_96_SCAT</vt:lpstr>
      <vt:lpstr>v_96_SCH4</vt:lpstr>
      <vt:lpstr>v_96_SCO2</vt:lpstr>
      <vt:lpstr>v_96_SFe2</vt:lpstr>
      <vt:lpstr>v_96_SH2</vt:lpstr>
      <vt:lpstr>v_96_SK</vt:lpstr>
      <vt:lpstr>v_96_SMEOL</vt:lpstr>
      <vt:lpstr>v_96_SMg</vt:lpstr>
      <vt:lpstr>v_96_SN_B</vt:lpstr>
      <vt:lpstr>v_96_SN2</vt:lpstr>
      <vt:lpstr>v_96_SNHx</vt:lpstr>
      <vt:lpstr>v_96_SNO2</vt:lpstr>
      <vt:lpstr>v_96_SNO3</vt:lpstr>
      <vt:lpstr>v_96_SO2</vt:lpstr>
      <vt:lpstr>v_96_SORPswitch</vt:lpstr>
      <vt:lpstr>v_96_SP_B</vt:lpstr>
      <vt:lpstr>v_96_SPO4</vt:lpstr>
      <vt:lpstr>v_96_SU</vt:lpstr>
      <vt:lpstr>v_96_SVFA</vt:lpstr>
      <vt:lpstr>v_96_XACP</vt:lpstr>
      <vt:lpstr>v_96_XAMETO</vt:lpstr>
      <vt:lpstr>v_96_XAMX</vt:lpstr>
      <vt:lpstr>v_96_XAOB</vt:lpstr>
      <vt:lpstr>v_96_XB</vt:lpstr>
      <vt:lpstr>v_96_XBSH</vt:lpstr>
      <vt:lpstr>v_96_XCaCO3</vt:lpstr>
      <vt:lpstr>v_96_XCASTO</vt:lpstr>
      <vt:lpstr>v_96_XE</vt:lpstr>
      <vt:lpstr>v_96_XE_ana</vt:lpstr>
      <vt:lpstr>v_96_XGLY</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v_96_XINORG</vt:lpstr>
      <vt:lpstr>v_96_XMEOLO</vt:lpstr>
      <vt:lpstr>v_96_XN_B</vt:lpstr>
      <vt:lpstr>v_96_XN_U</vt:lpstr>
      <vt:lpstr>v_96_XNOB</vt:lpstr>
      <vt:lpstr>v_96_XOHO</vt:lpstr>
      <vt:lpstr>v_96_XP_B</vt:lpstr>
      <vt:lpstr>v_96_XP_U</vt:lpstr>
      <vt:lpstr>v_96_XPHA</vt:lpstr>
      <vt:lpstr>v_96_XPP</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v_97_GN2</vt:lpstr>
      <vt:lpstr>v_97_GN2_atm</vt:lpstr>
      <vt:lpstr>v_97_GNH3</vt:lpstr>
      <vt:lpstr>v_97_GNH3_atm</vt:lpstr>
      <vt:lpstr>v_97_GO2</vt:lpstr>
      <vt:lpstr>v_97_GO2_atm</vt:lpstr>
      <vt:lpstr>v_97_H</vt:lpstr>
      <vt:lpstr>v_97_SALPHA</vt:lpstr>
      <vt:lpstr>v_97_SAN</vt:lpstr>
      <vt:lpstr>v_97_SB</vt:lpstr>
      <vt:lpstr>v_97_SCa</vt:lpstr>
      <vt:lpstr>v_97_SCAT</vt:lpstr>
      <vt:lpstr>v_97_SCH4</vt:lpstr>
      <vt:lpstr>v_97_SCO2</vt:lpstr>
      <vt:lpstr>v_97_SFe2</vt:lpstr>
      <vt:lpstr>v_97_SH2</vt:lpstr>
      <vt:lpstr>v_97_SK</vt:lpstr>
      <vt:lpstr>v_97_SMEOL</vt:lpstr>
      <vt:lpstr>v_97_SMg</vt:lpstr>
      <vt:lpstr>v_97_SN_B</vt:lpstr>
      <vt:lpstr>v_97_SN2</vt:lpstr>
      <vt:lpstr>v_97_SNHx</vt:lpstr>
      <vt:lpstr>v_97_SNO2</vt:lpstr>
      <vt:lpstr>v_97_SNO3</vt:lpstr>
      <vt:lpstr>v_97_SO2</vt:lpstr>
      <vt:lpstr>v_97_SORPswitch</vt:lpstr>
      <vt:lpstr>v_97_SP_B</vt:lpstr>
      <vt:lpstr>v_97_SPO4</vt:lpstr>
      <vt:lpstr>v_97_SU</vt:lpstr>
      <vt:lpstr>v_97_SVFA</vt:lpstr>
      <vt:lpstr>v_97_XACP</vt:lpstr>
      <vt:lpstr>v_97_XAMETO</vt:lpstr>
      <vt:lpstr>v_97_XAMX</vt:lpstr>
      <vt:lpstr>v_97_XAOB</vt:lpstr>
      <vt:lpstr>v_97_XB</vt:lpstr>
      <vt:lpstr>v_97_XBSH</vt:lpstr>
      <vt:lpstr>v_97_XCaCO3</vt:lpstr>
      <vt:lpstr>v_97_XCASTO</vt:lpstr>
      <vt:lpstr>v_97_XE</vt:lpstr>
      <vt:lpstr>v_97_XE_ana</vt:lpstr>
      <vt:lpstr>v_97_XGLY</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v_97_XINORG</vt:lpstr>
      <vt:lpstr>v_97_XMEOLO</vt:lpstr>
      <vt:lpstr>v_97_XN_B</vt:lpstr>
      <vt:lpstr>v_97_XN_U</vt:lpstr>
      <vt:lpstr>v_97_XNOB</vt:lpstr>
      <vt:lpstr>v_97_XOHO</vt:lpstr>
      <vt:lpstr>v_97_XP_B</vt:lpstr>
      <vt:lpstr>v_97_XP_U</vt:lpstr>
      <vt:lpstr>v_97_XPHA</vt:lpstr>
      <vt:lpstr>v_97_XPP</vt:lpstr>
      <vt:lpstr>v_97_XSTR</vt:lpstr>
      <vt:lpstr>v_97_XU</vt:lpstr>
      <vt:lpstr>v_97_XVivi</vt:lpstr>
      <vt:lpstr>V_mol_N</vt:lpstr>
      <vt:lpstr>X_ACP</vt:lpstr>
      <vt:lpstr>X_Al_TSS</vt:lpstr>
      <vt:lpstr>X_AMETO</vt:lpstr>
      <vt:lpstr>X_AMX</vt:lpstr>
      <vt:lpstr>X_AOB</vt:lpstr>
      <vt:lpstr>X_B</vt:lpstr>
      <vt:lpstr>X_BIO</vt:lpstr>
      <vt:lpstr>X_BOD_5</vt:lpstr>
      <vt:lpstr>X_BOD_ult</vt:lpstr>
      <vt:lpstr>X_BSH</vt:lpstr>
      <vt:lpstr>X_CaCO3</vt:lpstr>
      <vt:lpstr>X_CASTO</vt:lpstr>
      <vt:lpstr>X_COD</vt:lpstr>
      <vt:lpstr>X_CsbCOD</vt:lpstr>
      <vt:lpstr>X_DM</vt:lpstr>
      <vt:lpstr>X_E</vt:lpstr>
      <vt:lpstr>X_E_ana</vt:lpstr>
      <vt:lpstr>X_Fe_TSS</vt:lpstr>
      <vt:lpstr>X_GAO</vt:lpstr>
      <vt:lpstr>X_GLY</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X_INORG</vt:lpstr>
      <vt:lpstr>X_ISS</vt:lpstr>
      <vt:lpstr>X_Me_H2O_TSS</vt:lpstr>
      <vt:lpstr>X_Me_H2O_VSS</vt:lpstr>
      <vt:lpstr>X_Me_ISS</vt:lpstr>
      <vt:lpstr>X_Me_TSS</vt:lpstr>
      <vt:lpstr>X_MEOLO</vt:lpstr>
      <vt:lpstr>X_N_B</vt:lpstr>
      <vt:lpstr>X_N_U</vt:lpstr>
      <vt:lpstr>X_NOB</vt:lpstr>
      <vt:lpstr>X_OHO</vt:lpstr>
      <vt:lpstr>X_P_B</vt:lpstr>
      <vt:lpstr>X_P_U</vt:lpstr>
      <vt:lpstr>X_PAO</vt:lpstr>
      <vt:lpstr>X_PHA</vt:lpstr>
      <vt:lpstr>X_PP</vt:lpstr>
      <vt:lpstr>X_PP_PAO_min</vt:lpstr>
      <vt:lpstr>X_precip</vt:lpstr>
      <vt:lpstr>X_STC</vt:lpstr>
      <vt:lpstr>X_STR</vt:lpstr>
      <vt:lpstr>X_TSS</vt:lpstr>
      <vt:lpstr>X_U</vt:lpstr>
      <vt:lpstr>X_Vivi</vt:lpstr>
      <vt:lpstr>X_VS</vt:lpstr>
      <vt:lpstr>X_VS_ult</vt:lpstr>
      <vt:lpstr>X_VSS</vt:lpstr>
      <vt:lpstr>X_VSS_BIO</vt:lpstr>
      <vt:lpstr>Y_AMETO</vt:lpstr>
      <vt:lpstr>Y_AMX_NO2</vt:lpstr>
      <vt:lpstr>Y_AMX_NO3</vt:lpstr>
      <vt:lpstr>Y_AOB</vt:lpstr>
      <vt:lpstr>Y_BOD_ult</vt:lpstr>
      <vt:lpstr>Y_CASTO_GLY_anox</vt:lpstr>
      <vt:lpstr>Y_CASTO_GLY_ox</vt:lpstr>
      <vt:lpstr>Y_CASTO_H2_ana_high</vt:lpstr>
      <vt:lpstr>Y_CASTO_H2_ana_low</vt:lpstr>
      <vt:lpstr>Y_CASTO_PHA_anox</vt:lpstr>
      <vt:lpstr>Y_CASTO_PHA_ox</vt:lpstr>
      <vt:lpstr>Y_CASTO_SB_ana</vt:lpstr>
      <vt:lpstr>Y_CASTO_STC_anox</vt:lpstr>
      <vt:lpstr>Y_CASTO_STC_ox</vt:lpstr>
      <vt:lpstr>y_fdi</vt:lpstr>
      <vt:lpstr>y_fmono</vt:lpstr>
      <vt:lpstr>y_ftri</vt:lpstr>
      <vt:lpstr>Y_HMETO</vt:lpstr>
      <vt:lpstr>Y_MEOLO</vt:lpstr>
      <vt:lpstr>Y_NOB</vt:lpstr>
      <vt:lpstr>Y_OHO_H2_ana_high</vt:lpstr>
      <vt:lpstr>Y_OHO_H2_ana_low</vt:lpstr>
      <vt:lpstr>Y_OHO_SB_ana</vt:lpstr>
      <vt:lpstr>Y_OHO_SB_anox</vt:lpstr>
      <vt:lpstr>Y_OHO_SB_ox</vt:lpstr>
      <vt:lpstr>Y_OHO_SMEOL_ox</vt:lpstr>
      <vt:lpstr>Y_OHO_VFA_anox</vt:lpstr>
      <vt:lpstr>Y_OHO_VFA_ox</vt:lpstr>
      <vt:lpstr>y_ORP_GAO_Half_T</vt:lpstr>
      <vt:lpstr>Y_PP_CASTO_anox</vt:lpstr>
      <vt:lpstr>Y_PP_CASTO_ox</vt:lpstr>
      <vt:lpstr>α_pred</vt:lpstr>
      <vt:lpstr>Δ_atm</vt:lpstr>
      <vt:lpstr>ε__</vt:lpstr>
      <vt:lpstr>η_b_ana</vt:lpstr>
      <vt:lpstr>η_b_anox</vt:lpstr>
      <vt:lpstr>η_bCASTO_ana</vt:lpstr>
      <vt:lpstr>η_bCASTO_anox</vt:lpstr>
      <vt:lpstr>η_bGLY_ana</vt:lpstr>
      <vt:lpstr>η_bPP_aer</vt:lpstr>
      <vt:lpstr>η_bPP_anox</vt:lpstr>
      <vt:lpstr>η_bSTC_anox</vt:lpstr>
      <vt:lpstr>η_CASTO_anox</vt:lpstr>
      <vt:lpstr>η_H2O</vt:lpstr>
      <vt:lpstr>η_HYD_ana</vt:lpstr>
      <vt:lpstr>η_HYD_anox</vt:lpstr>
      <vt:lpstr>η_OHO_anox</vt:lpstr>
      <vt:lpstr>θ_µ_AMETO</vt:lpstr>
      <vt:lpstr>θ_µ_AMX</vt:lpstr>
      <vt:lpstr>θ_µ_AOB</vt:lpstr>
      <vt:lpstr>θ_µ_CASTO</vt:lpstr>
      <vt:lpstr>θ_µ_HMETO</vt:lpstr>
      <vt:lpstr>θ_µ_MEOLO</vt:lpstr>
      <vt:lpstr>θ_µ_NOB</vt:lpstr>
      <vt:lpstr>θ_µ_OHO</vt:lpstr>
      <vt:lpstr>θ_µ_PAO_lim</vt:lpstr>
      <vt:lpstr>θ_b_AMETO</vt:lpstr>
      <vt:lpstr>θ_b_AMX</vt:lpstr>
      <vt:lpstr>θ_b_AOB</vt:lpstr>
      <vt:lpstr>θ_b_CASTO</vt:lpstr>
      <vt:lpstr>θ_b_HMETO</vt:lpstr>
      <vt:lpstr>θ_b_MEOLO</vt:lpstr>
      <vt:lpstr>θ_b_NOB</vt:lpstr>
      <vt:lpstr>θ_b_OHO</vt:lpstr>
      <vt:lpstr>θ_b_PP_ana</vt:lpstr>
      <vt:lpstr>θ_b_STC</vt:lpstr>
      <vt:lpstr>θ_FERM_OHO</vt:lpstr>
      <vt:lpstr>θ_FERM_PAO</vt:lpstr>
      <vt:lpstr>θ_q_AMMON</vt:lpstr>
      <vt:lpstr>θ_q_ASSIM</vt:lpstr>
      <vt:lpstr>θ_q_Fe2_OX</vt:lpstr>
      <vt:lpstr>θ_q_FLOC</vt:lpstr>
      <vt:lpstr>θ_q_GAO_GLY</vt:lpstr>
      <vt:lpstr>θ_q_HFO_RED</vt:lpstr>
      <vt:lpstr>θ_q_HYD</vt:lpstr>
      <vt:lpstr>θ_q_PAO_PHA</vt:lpstr>
      <vt:lpstr>θ_q_PAO_PP</vt:lpstr>
      <vt:lpstr>θ_q_SPB</vt:lpstr>
      <vt:lpstr>θ_q_XE</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user</cp:lastModifiedBy>
  <cp:lastPrinted>2014-02-20T12:15:16Z</cp:lastPrinted>
  <dcterms:created xsi:type="dcterms:W3CDTF">2006-09-16T00:00:00Z</dcterms:created>
  <dcterms:modified xsi:type="dcterms:W3CDTF">2022-04-25T13:57:28Z</dcterms:modified>
</cp:coreProperties>
</file>